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33C5D353-6719-42CF-9826-02C40DD5DA18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F58" i="6" l="1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<sst xmlns="http://schemas.openxmlformats.org/spreadsheetml/2006/main" count="3407" uniqueCount="1417">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</sst>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0" fontId="0" fillId="0" borderId="6" xfId="0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20" tableType="xml" totalsRowShown="0" headerRowDxfId="41" connectionId="9">
  <autoFilter ref="A1:Q20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8" tableType="xml" totalsRowShown="0" headerRowDxfId="3" connectionId="7">
  <autoFilter ref="A1:K58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20"/>
  <sheetViews>
    <sheetView zoomScaleNormal="100" workbookViewId="0">
      <selection activeCell="B23" sqref="B23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6" x14ac:dyDescent="0.3">
      <c r="A19" t="s">
        <v>1404</v>
      </c>
      <c r="B19" t="s">
        <v>1405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</row>
    <row r="20" spans="1:16" x14ac:dyDescent="0.3">
      <c r="A20" t="s">
        <v>1406</v>
      </c>
      <c r="B20" t="s">
        <v>1407</v>
      </c>
      <c r="C20" t="str">
        <f>A20</f>
        <v>CDRH6D12NP-2R2NC</v>
      </c>
      <c r="D20" s="2" t="s">
        <v>1408</v>
      </c>
      <c r="E20" s="2" t="s">
        <v>1409</v>
      </c>
      <c r="F20" s="2" t="str">
        <f>CONCATENATE("Footprints\Inductance\",G20,".PcbLib")</f>
        <v>Footprints\Inductance\CDRH6D12.PcbLib</v>
      </c>
      <c r="G20" s="2" t="s">
        <v>1410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8"/>
  <sheetViews>
    <sheetView tabSelected="1" topLeftCell="A45" zoomScaleNormal="100" workbookViewId="0">
      <selection activeCell="A57" sqref="A57:K58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  <row r="56" spans="1:11" x14ac:dyDescent="0.3">
      <c r="A56" t="s">
        <v>1398</v>
      </c>
      <c r="B56" t="s">
        <v>1399</v>
      </c>
      <c r="C56" s="2" t="s">
        <v>1398</v>
      </c>
      <c r="D56" s="34" t="s">
        <v>1400</v>
      </c>
      <c r="E56" t="s">
        <v>1398</v>
      </c>
      <c r="F56" s="34" t="s">
        <v>1402</v>
      </c>
      <c r="G56" t="s">
        <v>1403</v>
      </c>
      <c r="J56" t="s">
        <v>1401</v>
      </c>
      <c r="K56" s="40" t="s">
        <v>990</v>
      </c>
    </row>
    <row r="57" spans="1:11" x14ac:dyDescent="0.3">
      <c r="A57" t="s">
        <v>1411</v>
      </c>
      <c r="B57" t="s">
        <v>1412</v>
      </c>
      <c r="C57" s="2" t="str">
        <f t="shared" ref="C57:C58" si="6">A57</f>
        <v>DIN41612_48_3row_straight_female</v>
      </c>
      <c r="D57" s="41" t="str">
        <f t="shared" ref="D57:D58" si="7">CONCATENATE("Schematic\Connectors\", E57, ".SchLib")</f>
        <v>Schematic\Connectors\Conn_48pin_3row.SchLib</v>
      </c>
      <c r="E57" t="s">
        <v>1413</v>
      </c>
      <c r="F57" s="41" t="str">
        <f t="shared" ref="F57:F58" si="8">CONCATENATE("Footprints\Connectors\", G57, ".PcbLib")</f>
        <v>Footprints\Connectors\DIN41612_48_3row_straight_female.PcbLib</v>
      </c>
      <c r="G57" t="s">
        <v>1411</v>
      </c>
      <c r="J57" t="s">
        <v>1414</v>
      </c>
      <c r="K57" s="40" t="s">
        <v>990</v>
      </c>
    </row>
    <row r="58" spans="1:11" x14ac:dyDescent="0.3">
      <c r="A58" s="42" t="s">
        <v>1415</v>
      </c>
      <c r="B58" s="42" t="s">
        <v>1416</v>
      </c>
      <c r="C58" s="43" t="str">
        <f t="shared" si="6"/>
        <v>DIN41612_48_3row_right_angle_male</v>
      </c>
      <c r="D58" s="44" t="str">
        <f t="shared" si="7"/>
        <v>Schematic\Connectors\Conn_48pin_3row.SchLib</v>
      </c>
      <c r="E58" s="42" t="s">
        <v>1413</v>
      </c>
      <c r="F58" s="44" t="str">
        <f t="shared" si="8"/>
        <v>Footprints\Connectors\DIN41612_48_3row_right_angle_male.PcbLib</v>
      </c>
      <c r="G58" s="42" t="s">
        <v>1415</v>
      </c>
      <c r="H58" s="42"/>
      <c r="I58" s="42"/>
      <c r="J58" s="42" t="s">
        <v>1414</v>
      </c>
      <c r="K58" s="45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2025-09-28T20:13:47Z</dcterms:modified>
</cp:coreProperties>
</file>