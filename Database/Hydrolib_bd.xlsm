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00B96F3-D876-4A7B-A1F4-F75C0DDB623D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1" l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H10" i="4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<sst xmlns="http://schemas.openxmlformats.org/spreadsheetml/2006/main" count="2657" uniqueCount="1081">
  <si>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</si>
  <si>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</si>
  <si>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</si>
  <si>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</si>
  <si>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</si>
  <si>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</si>
  <si>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</si>
  <si>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</si>
  <si>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</si>
  <si>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</si>
  <si>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</si>
  <si>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</si>
  <si>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</si>
  <si>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</si>
  <si>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</si>
  <si>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</si>
  <si>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</si>
  <si>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</si>
  <si>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</si>
  <si>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</si>
  <si>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</si>
  <si>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</si>
  <si>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</si>
  <si>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</si>
  <si>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</si>
  <si>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</si>
  <si>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</si>
  <si>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</si>
  <si>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</si>
  <si>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</si>
  <si>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</si>
  <si>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</si>
  <si>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</si>
  <si>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</si>
  <si>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</si>
  <si>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</si>
  <si>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</si>
  <si>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</si>
  <si>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</si>
  <si>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</si>
  <si>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</si>
  <si>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</si>
  <si>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</si>
  <si>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</si>
  <si>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</si>
  <si>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</si>
  <si>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</si>
  <si>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</si>
  <si>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</si>
  <si>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</si>
  <si>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</si>
  <si>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</si>
  <si>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</si>
  <si>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</si>
  <si>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</si>
  <si>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</si>
  <si>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</si>
  <si>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</si>
  <si>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</si>
  <si>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</si>
  <si>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</si>
  <si>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</si>
  <si>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</si>
  <si>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</si>
  <si>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</si>
  <si>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</si>
  <si>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</si>
  <si>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</si>
  <si>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</si>
  <si>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</si>
  <si>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</si>
  <si>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</si>
  <si>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</si>
  <si>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</si>
  <si>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</si>
  <si>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</si>
  <si>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</si>
  <si>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</si>
  <si>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</si>
  <si>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</si>
  <si>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</si>
  <si>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</si>
  <si>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</si>
  <si>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</si>
  <si>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</si>
  <si>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</si>
  <si>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</si>
  <si>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</si>
  <si>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</si>
  <si>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</si>
  <si>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</si>
  <si>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</si>
  <si>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</si>
  <si>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</si>
  <si>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</si>
  <si>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</si>
  <si>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</si>
  <si>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</si>
  <si>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</si>
  <si>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</si>
  <si>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</si>
  <si>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</si>
  <si>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</si>
  <si>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</si>
  <si>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</si>
  <si>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</si>
  <si>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</si>
  <si>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</si>
  <si>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</si>
  <si>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</si>
  <si>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</si>
  <si>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</si>
  <si>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</si>
  <si>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</si>
  <si>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</si>
  <si>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</si>
  <si>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</si>
  <si>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</si>
  <si>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</si>
  <si>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</si>
  <si>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</si>
  <si>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</si>
  <si>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</si>
  <si>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</si>
  <si>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</si>
  <si>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</si>
  <si>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</si>
  <si>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</si>
  <si>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</si>
  <si>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</si>
  <si>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</si>
  <si>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</si>
  <si>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</si>
  <si>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</si>
  <si>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</si>
  <si>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</si>
  <si>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</si>
  <si>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</si>
  <si>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</si>
  <si>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</si>
  <si>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</si>
  <si>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</si>
  <si>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</si>
  <si>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</si>
  <si>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</si>
  <si>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</si>
  <si>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</si>
  <si>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</si>
  <si>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</si>
  <si>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</si>
  <si>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</si>
  <si>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</si>
  <si>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</si>
  <si>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</si>
  <si>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</si>
  <si>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</si>
  <si>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</si>
  <si>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</si>
  <si>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</si>
  <si>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</si>
  <si>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</si>
  <si>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</si>
  <si>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</si>
  <si>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</si>
  <si>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</si>
  <si>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</si>
  <si>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</si>
  <si>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</si>
  <si>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</si>
  <si>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</si>
  <si>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</si>
  <si>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</si>
  <si>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</si>
  <si>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</si>
  <si>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</si>
  <si>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</si>
  <si>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</si>
  <si>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</si>
  <si>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</si>
  <si>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</si>
  <si>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</si>
  <si>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</si>
  <si>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</si>
  <si>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</si>
  <si>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</si>
  <si>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</si>
  <si>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</si>
  <si>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</si>
  <si>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</si>
  <si>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</si>
  <si>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</si>
  <si>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</si>
  <si>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</si>
  <si>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</si>
  <si>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</si>
  <si>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</si>
  <si>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</si>
  <si>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</si>
  <si>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</si>
  <si>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</si>
  <si>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</si>
  <si>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</si>
  <si>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</si>
  <si>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</si>
  <si>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</si>
  <si>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</si>
  <si>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</si>
  <si>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</si>
  <si>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</si>
  <si>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</si>
  <si>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</si>
  <si>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</si>
  <si>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</si>
  <si>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</si>
  <si>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</si>
  <si>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</si>
  <si>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</si>
  <si>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</si>
  <si>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</si>
  <si>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</si>
  <si>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</si>
  <si>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</si>
  <si>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</si>
  <si>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</si>
  <si>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</si>
  <si>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</si>
  <si>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</si>
  <si>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</si>
  <si>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</si>
  <si>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</si>
  <si>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</si>
  <si>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</si>
  <si>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</si>
  <si>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</si>
  <si>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</si>
  <si>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</si>
  <si>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</si>
  <si>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</si>
  <si>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</si>
  <si>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</si>
  <si>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</si>
  <si>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</si>
  <si>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</si>
  <si>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</si>
  <si>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</si>
  <si>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</si>
  <si>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</si>
  <si>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</si>
  <si>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</si>
  <si>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</si>
  <si>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</si>
  <si>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</si>
  <si>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</si>
  <si>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</si>
  <si>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</si>
  <si>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</si>
  <si>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</si>
  <si>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</si>
  <si>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</si>
  <si>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</si>
  <si>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</si>
  <si>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</si>
  <si>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</si>
  <si>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</si>
  <si>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</si>
  <si>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</si>
  <si>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</si>
  <si>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</si>
  <si>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</si>
  <si>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</si>
  <si>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</si>
  <si>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</si>
  <si>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</si>
  <si>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</si>
  <si>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</si>
  <si>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</si>
  <si>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</si>
  <si>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</si>
  <si>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</si>
  <si>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</si>
  <si>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</si>
  <si>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</si>
  <si>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</si>
  <si>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</si>
  <si>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</si>
  <si>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</si>
  <si>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</si>
  <si>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</si>
  <si>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</si>
  <si>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</si>
  <si>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</si>
  <si>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</si>
  <si>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</si>
  <si>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</si>
  <si>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</si>
  <si>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</si>
  <si>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</si>
  <si>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</si>
  <si>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</si>
  <si>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</si>
  <si>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</si>
  <si>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</si>
  <si>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</si>
  <si>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</si>
  <si>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</si>
  <si>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</si>
  <si>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</si>
  <si>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</si>
  <si>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</si>
  <si>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</si>
  <si>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</si>
  <si>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</si>
  <si>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</si>
  <si>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</si>
  <si>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</si>
  <si>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</si>
  <si>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</si>
  <si>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</si>
  <si>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</si>
  <si>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</si>
  <si>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</si>
  <si>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</si>
  <si>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</si>
  <si>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</si>
  <si>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</si>
  <si>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</si>
  <si>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</si>
  <si>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</si>
  <si>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</si>
  <si>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</si>
  <si>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</si>
  <si>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</si>
  <si>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</si>
  <si>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</si>
  <si>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</si>
  <si>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</si>
  <si>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</si>
  <si>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</si>
  <si>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</si>
  <si>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</si>
  <si>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</si>
  <si>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</si>
  <si>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</si>
  <si>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</si>
  <si>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</si>
  <si>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</si>
  <si>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</si>
  <si>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</si>
  <si>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</si>
  <si>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</si>
  <si>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</si>
  <si>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</si>
  <si>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</si>
  <si>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</si>
  <si>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</si>
  <si>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</si>
  <si>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</si>
  <si>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</si>
  <si>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</si>
  <si>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</si>
  <si>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</si>
  <si>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</si>
  <si>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</si>
  <si>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</si>
  <si>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</si>
  <si>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</si>
  <si>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</si>
  <si>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</si>
  <si>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</si>
  <si>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</si>
  <si>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</si>
  <si>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</si>
  <si>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</si>
  <si>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</si>
  <si>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</si>
  <si>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</si>
  <si>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</si>
  <si>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</si>
  <si>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</si>
  <si>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</si>
  <si>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</si>
  <si>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</si>
  <si>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</si>
  <si>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</si>
  <si>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</si>
  <si>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</si>
  <si>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</si>
  <si>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</si>
  <si>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</si>
  <si>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</si>
  <si>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</si>
  <si>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</si>
  <si>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</si>
  <si>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</si>
  <si>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</si>
  <si>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</si>
  <si>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</si>
  <si>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</si>
  <si>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</si>
  <si>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</si>
  <si>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</si>
  <si>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</si>
  <si>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</si>
  <si>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</si>
  <si>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</si>
  <si>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</si>
  <si>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</si>
  <si>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</si>
  <si>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</si>
  <si>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</si>
  <si>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</si>
  <si>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</si>
  <si>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</si>
  <si>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</si>
  <si>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</si>
  <si>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</si>
  <si>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</si>
  <si>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</si>
  <si>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</si>
  <si>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</si>
  <si>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</si>
  <si>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</si>
  <si>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</si>
  <si>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</si>
  <si>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</si>
  <si>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</si>
  <si>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</si>
  <si>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</si>
  <si>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</si>
  <si>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</si>
  <si>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</si>
  <si>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</si>
  <si>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</si>
  <si>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</si>
  <si>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</si>
  <si>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</si>
  <si>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</si>
  <si>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</si>
  <si>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</si>
  <si>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</si>
  <si>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</si>
  <si>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</si>
  <si>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</si>
  <si>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</si>
  <si>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</si>
  <si>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</si>
  <si>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</si>
  <si>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</si>
  <si>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</si>
  <si>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</si>
  <si>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</si>
  <si>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</si>
  <si>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</si>
  <si>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</si>
  <si>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</si>
  <si>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</si>
  <si>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</si>
  <si>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</si>
  <si>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</si>
  <si>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</si>
  <si>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</si>
  <si>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</si>
  <si>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</si>
  <si>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</si>
  <si>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</si>
  <si>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</si>
  <si>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</si>
  <si>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</si>
  <si>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</si>
  <si>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</si>
  <si>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</si>
  <si>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</si>
  <si>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</si>
  <si>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</si>
  <si>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</si>
  <si>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</si>
  <si>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</si>
  <si>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</si>
  <si>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</si>
  <si>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</si>
  <si>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</si>
  <si>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</si>
  <si>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</si>
  <si>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</si>
  <si>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</si>
  <si>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</si>
  <si>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</si>
  <si>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</si>
  <si>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</si>
  <si>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</si>
  <si>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</si>
  <si>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</si>
  <si>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</si>
  <si>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</si>
  <si>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</si>
  <si>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</si>
  <si>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</si>
  <si>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</si>
  <si>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</si>
  <si>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</si>
  <si>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</si>
  <si>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</si>
  <si>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</si>
  <si>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</si>
  <si>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</si>
  <si>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</si>
  <si>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</si>
  <si>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</si>
  <si>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</si>
  <si>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</si>
  <si>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</si>
  <si>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</si>
  <si>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</si>
  <si>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</si>
  <si>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</si>
  <si>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</si>
  <si>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</si>
  <si>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</si>
  <si>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</si>
  <si>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</si>
  <si>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</si>
  <si>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</si>
  <si>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</si>
  <si>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</si>
  <si>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</si>
  <si>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</si>
  <si>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</si>
  <si>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</si>
  <si>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</si>
  <si>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</si>
  <si>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</si>
  <si>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</si>
  <si>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</si>
  <si>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</si>
  <si>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</si>
  <si>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</si>
  <si>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</si>
  <si>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</si>
  <si>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</si>
  <si>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</si>
  <si>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</si>
  <si>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</si>
  <si>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</si>
  <si>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</si>
  <si>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</si>
  <si>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</si>
  <si>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</si>
  <si>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</si>
  <si>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</si>
  <si>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</si>
  <si>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</si>
  <si>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</si>
  <si>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</si>
  <si>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</si>
  <si>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</si>
  <si>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</si>
  <si>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</si>
  <si>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</si>
  <si>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</si>
  <si>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</si>
  <si>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</si>
  <si>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</si>
  <si>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</si>
  <si>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</si>
  <si>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</si>
  <si>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</si>
  <si>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</si>
  <si>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</si>
  <si>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</si>
  <si>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</si>
  <si>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</si>
  <si>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</si>
  <si>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</si>
  <si>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</si>
  <si>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</si>
  <si>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</si>
  <si>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</si>
  <si>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</si>
  <si>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</si>
  <si>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</si>
  <si>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</si>
  <si>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</si>
  <si>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</si>
  <si>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</si>
  <si>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</si>
  <si>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</si>
  <si>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</si>
  <si>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</si>
  <si>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</si>
  <si>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</si>
  <si>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</si>
  <si>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</si>
  <si>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</si>
  <si>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</si>
  <si>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</si>
  <si>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</si>
  <si>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</si>
  <si>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</si>
  <si>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</si>
  <si>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</si>
  <si>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</si>
  <si>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</si>
  <si>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</si>
  <si>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</si>
  <si>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</si>
  <si>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</si>
  <si>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</si>
  <si>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</si>
  <si>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</si>
  <si>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</si>
  <si>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</si>
  <si>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</si>
  <si>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</si>
  <si>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</si>
  <si>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</si>
  <si>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</si>
  <si>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</si>
  <si>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</si>
  <si>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</si>
  <si>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</si>
  <si>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</si>
  <si>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</si>
  <si>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</si>
  <si>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</si>
  <si>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</si>
  <si>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</si>
  <si>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</si>
  <si>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</si>
  <si>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</si>
  <si>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</si>
  <si>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</si>
  <si>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</si>
  <si>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</si>
  <si>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</si>
  <si>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</si>
  <si>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</si>
  <si>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</si>
  <si>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</si>
  <si>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</si>
  <si>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</si>
  <si>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</si>
  <si>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</si>
  <si>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</si>
  <si>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</si>
  <si>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</si>
  <si>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</si>
  <si>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</si>
  <si>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</si>
  <si>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</si>
  <si>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</si>
  <si>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</si>
  <si>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</si>
  <si>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</si>
  <si>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</si>
  <si>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</si>
  <si>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</si>
  <si>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</si>
  <si>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</si>
  <si>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</si>
  <si>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</si>
  <si>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</si>
  <si>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</si>
  <si>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</si>
  <si>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</si>
  <si>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</si>
  <si>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</si>
  <si>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</si>
  <si>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</si>
  <si>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</si>
  <si>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</si>
  <si>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</si>
  <si>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</si>
  <si>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</si>
  <si>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</si>
  <si>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</si>
  <si>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</si>
  <si>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</si>
  <si>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</si>
  <si>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</si>
  <si>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</si>
  <si>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</si>
  <si>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</si>
  <si>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</si>
  <si>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</si>
  <si>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</si>
  <si>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</si>
  <si>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</si>
  <si>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</si>
  <si>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</si>
  <si>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</si>
  <si>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</si>
  <si>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</si>
  <si>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</si>
  <si>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</si>
  <si>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</si>
  <si>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</si>
  <si>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</si>
  <si>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</si>
  <si>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</si>
  <si>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</si>
  <si>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</si>
  <si>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</si>
  <si>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</si>
  <si>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</si>
  <si>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</si>
  <si>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</si>
  <si>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</si>
  <si>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</si>
  <si>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</si>
  <si>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</si>
  <si>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</si>
  <si>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</si>
  <si>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</si>
  <si>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</si>
  <si>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</si>
  <si>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</si>
  <si>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</si>
  <si>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</si>
  <si>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</si>
  <si>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</si>
  <si>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</si>
  <si>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</si>
  <si>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</si>
  <si>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</si>
  <si>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</si>
  <si>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</si>
  <si>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</si>
  <si>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</si>
  <si>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</si>
  <si>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</si>
  <si>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</si>
  <si>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</si>
  <si>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</si>
  <si>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</si>
  <si>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</si>
  <si>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</si>
  <si>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</si>
  <si>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</si>
  <si>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</si>
  <si>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</si>
  <si>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</si>
  <si>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</si>
  <si>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</si>
  <si>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</si>
  <si>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</si>
  <si>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</si>
  <si>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</si>
  <si>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</si>
  <si>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</si>
  <si>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</si>
  <si>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</si>
  <si>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</si>
  <si>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</si>
  <si>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</si>
  <si>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</si>
  <si>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</si>
  <si>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</si>
  <si>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</si>
  <si>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</si>
  <si>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</si>
  <si>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</si>
  <si>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</si>
  <si>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</si>
  <si>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</si>
  <si>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</si>
  <si>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</si>
  <si>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</si>
  <si>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</si>
  <si>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</si>
  <si>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</si>
  <si>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</si>
  <si>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</si>
  <si>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</si>
  <si>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</si>
  <si>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</si>
  <si>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</si>
  <si>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</si>
  <si>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</si>
  <si>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</si>
  <si>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</si>
  <si>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</si>
  <si>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</si>
  <si>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</si>
  <si>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</si>
  <si>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</si>
  <si>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</si>
  <si>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</si>
  <si>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</si>
  <si>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</si>
  <si>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</si>
  <si>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</si>
  <si>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</si>
  <si>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</si>
  <si>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</si>
  <si>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</si>
  <si>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</si>
  <si>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</si>
  <si>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</si>
  <si>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</si>
  <si>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</si>
  <si>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</si>
  <si>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</si>
  <si>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</si>
  <si>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</si>
  <si>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</si>
  <si>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</si>
  <si>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</si>
  <si>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</si>
  <si>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</si>
  <si>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</si>
  <si>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</si>
  <si>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</si>
  <si>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</si>
  <si>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</si>
  <si>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</si>
  <si>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</si>
  <si>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</si>
  <si>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</si>
  <si>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</si>
  <si>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</si>
  <si>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</si>
  <si>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</si>
  <si>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</si>
  <si>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</si>
  <si>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</si>
  <si>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</si>
  <si>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</si>
  <si>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</si>
  <si>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</si>
  <si>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</si>
  <si>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</si>
  <si>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</si>
  <si>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</si>
  <si>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</si>
  <si>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</si>
  <si>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</si>
  <si>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</si>
  <si>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</si>
  <si>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</si>
  <si>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</si>
  <si>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</si>
  <si>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</si>
  <si>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</si>
  <si>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</si>
  <si>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</si>
  <si>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</si>
  <si>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</si>
  <si>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</si>
  <si>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</si>
  <si>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</si>
  <si>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</si>
  <si>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</si>
  <si>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</si>
  <si>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</si>
  <si>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</si>
  <si>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</si>
  <si>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</si>
  <si>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</si>
  <si>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</si>
  <si>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</si>
  <si>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</si>
  <si>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</si>
  <si>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</si>
  <si>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</si>
  <si>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</si>
  <si>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</si>
  <si>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</si>
  <si>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</si>
  <si>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</si>
  <si>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</si>
  <si>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</si>
  <si>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</si>
  <si>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</si>
  <si>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</si>
  <si>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</si>
  <si>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</si>
  <si>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</si>
  <si>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</si>
  <si>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</si>
  <si>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</si>
  <si>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</si>
  <si>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</si>
  <si>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</si>
  <si>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</si>
  <si>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</si>
  <si>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</si>
  <si>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</si>
  <si>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</si>
  <si>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</si>
  <si>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</si>
  <si>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</si>
  <si>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</si>
  <si>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</si>
  <si>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</si>
  <si>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</si>
  <si>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</si>
  <si>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</si>
  <si>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</si>
  <si>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</si>
  <si>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</si>
  <si>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</si>
  <si>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</si>
  <si>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</si>
  <si>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</si>
  <si>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</si>
  <si>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</si>
  <si>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</si>
  <si>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</si>
  <si>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</si>
  <si>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</si>
  <si>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</si>
  <si>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</si>
  <si>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</si>
  <si>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</si>
  <si>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</si>
  <si>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</si>
  <si>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</si>
  <si>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</si>
  <si>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</si>
  <si>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</si>
  <si>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</si>
  <si>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</si>
  <si>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</si>
  <si>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</si>
  <si>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</si>
  <si>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</si>
  <si>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</si>
  <si>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</si>
  <si>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</si>
  <si>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</si>
  <si>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</si>
  <si>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</si>
  <si>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</si>
  <si>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</si>
  <si>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</si>
  <si>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</si>
  <si>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</si>
  <si>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</si>
  <si>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</si>
  <si>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</si>
  <si>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</si>
  <si>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</si>
  <si>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</si>
  <si>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</si>
  <si>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</si>
  <si>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</si>
  <si>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</si>
  <si>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</si>
  <si>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</si>
  <si>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</si>
  <si>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</si>
  <si>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</si>
  <si>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</si>
  <si>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</si>
  <si>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</si>
  <si>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</si>
  <si>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</si>
  <si>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</si>
  <si>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</si>
  <si>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</si>
  <si>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</si>
  <si>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</si>
  <si>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</si>
  <si>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</si>
  <si>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</si>
  <si>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</si>
  <si>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</si>
  <si>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</si>
  <si>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</si>
  <si>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</si>
  <si>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</si>
  <si>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</si>
  <si>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</si>
  <si>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</si>
  <si>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</si>
  <si>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</si>
  <si>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</si>
  <si>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</si>
  <si>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</si>
  <si>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</si>
  <si>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</si>
  <si>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</si>
  <si>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</si>
  <si>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</si>
  <si>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</si>
  <si>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</si>
  <si>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</si>
  <si>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</si>
  <si>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</si>
  <si>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</si>
  <si>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</si>
  <si>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</si>
  <si>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</si>
  <si>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</si>
  <si>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</si>
  <si>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</si>
  <si>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</si>
  <si>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</si>
  <si>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</si>
  <si>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</si>
  <si>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</si>
  <si>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</si>
  <si>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</si>
  <si>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</si>
  <si>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</si>
  <si>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</si>
  <si>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</si>
  <si>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</si>
  <si>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</si>
  <si>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</si>
  <si>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</si>
  <si>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</si>
  <si>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</si>
  <si>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</si>
  <si>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</si>
  <si>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</si>
  <si>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</si>
  <si>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</si>
  <si>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</si>
  <si>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</si>
  <si>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</si>
  <si>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</si>
  <si>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</si>
  <si>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</si>
  <si>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</si>
  <si>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</si>
  <si>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</si>
  <si>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</si>
  <si>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</si>
  <si>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</si>
  <si>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</si>
  <si>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</si>
  <si>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</si>
  <si>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</si>
  <si>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</si>
  <si>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</si>
  <si>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</si>
  <si>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</si>
  <si>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</si>
  <si>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</si>
  <si>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</si>
  <si>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</si>
  <si>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</si>
  <si>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</si>
  <si>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</si>
  <si>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</si>
  <si>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</si>
  <si>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</si>
  <si>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</si>
  <si>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</si>
  <si>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</si>
  <si>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</si>
  <si>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</si>
  <si>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</si>
  <si>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</si>
  <si>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</si>
  <si>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</si>
  <si>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</si>
  <si>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</si>
  <si>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</si>
  <si>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</si>
  <si>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</si>
  <si>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</si>
  <si>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</si>
  <si>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</si>
  <si>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</si>
  <si>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Footprints\Connectors\PLS\PLS_ALL.PcbLib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</si>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</sst>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Обычный" xfId="0" builtinId="0"/>
  </cellStyles>
  <dxfs count="96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5" tableType="xml" totalsRowShown="0" headerRowDxfId="95" connectionId="6">
  <autoFilter ref="A1:K35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4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11" tableType="xml" totalsRowShown="0" connectionId="14">
  <autoFilter ref="A1:I11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3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92">
      <xmlColumnPr mapId="30" xpath="/Schottky/Part/VoltageNominal_V" xmlDataType="string"/>
    </tableColumn>
    <tableColumn id="9" xr3:uid="{431126AD-34DC-40A1-9CB6-D627B7878BEA}" uniqueName="Current_A" name="Current (A)" dataDxfId="91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L4" tableType="xml" totalsRowShown="0" connectionId="17">
  <autoFilter ref="A1:L4" xr:uid="{9CD13EE0-E53C-485B-863E-D7FAF9FE1DB1}"/>
  <tableColumns count="12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90" connectionId="16">
  <autoFilter ref="A1:K8" xr:uid="{35EAFB53-5120-48E8-B7CF-F527619EF3EB}"/>
  <tableColumns count="11">
    <tableColumn id="1" xr3:uid="{8FF51BCB-1CBC-41C4-B0E3-6994AEB249EF}" uniqueName="PartNumber" name="Part Number" dataDxfId="89">
      <xmlColumnPr mapId="6" xpath="/TVS/Part/PartNumber" xmlDataType="string"/>
    </tableColumn>
    <tableColumn id="2" xr3:uid="{254709FF-71DC-4C18-A11E-3F482A74905F}" uniqueName="Description" name="Description" dataDxfId="88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7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6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5">
      <xmlColumnPr mapId="6" xpath="/TVS/Part/LibraryRef" xmlDataType="string"/>
    </tableColumn>
    <tableColumn id="6" xr3:uid="{C5C7E783-B9B8-469C-B255-FC24F12E71DC}" uniqueName="FootprintPath1" name="Footprint Path 1" dataDxfId="84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3">
      <xmlColumnPr mapId="6" xpath="/TVS/Part/FootprintRef1" xmlDataType="string"/>
    </tableColumn>
    <tableColumn id="8" xr3:uid="{16B3AEE3-BEA7-4870-9494-F8A0EC5E9CCD}" uniqueName="VoltageNominal" name="Voltage nominal (V)" dataDxfId="82">
      <xmlColumnPr mapId="6" xpath="/TVS/Part/VoltageNominal" xmlDataType="string"/>
    </tableColumn>
    <tableColumn id="9" xr3:uid="{7DDE345A-D145-4A55-B781-91F88095B1FE}" uniqueName="Power" name="Power (W)" dataDxfId="81">
      <xmlColumnPr mapId="6" xpath="/TVS/Part/Power" xmlDataType="string"/>
    </tableColumn>
    <tableColumn id="10" xr3:uid="{EBB777BC-3BC6-4EF4-AC63-F94C7CFCFC0E}" uniqueName="Value" name="Value" dataDxfId="8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9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8" connectionId="15">
  <autoFilter ref="A1:K10" xr:uid="{11DAD5D3-6841-4BFD-8583-65DE6E00D680}"/>
  <tableColumns count="11">
    <tableColumn id="1" xr3:uid="{59488B22-9EFD-4960-9418-72616CC8F6CC}" uniqueName="PartNumber" name="Part Number" dataDxfId="77">
      <xmlColumnPr mapId="8" xpath="/Transistors/Part/PartNumber" xmlDataType="string"/>
    </tableColumn>
    <tableColumn id="2" xr3:uid="{B6051881-2BC5-4D5F-9AEE-A86DF4412A4C}" uniqueName="Description" name="Description" dataDxfId="76">
      <xmlColumnPr mapId="8" xpath="/Transistors/Part/Description" xmlDataType="string"/>
    </tableColumn>
    <tableColumn id="3" xr3:uid="{377CEA9C-B3A1-4F57-920A-BA1AC9164370}" uniqueName="Comment" name="Comment" dataDxfId="7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4">
      <xmlColumnPr mapId="8" xpath="/Transistors/Part/LibraryPath" xmlDataType="string"/>
    </tableColumn>
    <tableColumn id="5" xr3:uid="{02693066-D721-4B47-BEE5-D678B96A10FB}" uniqueName="LibraryRef" name="Library Ref" dataDxfId="7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71" dataDxfId="70" connectionId="13">
  <autoFilter ref="A1:K174" xr:uid="{02061886-A591-4FD8-8C5B-3D1D2DB1F417}"/>
  <tableColumns count="11">
    <tableColumn id="1" xr3:uid="{1DE1C76C-B7F9-47FB-9EB0-156A2D87FD9E}" uniqueName="PartNumber" name="Part Number" dataDxfId="69">
      <xmlColumnPr mapId="38" xpath="/Resistors/Part/PartNumber" xmlDataType="string"/>
    </tableColumn>
    <tableColumn id="2" xr3:uid="{64E60790-EB9B-4A0D-B52C-7CB5A6F82DE8}" uniqueName="Description" name="Description" dataDxfId="68">
      <xmlColumnPr mapId="38" xpath="/Resistors/Part/Description" xmlDataType="string"/>
    </tableColumn>
    <tableColumn id="3" xr3:uid="{497E7478-3EE2-4F8D-A572-C738B7321387}" uniqueName="Comment" name="Comment" dataDxfId="67">
      <xmlColumnPr mapId="38" xpath="/Resistors/Part/Comment" xmlDataType="string"/>
    </tableColumn>
    <tableColumn id="4" xr3:uid="{255B034D-70D9-458C-8FA7-FEB8317A497F}" uniqueName="LibraryPath" name="Library Path" dataDxfId="66">
      <xmlColumnPr mapId="38" xpath="/Resistors/Part/LibraryPath" xmlDataType="string"/>
    </tableColumn>
    <tableColumn id="5" xr3:uid="{A3865419-9EA5-4AAA-B07F-FF52D437DC02}" uniqueName="LibraryRef" name="Library Ref" dataDxfId="65">
      <xmlColumnPr mapId="38" xpath="/Resistors/Part/LibraryRef" xmlDataType="string"/>
    </tableColumn>
    <tableColumn id="6" xr3:uid="{CE64E0F7-2F9E-477F-8D1B-040D90CB5685}" uniqueName="Value" name="Value" dataDxfId="64">
      <xmlColumnPr mapId="38" xpath="/Resistors/Part/Value" xmlDataType="string"/>
    </tableColumn>
    <tableColumn id="7" xr3:uid="{41F7703B-5A2D-47F6-B9C9-B9D386FC3CF8}" uniqueName="Tolerance" name="Tolerance" dataDxfId="63">
      <xmlColumnPr mapId="38" xpath="/Resistors/Part/Tolerance" xmlDataType="double"/>
    </tableColumn>
    <tableColumn id="8" xr3:uid="{429E7452-DB30-417B-B5E7-8F2AA238A5A4}" uniqueName="FootprintPath1" name="Footprint Path 1" dataDxfId="62">
      <xmlColumnPr mapId="38" xpath="/Resistors/Part/FootprintPath1" xmlDataType="string"/>
    </tableColumn>
    <tableColumn id="9" xr3:uid="{298A4272-57F5-45C2-AFCD-965909B2DD40}" uniqueName="FootprintRef1" name="Footprint Ref 1" dataDxfId="61">
      <xmlColumnPr mapId="38" xpath="/Resistors/Part/FootprintRef1" xmlDataType="string"/>
    </tableColumn>
    <tableColumn id="10" xr3:uid="{0DFE9A6B-806A-476A-90DD-58A133FB25CD}" uniqueName="10" name="Footprint Path 2" dataDxfId="60"/>
    <tableColumn id="11" xr3:uid="{5972F9B7-4E29-40F8-85A0-ADFB6C3B63D0}" uniqueName="11" name="Footprint Ref 2" dataDxfId="5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8" dataDxfId="57" connectionId="1">
  <autoFilter ref="A1:T3" xr:uid="{1041C5C1-00FD-47DC-8B7C-9DEBE212D9D4}"/>
  <tableColumns count="20">
    <tableColumn id="1" xr3:uid="{55BDD111-6381-449E-BF2B-3FEC8107762D}" uniqueName="PartNumber" name="Part Number" dataDxfId="56">
      <xmlColumnPr mapId="18" xpath="/Capacitors/Part/PartNumber" xmlDataType="string"/>
    </tableColumn>
    <tableColumn id="2" xr3:uid="{0D3E1F2C-B0CC-4A36-A41B-2F2DAEC98E3B}" uniqueName="Description" name="Description" dataDxfId="55">
      <xmlColumnPr mapId="18" xpath="/Capacitors/Part/Description" xmlDataType="string"/>
    </tableColumn>
    <tableColumn id="3" xr3:uid="{16739D52-8082-4E8D-B1E1-B82F60766E2A}" uniqueName="Comment" name="Comment" dataDxfId="54">
      <xmlColumnPr mapId="18" xpath="/Capacitors/Part/Comment" xmlDataType="string"/>
    </tableColumn>
    <tableColumn id="4" xr3:uid="{AC1F3F2E-0C78-451D-9178-0A9D15C49726}" uniqueName="LibraryPath" name="Library Path" dataDxfId="53">
      <xmlColumnPr mapId="18" xpath="/Capacitors/Part/LibraryPath" xmlDataType="string"/>
    </tableColumn>
    <tableColumn id="5" xr3:uid="{9169ABA3-E41E-40E0-B785-3D3B749D70BB}" uniqueName="LibraryRef" name="Library Ref" dataDxfId="52">
      <xmlColumnPr mapId="18" xpath="/Capacitors/Part/LibraryRef" xmlDataType="string"/>
    </tableColumn>
    <tableColumn id="6" xr3:uid="{01EADD2D-36E6-41EE-B894-B537CCE6649E}" uniqueName="Value" name="Value" dataDxfId="51">
      <xmlColumnPr mapId="18" xpath="/Capacitors/Part/Value" xmlDataType="string"/>
    </tableColumn>
    <tableColumn id="7" xr3:uid="{EC779EF2-47DD-4E8F-A8D2-159E83C79180}" uniqueName="FootprintPath1" name="Footprint Path 1" dataDxfId="50">
      <xmlColumnPr mapId="18" xpath="/Capacitors/Part/FootprintPath1" xmlDataType="string"/>
    </tableColumn>
    <tableColumn id="8" xr3:uid="{C244A49A-3E6F-4B22-983D-FFA97DB3DFF6}" uniqueName="FootprintRef1" name="Footprint Ref 1" dataDxfId="49">
      <xmlColumnPr mapId="18" xpath="/Capacitors/Part/FootprintRef1" xmlDataType="string"/>
    </tableColumn>
    <tableColumn id="9" xr3:uid="{85136BD9-A68F-40E0-9A6F-E71ECA929F04}" uniqueName="FootprintPath2" name="Footprint Path 2" dataDxfId="48">
      <xmlColumnPr mapId="18" xpath="/Capacitors/Part/FootprintPath2" xmlDataType="string"/>
    </tableColumn>
    <tableColumn id="10" xr3:uid="{9FB3A5B2-04CB-44F8-A289-C2FB25F43941}" uniqueName="FootprintRef2" name="Footprint Ref 2" dataDxfId="47">
      <xmlColumnPr mapId="18" xpath="/Capacitors/Part/FootprintRef2" xmlDataType="string"/>
    </tableColumn>
    <tableColumn id="11" xr3:uid="{50FA7750-FC9E-444C-8D52-C6B51BBD63C1}" uniqueName="FootprintPath3" name="Footprint Path 3" dataDxfId="46">
      <xmlColumnPr mapId="18" xpath="/Capacitors/Part/FootprintPath3" xmlDataType="string"/>
    </tableColumn>
    <tableColumn id="12" xr3:uid="{CB4B7F73-4E19-42EF-9940-4C2907529981}" uniqueName="FootprintRef3" name="Footprint Ref 3" dataDxfId="45">
      <xmlColumnPr mapId="18" xpath="/Capacitors/Part/FootprintRef3" xmlDataType="string"/>
    </tableColumn>
    <tableColumn id="13" xr3:uid="{6B23463C-82AA-426D-ACBC-49A19C1D46FA}" uniqueName="FootprintPath4" name="Footprint Path 4" dataDxfId="44">
      <xmlColumnPr mapId="18" xpath="/Capacitors/Part/FootprintPath4" xmlDataType="string"/>
    </tableColumn>
    <tableColumn id="14" xr3:uid="{AD691620-AB1F-42E2-B1E4-053F5C2B80E9}" uniqueName="FootprintRef4" name="Footprint Ref 4" dataDxfId="43">
      <xmlColumnPr mapId="18" xpath="/Capacitors/Part/FootprintRef4" xmlDataType="string"/>
    </tableColumn>
    <tableColumn id="15" xr3:uid="{FD0F620C-73A8-49FB-B6E9-F06F81ED3185}" uniqueName="FootprintPath5" name="Footprint Path 5" dataDxfId="42">
      <xmlColumnPr mapId="18" xpath="/Capacitors/Part/FootprintPath5" xmlDataType="string"/>
    </tableColumn>
    <tableColumn id="16" xr3:uid="{F3B1D3FD-D16A-41B6-BA7D-FAFB3CCAEEC4}" uniqueName="FootprintRef5" name="Footprint Ref 5" dataDxfId="41">
      <xmlColumnPr mapId="18" xpath="/Capacitors/Part/FootprintRef5" xmlDataType="string"/>
    </tableColumn>
    <tableColumn id="17" xr3:uid="{130B1CD3-35EC-447E-93DF-ED8F8DC7A59A}" uniqueName="FootprintPath6" name="Footprint Path 6" dataDxfId="40">
      <xmlColumnPr mapId="18" xpath="/Capacitors/Part/FootprintPath6" xmlDataType="string"/>
    </tableColumn>
    <tableColumn id="18" xr3:uid="{77AF5D99-AE0B-40E5-8972-14E04BB93BB4}" uniqueName="FootprintRef6" name="Footprint Ref 6" dataDxfId="39">
      <xmlColumnPr mapId="18" xpath="/Capacitors/Part/FootprintRef6" xmlDataType="string"/>
    </tableColumn>
    <tableColumn id="19" xr3:uid="{6809872D-01AC-4EF6-B33F-6B8DA2D054C9}" uniqueName="FootprintPath7" name="Footprint Path 7" dataDxfId="38">
      <xmlColumnPr mapId="18" xpath="/Capacitors/Part/FootprintPath7" xmlDataType="string"/>
    </tableColumn>
    <tableColumn id="20" xr3:uid="{352E5BAE-89D3-4F1C-AA92-CDC22EDD2B11}" uniqueName="FootprintRef7" name="Footprint Ref 7" dataDxfId="3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6" headerRowBorderDxfId="35" tableBorderDxfId="34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3" headerRowBorderDxfId="32" tableBorderDxfId="31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10" tableType="xml" totalsRowShown="0" headerRowDxfId="30" connectionId="9">
  <autoFilter ref="A1:P10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9"/>
    <tableColumn id="7" xr3:uid="{49B409CD-94AC-4F2C-BC5E-E8FF519C8D6F}" uniqueName="FootprintRef1" name="Library Ref" dataDxfId="28"/>
    <tableColumn id="8" xr3:uid="{71017A8D-C83B-4D64-80AC-6C5EC84419D6}" uniqueName="FootprintPath1" name="Footprint Path 1" dataDxfId="27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6">
      <xmlColumnPr mapId="66" xpath="/Inductance/Part/FootprintRef1" xmlDataType="string"/>
    </tableColumn>
    <tableColumn id="10" xr3:uid="{14D45471-DB98-4B30-AE3F-A5F2151147AD}" uniqueName="FootprintPath2" name="Footprint Path 2" dataDxfId="25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4">
      <xmlColumnPr mapId="66" xpath="/Inductance/Part/FootprintRef2" xmlDataType="string"/>
    </tableColumn>
    <tableColumn id="12" xr3:uid="{32F2E3FF-9422-4CF5-B324-9B3A82F8F97B}" uniqueName="FootprintPath3" name="Footprint Path 3" dataDxfId="23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2">
      <xmlColumnPr mapId="66" xpath="/Inductance/Part/FootprintRef3" xmlDataType="string"/>
    </tableColumn>
    <tableColumn id="14" xr3:uid="{182C547A-FB6B-4C10-86F9-E53125E130E2}" uniqueName="FootprintPath4" name="Footprint Path 4" dataDxfId="21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20">
      <xmlColumnPr mapId="66" xpath="/Inductance/Part/FootprintRef4" xmlDataType="string"/>
    </tableColumn>
    <tableColumn id="4" xr3:uid="{CA7AF69B-83D2-4752-8493-BAD0C62EE720}" uniqueName="Inductance" name="Inductance (μH)" dataDxfId="19">
      <xmlColumnPr mapId="66" xpath="/Inductance/Part/Inductance" xmlDataType="string"/>
    </tableColumn>
    <tableColumn id="5" xr3:uid="{C2963412-5B9C-4A2F-B88B-CC5D53C10CE2}" uniqueName="Current" name="Current (A)" dataDxfId="18">
      <xmlColumnPr mapId="66" xpath="/Inductance/Part/Current" xmlDataType="string"/>
    </tableColumn>
    <tableColumn id="16" xr3:uid="{CFC80C7F-7597-4120-91B5-A73734ECE731}" uniqueName="Value" name="Value" dataDxfId="17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K13" tableType="xml" totalsRowShown="0" headerRowDxfId="16" dataDxfId="15" connectionId="11">
  <autoFilter ref="A1:K13" xr:uid="{071F457A-0F82-4CD6-80C4-65E86DBEF353}"/>
  <tableColumns count="11">
    <tableColumn id="1" xr3:uid="{AE9DCB61-0A9B-41D9-AC76-56D9ED6F9D71}" uniqueName="PartNumber" name="Part Number" dataDxfId="14">
      <xmlColumnPr mapId="73" xpath="/Other/Part/PartNumber" xmlDataType="string"/>
    </tableColumn>
    <tableColumn id="2" xr3:uid="{8662C04B-9C7C-48A2-ACC7-0FAAF1F41588}" uniqueName="Description" name="Description" dataDxfId="13">
      <xmlColumnPr mapId="73" xpath="/Other/Part/Description" xmlDataType="string"/>
    </tableColumn>
    <tableColumn id="3" xr3:uid="{7CF3CA75-1923-4F19-999C-14E1807BD3F5}" uniqueName="Comment" name="Comment" dataDxfId="12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1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0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">
      <xmlColumnPr mapId="73" xpath="/Other/Part/FootprintPath1" xmlDataType="string"/>
    </tableColumn>
    <tableColumn id="7" xr3:uid="{78484622-732C-4ACF-9F43-B1AC2CDD73FA}" uniqueName="FootprintRef1" name="Footprint Ref 1" dataDxfId="8">
      <xmlColumnPr mapId="73" xpath="/Other/Part/FootprintRef1" xmlDataType="string"/>
    </tableColumn>
    <tableColumn id="8" xr3:uid="{9B1D9BE1-3884-44C5-88CA-6A2CCE154C24}" uniqueName="FootprintPath2" name="Footprint Path 2" dataDxfId="7">
      <xmlColumnPr mapId="73" xpath="/Other/Part/FootprintPath2" xmlDataType="string"/>
    </tableColumn>
    <tableColumn id="9" xr3:uid="{41DD9B28-B52E-42E2-980C-18F4A1B9EC96}" uniqueName="FootprintRef2" name="Footprint Ref 2" dataDxfId="6">
      <xmlColumnPr mapId="73" xpath="/Other/Part/FootprintRef2" xmlDataType="string"/>
    </tableColumn>
    <tableColumn id="10" xr3:uid="{93223D18-9C09-4B7B-8F23-E7B288A9B36F}" uniqueName="FootprintPath3" name="Footprint Path 3" dataDxfId="5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4">
      <xmlColumnPr mapId="73" xpath="/Other/Part/FootprintRef3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7" tableType="xml" totalsRowShown="0" headerRowDxfId="3" connectionId="7">
  <autoFilter ref="A1:I27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5"/>
  <sheetViews>
    <sheetView tabSelected="1" zoomScaleNormal="100" workbookViewId="0">
      <selection activeCell="B40" sqref="B40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377</v>
      </c>
      <c r="H8" t="s">
        <v>978</v>
      </c>
      <c r="I8" t="s">
        <v>977</v>
      </c>
      <c r="J8" t="s">
        <v>978</v>
      </c>
      <c r="K8" t="s">
        <v>1046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846</v>
      </c>
      <c r="B15" t="s">
        <v>847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848</v>
      </c>
      <c r="B16" t="s">
        <v>849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850</v>
      </c>
    </row>
    <row r="17" spans="1:9" x14ac:dyDescent="0.35">
      <c r="A17" t="s">
        <v>851</v>
      </c>
      <c r="B17" t="s">
        <v>852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873</v>
      </c>
      <c r="B18" t="s">
        <v>874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873</v>
      </c>
    </row>
    <row r="19" spans="1:9" x14ac:dyDescent="0.35">
      <c r="A19" t="s">
        <v>875</v>
      </c>
      <c r="B19" t="s">
        <v>876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877</v>
      </c>
    </row>
    <row r="20" spans="1:9" x14ac:dyDescent="0.35">
      <c r="A20" s="12" t="s">
        <v>878</v>
      </c>
      <c r="B20" t="s">
        <v>879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880</v>
      </c>
    </row>
    <row r="21" spans="1:9" x14ac:dyDescent="0.35">
      <c r="A21" t="s">
        <v>888</v>
      </c>
      <c r="B21" t="s">
        <v>889</v>
      </c>
      <c r="C21" s="2" t="s">
        <v>888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867</v>
      </c>
    </row>
    <row r="22" spans="1:9" x14ac:dyDescent="0.35">
      <c r="A22" t="s">
        <v>902</v>
      </c>
      <c r="B22" t="s">
        <v>903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901</v>
      </c>
    </row>
    <row r="23" spans="1:9" x14ac:dyDescent="0.35">
      <c r="A23" t="s">
        <v>906</v>
      </c>
      <c r="B23" t="s">
        <v>907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906</v>
      </c>
    </row>
    <row r="24" spans="1:9" x14ac:dyDescent="0.35">
      <c r="A24" t="s">
        <v>923</v>
      </c>
      <c r="B24" t="s">
        <v>925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377</v>
      </c>
    </row>
    <row r="25" spans="1:9" x14ac:dyDescent="0.35">
      <c r="A25" t="s">
        <v>924</v>
      </c>
      <c r="B25" t="s">
        <v>926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377</v>
      </c>
    </row>
    <row r="26" spans="1:9" x14ac:dyDescent="0.35">
      <c r="A26" t="s">
        <v>927</v>
      </c>
      <c r="B26" t="s">
        <v>928</v>
      </c>
      <c r="C26" s="2" t="s">
        <v>927</v>
      </c>
      <c r="D26" t="s">
        <v>929</v>
      </c>
      <c r="E26" t="s">
        <v>927</v>
      </c>
      <c r="F26" t="s">
        <v>930</v>
      </c>
      <c r="G26" t="s">
        <v>377</v>
      </c>
    </row>
    <row r="27" spans="1:9" x14ac:dyDescent="0.35">
      <c r="A27" t="s">
        <v>954</v>
      </c>
      <c r="B27" t="s">
        <v>955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973</v>
      </c>
      <c r="B28" t="s">
        <v>974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976</v>
      </c>
      <c r="G28" t="s">
        <v>975</v>
      </c>
      <c r="H28" t="s">
        <v>976</v>
      </c>
      <c r="I28" t="s">
        <v>1045</v>
      </c>
    </row>
    <row r="29" spans="1:9" x14ac:dyDescent="0.35">
      <c r="A29" t="s">
        <v>1029</v>
      </c>
      <c r="B29" t="s">
        <v>1030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1029</v>
      </c>
    </row>
    <row r="30" spans="1:9" x14ac:dyDescent="0.35">
      <c r="A30" t="s">
        <v>1031</v>
      </c>
      <c r="B30" t="s">
        <v>1061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1031</v>
      </c>
    </row>
    <row r="31" spans="1:9" x14ac:dyDescent="0.35">
      <c r="A31" t="s">
        <v>1032</v>
      </c>
      <c r="B31" t="s">
        <v>1060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1033</v>
      </c>
    </row>
    <row r="32" spans="1:9" x14ac:dyDescent="0.35">
      <c r="A32" t="s">
        <v>1056</v>
      </c>
      <c r="B32" t="s">
        <v>1057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1058</v>
      </c>
      <c r="B33" t="s">
        <v>1059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1076</v>
      </c>
      <c r="B34" t="s">
        <v>1077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867</v>
      </c>
    </row>
    <row r="35" spans="1:7" x14ac:dyDescent="0.35">
      <c r="A35" t="s">
        <v>1080</v>
      </c>
      <c r="B35" t="s">
        <v>1078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11"/>
  <sheetViews>
    <sheetView workbookViewId="0">
      <selection activeCell="A12" sqref="A12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9" x14ac:dyDescent="0.35">
      <c r="A3" s="2" t="s">
        <v>869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392</v>
      </c>
      <c r="I3" s="16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 s="16">
        <v>45</v>
      </c>
      <c r="I5" s="16">
        <v>10</v>
      </c>
    </row>
    <row r="6" spans="1:9" x14ac:dyDescent="0.35">
      <c r="A6" t="s">
        <v>884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9" x14ac:dyDescent="0.35">
      <c r="A7" t="s">
        <v>958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959</v>
      </c>
    </row>
    <row r="8" spans="1:9" x14ac:dyDescent="0.35">
      <c r="A8" t="s">
        <v>1034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1037</v>
      </c>
      <c r="E8" t="s">
        <v>1034</v>
      </c>
      <c r="F8" t="str">
        <f>CONCATENATE("Footprints\",G8,".PcbLib")</f>
        <v>Footprints\SOT23.PcbLib</v>
      </c>
      <c r="G8" t="s">
        <v>1035</v>
      </c>
      <c r="H8" s="16">
        <v>70</v>
      </c>
      <c r="I8" s="16" t="s">
        <v>1036</v>
      </c>
    </row>
    <row r="9" spans="1:9" x14ac:dyDescent="0.35">
      <c r="A9" t="s">
        <v>1047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9" x14ac:dyDescent="0.35">
      <c r="A10" t="s">
        <v>1048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9" x14ac:dyDescent="0.35">
      <c r="A11" t="s">
        <v>1052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1"/>
  <sheetViews>
    <sheetView zoomScaleNormal="100" workbookViewId="0">
      <selection activeCell="G4" sqref="G4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1074</v>
      </c>
    </row>
    <row r="2" spans="1:12" ht="13" customHeight="1" x14ac:dyDescent="0.35">
      <c r="A2" s="2" t="s">
        <v>70</v>
      </c>
      <c r="B2" s="2" t="s">
        <v>777</v>
      </c>
      <c r="C2" s="2" t="s">
        <v>70</v>
      </c>
      <c r="D2" s="2" t="s">
        <v>73</v>
      </c>
      <c r="E2" s="2" t="s">
        <v>74</v>
      </c>
      <c r="F2" s="2" t="s">
        <v>778</v>
      </c>
      <c r="G2" s="2" t="s">
        <v>72</v>
      </c>
      <c r="H2" s="2" t="s">
        <v>387</v>
      </c>
      <c r="I2" s="2" t="s">
        <v>779</v>
      </c>
      <c r="J2" s="2" t="s">
        <v>780</v>
      </c>
      <c r="K2" s="2" t="s">
        <v>781</v>
      </c>
      <c r="L2" s="11">
        <v>0.05</v>
      </c>
    </row>
    <row r="3" spans="1:12" x14ac:dyDescent="0.35">
      <c r="A3" t="s">
        <v>936</v>
      </c>
      <c r="B3" s="2" t="s">
        <v>937</v>
      </c>
      <c r="C3" t="s">
        <v>936</v>
      </c>
      <c r="D3" s="2" t="s">
        <v>73</v>
      </c>
      <c r="E3" s="2" t="s">
        <v>74</v>
      </c>
      <c r="F3" s="2" t="s">
        <v>938</v>
      </c>
      <c r="G3" t="s">
        <v>939</v>
      </c>
      <c r="H3" s="2" t="s">
        <v>940</v>
      </c>
      <c r="I3" s="2">
        <v>5</v>
      </c>
      <c r="J3" s="2" t="s">
        <v>1071</v>
      </c>
      <c r="K3" s="2" t="s">
        <v>941</v>
      </c>
      <c r="L3" s="11">
        <v>0.02</v>
      </c>
    </row>
    <row r="4" spans="1:12" x14ac:dyDescent="0.35">
      <c r="A4" t="s">
        <v>1067</v>
      </c>
      <c r="B4" s="2" t="s">
        <v>1068</v>
      </c>
      <c r="C4" t="s">
        <v>1067</v>
      </c>
      <c r="D4" s="2" t="s">
        <v>1069</v>
      </c>
      <c r="E4" t="s">
        <v>1070</v>
      </c>
      <c r="F4" s="2" t="s">
        <v>1075</v>
      </c>
      <c r="G4" t="s">
        <v>18</v>
      </c>
      <c r="H4" s="2" t="s">
        <v>386</v>
      </c>
      <c r="I4" s="2">
        <v>5</v>
      </c>
      <c r="J4" s="2" t="s">
        <v>1072</v>
      </c>
      <c r="K4" s="2" t="s">
        <v>1073</v>
      </c>
      <c r="L4" s="11">
        <v>0.02</v>
      </c>
    </row>
    <row r="5" spans="1:12" x14ac:dyDescent="0.35">
      <c r="H5" s="2"/>
      <c r="I5" s="2"/>
      <c r="J5" s="2"/>
      <c r="K5" s="2"/>
    </row>
    <row r="6" spans="1:12" x14ac:dyDescent="0.35">
      <c r="H6" s="2"/>
      <c r="I6" s="2"/>
      <c r="J6" s="2"/>
      <c r="K6" s="2"/>
    </row>
    <row r="7" spans="1:12" x14ac:dyDescent="0.35">
      <c r="H7" s="2"/>
      <c r="I7" s="2"/>
      <c r="J7" s="2"/>
      <c r="K7" s="2"/>
    </row>
    <row r="8" spans="1:12" x14ac:dyDescent="0.35">
      <c r="H8" s="2"/>
      <c r="I8" s="2"/>
      <c r="J8" s="2"/>
      <c r="K8" s="2"/>
    </row>
    <row r="9" spans="1:12" x14ac:dyDescent="0.35">
      <c r="H9" s="2"/>
      <c r="I9" s="2"/>
      <c r="J9" s="2"/>
      <c r="K9" s="2"/>
    </row>
    <row r="10" spans="1:12" x14ac:dyDescent="0.35">
      <c r="H10" s="2"/>
      <c r="I10" s="2"/>
      <c r="J10" s="2"/>
      <c r="K10" s="2"/>
    </row>
    <row r="11" spans="1:12" x14ac:dyDescent="0.35">
      <c r="H11" s="2"/>
      <c r="I11" s="2"/>
      <c r="J11" s="2"/>
      <c r="K11" s="2"/>
    </row>
    <row r="12" spans="1:12" x14ac:dyDescent="0.35">
      <c r="H12" s="2"/>
      <c r="I12" s="2"/>
      <c r="J12" s="2"/>
      <c r="K12" s="2"/>
    </row>
    <row r="13" spans="1:12" x14ac:dyDescent="0.35">
      <c r="H13" s="2"/>
      <c r="I13" s="2"/>
      <c r="J13" s="2"/>
      <c r="K13" s="2"/>
    </row>
    <row r="14" spans="1:12" x14ac:dyDescent="0.35">
      <c r="H14" s="2"/>
      <c r="I14" s="2"/>
      <c r="J14" s="2"/>
      <c r="K14" s="2"/>
    </row>
    <row r="15" spans="1:12" x14ac:dyDescent="0.35">
      <c r="H15" s="2"/>
      <c r="I15" s="2"/>
      <c r="J15" s="2"/>
      <c r="K15" s="2"/>
    </row>
    <row r="16" spans="1:12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853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854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918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935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946</v>
      </c>
      <c r="K1" s="1" t="s">
        <v>947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840</v>
      </c>
      <c r="B7" s="3" t="s">
        <v>21</v>
      </c>
      <c r="C7" s="2" t="str">
        <f t="shared" si="0"/>
        <v>AO4411</v>
      </c>
      <c r="D7" s="3" t="s">
        <v>841</v>
      </c>
      <c r="E7" s="3" t="s">
        <v>842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843</v>
      </c>
      <c r="B8" s="1" t="s">
        <v>844</v>
      </c>
      <c r="C8" s="2" t="str">
        <f>A8</f>
        <v>AO4812</v>
      </c>
      <c r="D8" s="3" t="s">
        <v>845</v>
      </c>
      <c r="E8" s="1" t="s">
        <v>843</v>
      </c>
      <c r="F8" t="str">
        <f t="shared" si="1"/>
        <v>Footprints\SOP8.PcbLib</v>
      </c>
      <c r="G8" s="1" t="s">
        <v>867</v>
      </c>
      <c r="J8" t="s">
        <v>950</v>
      </c>
      <c r="K8" t="s">
        <v>951</v>
      </c>
    </row>
    <row r="9" spans="1:19" ht="15.5" x14ac:dyDescent="0.35">
      <c r="A9" s="1" t="s">
        <v>942</v>
      </c>
      <c r="B9" s="1" t="s">
        <v>943</v>
      </c>
      <c r="C9" s="2" t="str">
        <f>A9</f>
        <v>bc807</v>
      </c>
      <c r="D9" s="3" t="s">
        <v>945</v>
      </c>
      <c r="E9" s="1" t="s">
        <v>944</v>
      </c>
      <c r="F9" t="str">
        <f>CONCATENATE("Footprints\",G9,".PcbLib")</f>
        <v>Footprints\SOT23-3.PcbLib</v>
      </c>
      <c r="G9" s="3" t="s">
        <v>18</v>
      </c>
      <c r="J9" t="s">
        <v>948</v>
      </c>
      <c r="K9" t="s">
        <v>949</v>
      </c>
    </row>
    <row r="10" spans="1:19" ht="15.5" x14ac:dyDescent="0.35">
      <c r="A10" s="1" t="s">
        <v>969</v>
      </c>
      <c r="B10" s="1" t="s">
        <v>972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970</v>
      </c>
      <c r="K10" t="s">
        <v>971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523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524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525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526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527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528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529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530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531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532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463</v>
      </c>
      <c r="B12" s="3" t="s">
        <v>533</v>
      </c>
      <c r="C12" s="3" t="s">
        <v>26</v>
      </c>
      <c r="D12" s="3" t="s">
        <v>29</v>
      </c>
      <c r="E12" s="3" t="s">
        <v>26</v>
      </c>
      <c r="F12" s="3" t="s">
        <v>378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464</v>
      </c>
      <c r="B13" s="3" t="s">
        <v>534</v>
      </c>
      <c r="C13" s="3" t="s">
        <v>26</v>
      </c>
      <c r="D13" s="3" t="s">
        <v>29</v>
      </c>
      <c r="E13" s="3" t="s">
        <v>26</v>
      </c>
      <c r="F13" s="3" t="s">
        <v>379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465</v>
      </c>
      <c r="B14" s="3" t="s">
        <v>535</v>
      </c>
      <c r="C14" s="3" t="s">
        <v>26</v>
      </c>
      <c r="D14" s="3" t="s">
        <v>29</v>
      </c>
      <c r="E14" s="3" t="s">
        <v>26</v>
      </c>
      <c r="F14" s="3" t="s">
        <v>380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466</v>
      </c>
      <c r="B15" s="3" t="s">
        <v>536</v>
      </c>
      <c r="C15" s="3" t="s">
        <v>26</v>
      </c>
      <c r="D15" s="3" t="s">
        <v>29</v>
      </c>
      <c r="E15" s="3" t="s">
        <v>26</v>
      </c>
      <c r="F15" s="3" t="s">
        <v>381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467</v>
      </c>
      <c r="B16" s="3" t="s">
        <v>537</v>
      </c>
      <c r="C16" s="3" t="s">
        <v>26</v>
      </c>
      <c r="D16" s="3" t="s">
        <v>29</v>
      </c>
      <c r="E16" s="3" t="s">
        <v>26</v>
      </c>
      <c r="F16" s="3" t="s">
        <v>382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468</v>
      </c>
      <c r="B17" s="3" t="s">
        <v>538</v>
      </c>
      <c r="C17" s="3" t="s">
        <v>26</v>
      </c>
      <c r="D17" s="3" t="s">
        <v>29</v>
      </c>
      <c r="E17" s="3" t="s">
        <v>26</v>
      </c>
      <c r="F17" s="3" t="s">
        <v>383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469</v>
      </c>
      <c r="B18" s="3" t="s">
        <v>539</v>
      </c>
      <c r="C18" s="3" t="s">
        <v>26</v>
      </c>
      <c r="D18" s="3" t="s">
        <v>29</v>
      </c>
      <c r="E18" s="3" t="s">
        <v>26</v>
      </c>
      <c r="F18" s="3" t="s">
        <v>384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540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541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542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543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544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516</v>
      </c>
      <c r="B24" s="3" t="s">
        <v>545</v>
      </c>
      <c r="C24" s="3" t="s">
        <v>26</v>
      </c>
      <c r="D24" s="3" t="s">
        <v>29</v>
      </c>
      <c r="E24" s="3" t="s">
        <v>26</v>
      </c>
      <c r="F24" s="3" t="s">
        <v>692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546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547</v>
      </c>
      <c r="C26" s="3" t="s">
        <v>26</v>
      </c>
      <c r="D26" s="3" t="s">
        <v>29</v>
      </c>
      <c r="E26" s="3" t="s">
        <v>26</v>
      </c>
      <c r="F26" s="3" t="s">
        <v>385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548</v>
      </c>
      <c r="C27" s="3" t="s">
        <v>26</v>
      </c>
      <c r="D27" s="3" t="s">
        <v>29</v>
      </c>
      <c r="E27" s="3" t="s">
        <v>26</v>
      </c>
      <c r="F27" s="3" t="s">
        <v>386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549</v>
      </c>
      <c r="C28" s="3" t="s">
        <v>26</v>
      </c>
      <c r="D28" s="3" t="s">
        <v>29</v>
      </c>
      <c r="E28" s="3" t="s">
        <v>26</v>
      </c>
      <c r="F28" s="3" t="s">
        <v>387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550</v>
      </c>
      <c r="C29" s="3" t="s">
        <v>26</v>
      </c>
      <c r="D29" s="3" t="s">
        <v>29</v>
      </c>
      <c r="E29" s="3" t="s">
        <v>26</v>
      </c>
      <c r="F29" s="3" t="s">
        <v>388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551</v>
      </c>
      <c r="C30" s="3" t="s">
        <v>26</v>
      </c>
      <c r="D30" s="3" t="s">
        <v>29</v>
      </c>
      <c r="E30" s="3" t="s">
        <v>26</v>
      </c>
      <c r="F30" s="3" t="s">
        <v>389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552</v>
      </c>
      <c r="C31" s="3" t="s">
        <v>26</v>
      </c>
      <c r="D31" s="3" t="s">
        <v>29</v>
      </c>
      <c r="E31" s="3" t="s">
        <v>26</v>
      </c>
      <c r="F31" s="3" t="s">
        <v>390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553</v>
      </c>
      <c r="C32" s="3" t="s">
        <v>26</v>
      </c>
      <c r="D32" s="3" t="s">
        <v>29</v>
      </c>
      <c r="E32" s="3" t="s">
        <v>26</v>
      </c>
      <c r="F32" s="3" t="s">
        <v>391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554</v>
      </c>
      <c r="C33" s="3" t="s">
        <v>26</v>
      </c>
      <c r="D33" s="3" t="s">
        <v>29</v>
      </c>
      <c r="E33" s="3" t="s">
        <v>26</v>
      </c>
      <c r="F33" s="3" t="s">
        <v>392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555</v>
      </c>
      <c r="C34" s="3" t="s">
        <v>26</v>
      </c>
      <c r="D34" s="3" t="s">
        <v>29</v>
      </c>
      <c r="E34" s="3" t="s">
        <v>26</v>
      </c>
      <c r="F34" s="3" t="s">
        <v>393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556</v>
      </c>
      <c r="C35" s="3" t="s">
        <v>26</v>
      </c>
      <c r="D35" s="3" t="s">
        <v>29</v>
      </c>
      <c r="E35" s="3" t="s">
        <v>26</v>
      </c>
      <c r="F35" s="3" t="s">
        <v>394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470</v>
      </c>
      <c r="B36" s="3" t="s">
        <v>557</v>
      </c>
      <c r="C36" s="3" t="s">
        <v>26</v>
      </c>
      <c r="D36" s="3" t="s">
        <v>29</v>
      </c>
      <c r="E36" s="3" t="s">
        <v>26</v>
      </c>
      <c r="F36" s="3" t="s">
        <v>395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471</v>
      </c>
      <c r="B37" s="3" t="s">
        <v>558</v>
      </c>
      <c r="C37" s="3" t="s">
        <v>26</v>
      </c>
      <c r="D37" s="3" t="s">
        <v>29</v>
      </c>
      <c r="E37" s="3" t="s">
        <v>26</v>
      </c>
      <c r="F37" s="3" t="s">
        <v>396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472</v>
      </c>
      <c r="B38" s="3" t="s">
        <v>559</v>
      </c>
      <c r="C38" s="3" t="s">
        <v>26</v>
      </c>
      <c r="D38" s="3" t="s">
        <v>29</v>
      </c>
      <c r="E38" s="3" t="s">
        <v>26</v>
      </c>
      <c r="F38" s="3" t="s">
        <v>397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473</v>
      </c>
      <c r="B39" s="3" t="s">
        <v>560</v>
      </c>
      <c r="C39" s="3" t="s">
        <v>26</v>
      </c>
      <c r="D39" s="3" t="s">
        <v>29</v>
      </c>
      <c r="E39" s="3" t="s">
        <v>26</v>
      </c>
      <c r="F39" s="3" t="s">
        <v>398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474</v>
      </c>
      <c r="B40" s="3" t="s">
        <v>561</v>
      </c>
      <c r="C40" s="3" t="s">
        <v>26</v>
      </c>
      <c r="D40" s="3" t="s">
        <v>29</v>
      </c>
      <c r="E40" s="3" t="s">
        <v>26</v>
      </c>
      <c r="F40" s="3" t="s">
        <v>399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475</v>
      </c>
      <c r="B41" s="3" t="s">
        <v>562</v>
      </c>
      <c r="C41" s="3" t="s">
        <v>26</v>
      </c>
      <c r="D41" s="3" t="s">
        <v>29</v>
      </c>
      <c r="E41" s="3" t="s">
        <v>26</v>
      </c>
      <c r="F41" s="3" t="s">
        <v>400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476</v>
      </c>
      <c r="B42" s="3" t="s">
        <v>563</v>
      </c>
      <c r="C42" s="3" t="s">
        <v>26</v>
      </c>
      <c r="D42" s="3" t="s">
        <v>29</v>
      </c>
      <c r="E42" s="3" t="s">
        <v>26</v>
      </c>
      <c r="F42" s="3" t="s">
        <v>401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564</v>
      </c>
      <c r="C43" s="3" t="s">
        <v>26</v>
      </c>
      <c r="D43" s="3" t="s">
        <v>29</v>
      </c>
      <c r="E43" s="3" t="s">
        <v>26</v>
      </c>
      <c r="F43" s="3" t="s">
        <v>402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565</v>
      </c>
      <c r="C44" s="3" t="s">
        <v>26</v>
      </c>
      <c r="D44" s="3" t="s">
        <v>29</v>
      </c>
      <c r="E44" s="3" t="s">
        <v>26</v>
      </c>
      <c r="F44" s="3" t="s">
        <v>403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566</v>
      </c>
      <c r="C45" s="3" t="s">
        <v>26</v>
      </c>
      <c r="D45" s="3" t="s">
        <v>29</v>
      </c>
      <c r="E45" s="3" t="s">
        <v>26</v>
      </c>
      <c r="F45" s="3" t="s">
        <v>404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567</v>
      </c>
      <c r="C46" s="3" t="s">
        <v>26</v>
      </c>
      <c r="D46" s="3" t="s">
        <v>29</v>
      </c>
      <c r="E46" s="3" t="s">
        <v>26</v>
      </c>
      <c r="F46" s="3" t="s">
        <v>405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568</v>
      </c>
      <c r="C47" s="3" t="s">
        <v>26</v>
      </c>
      <c r="D47" s="3" t="s">
        <v>29</v>
      </c>
      <c r="E47" s="3" t="s">
        <v>26</v>
      </c>
      <c r="F47" s="3" t="s">
        <v>406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517</v>
      </c>
      <c r="B48" s="3" t="s">
        <v>569</v>
      </c>
      <c r="C48" s="3" t="s">
        <v>26</v>
      </c>
      <c r="D48" s="3" t="s">
        <v>29</v>
      </c>
      <c r="E48" s="3" t="s">
        <v>26</v>
      </c>
      <c r="F48" s="3" t="s">
        <v>693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570</v>
      </c>
      <c r="C49" s="3" t="s">
        <v>26</v>
      </c>
      <c r="D49" s="3" t="s">
        <v>29</v>
      </c>
      <c r="E49" s="3" t="s">
        <v>26</v>
      </c>
      <c r="F49" s="3" t="s">
        <v>407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571</v>
      </c>
      <c r="C50" s="3" t="s">
        <v>26</v>
      </c>
      <c r="D50" s="3" t="s">
        <v>29</v>
      </c>
      <c r="E50" s="3" t="s">
        <v>26</v>
      </c>
      <c r="F50" s="3" t="s">
        <v>408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572</v>
      </c>
      <c r="C51" s="3" t="s">
        <v>26</v>
      </c>
      <c r="D51" s="3" t="s">
        <v>29</v>
      </c>
      <c r="E51" s="3" t="s">
        <v>26</v>
      </c>
      <c r="F51" s="3" t="s">
        <v>409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573</v>
      </c>
      <c r="C52" s="3" t="s">
        <v>26</v>
      </c>
      <c r="D52" s="3" t="s">
        <v>29</v>
      </c>
      <c r="E52" s="3" t="s">
        <v>26</v>
      </c>
      <c r="F52" s="3" t="s">
        <v>410</v>
      </c>
      <c r="G52" s="4">
        <v>0.01</v>
      </c>
      <c r="H52" s="3" t="s">
        <v>136</v>
      </c>
      <c r="I52" s="3" t="s">
        <v>32</v>
      </c>
      <c r="J52" s="3" t="s">
        <v>953</v>
      </c>
      <c r="K52" s="1" t="s">
        <v>952</v>
      </c>
    </row>
    <row r="53" spans="1:11" ht="15.5" x14ac:dyDescent="0.35">
      <c r="A53" s="3" t="s">
        <v>186</v>
      </c>
      <c r="B53" s="3" t="s">
        <v>574</v>
      </c>
      <c r="C53" s="3" t="s">
        <v>26</v>
      </c>
      <c r="D53" s="3" t="s">
        <v>29</v>
      </c>
      <c r="E53" s="3" t="s">
        <v>26</v>
      </c>
      <c r="F53" s="3" t="s">
        <v>411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575</v>
      </c>
      <c r="C54" s="3" t="s">
        <v>26</v>
      </c>
      <c r="D54" s="3" t="s">
        <v>29</v>
      </c>
      <c r="E54" s="3" t="s">
        <v>26</v>
      </c>
      <c r="F54" s="3" t="s">
        <v>412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576</v>
      </c>
      <c r="C55" s="3" t="s">
        <v>26</v>
      </c>
      <c r="D55" s="3" t="s">
        <v>29</v>
      </c>
      <c r="E55" s="3" t="s">
        <v>26</v>
      </c>
      <c r="F55" s="3" t="s">
        <v>413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577</v>
      </c>
      <c r="C56" s="3" t="s">
        <v>26</v>
      </c>
      <c r="D56" s="3" t="s">
        <v>29</v>
      </c>
      <c r="E56" s="3" t="s">
        <v>26</v>
      </c>
      <c r="F56" s="3" t="s">
        <v>414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578</v>
      </c>
      <c r="C57" s="3" t="s">
        <v>26</v>
      </c>
      <c r="D57" s="3" t="s">
        <v>29</v>
      </c>
      <c r="E57" s="3" t="s">
        <v>26</v>
      </c>
      <c r="F57" s="3" t="s">
        <v>415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579</v>
      </c>
      <c r="C58" s="3" t="s">
        <v>26</v>
      </c>
      <c r="D58" s="3" t="s">
        <v>29</v>
      </c>
      <c r="E58" s="3" t="s">
        <v>26</v>
      </c>
      <c r="F58" s="3" t="s">
        <v>416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580</v>
      </c>
      <c r="C59" s="3" t="s">
        <v>26</v>
      </c>
      <c r="D59" s="3" t="s">
        <v>29</v>
      </c>
      <c r="E59" s="3" t="s">
        <v>26</v>
      </c>
      <c r="F59" s="3" t="s">
        <v>417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477</v>
      </c>
      <c r="B60" s="3" t="s">
        <v>581</v>
      </c>
      <c r="C60" s="3" t="s">
        <v>26</v>
      </c>
      <c r="D60" s="3" t="s">
        <v>29</v>
      </c>
      <c r="E60" s="3" t="s">
        <v>26</v>
      </c>
      <c r="F60" s="3" t="s">
        <v>418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478</v>
      </c>
      <c r="B61" s="3" t="s">
        <v>582</v>
      </c>
      <c r="C61" s="3" t="s">
        <v>26</v>
      </c>
      <c r="D61" s="3" t="s">
        <v>29</v>
      </c>
      <c r="E61" s="3" t="s">
        <v>26</v>
      </c>
      <c r="F61" s="3" t="s">
        <v>419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479</v>
      </c>
      <c r="B62" s="3" t="s">
        <v>583</v>
      </c>
      <c r="C62" s="3" t="s">
        <v>26</v>
      </c>
      <c r="D62" s="3" t="s">
        <v>29</v>
      </c>
      <c r="E62" s="3" t="s">
        <v>26</v>
      </c>
      <c r="F62" s="3" t="s">
        <v>420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480</v>
      </c>
      <c r="B63" s="3" t="s">
        <v>584</v>
      </c>
      <c r="C63" s="3" t="s">
        <v>26</v>
      </c>
      <c r="D63" s="3" t="s">
        <v>29</v>
      </c>
      <c r="E63" s="3" t="s">
        <v>26</v>
      </c>
      <c r="F63" s="3" t="s">
        <v>421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481</v>
      </c>
      <c r="B64" s="3" t="s">
        <v>585</v>
      </c>
      <c r="C64" s="3" t="s">
        <v>26</v>
      </c>
      <c r="D64" s="3" t="s">
        <v>29</v>
      </c>
      <c r="E64" s="3" t="s">
        <v>26</v>
      </c>
      <c r="F64" s="3" t="s">
        <v>422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482</v>
      </c>
      <c r="B65" s="3" t="s">
        <v>586</v>
      </c>
      <c r="C65" s="3" t="s">
        <v>26</v>
      </c>
      <c r="D65" s="3" t="s">
        <v>29</v>
      </c>
      <c r="E65" s="3" t="s">
        <v>26</v>
      </c>
      <c r="F65" s="3" t="s">
        <v>423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483</v>
      </c>
      <c r="B66" s="3" t="s">
        <v>587</v>
      </c>
      <c r="C66" s="3" t="s">
        <v>26</v>
      </c>
      <c r="D66" s="3" t="s">
        <v>29</v>
      </c>
      <c r="E66" s="3" t="s">
        <v>26</v>
      </c>
      <c r="F66" s="3" t="s">
        <v>424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588</v>
      </c>
      <c r="C67" s="3" t="s">
        <v>26</v>
      </c>
      <c r="D67" s="3" t="s">
        <v>29</v>
      </c>
      <c r="E67" s="3" t="s">
        <v>26</v>
      </c>
      <c r="F67" s="3" t="s">
        <v>425</v>
      </c>
      <c r="G67" s="4">
        <v>0.01</v>
      </c>
      <c r="H67" s="3" t="s">
        <v>136</v>
      </c>
      <c r="I67" s="3" t="s">
        <v>32</v>
      </c>
      <c r="J67" s="3" t="s">
        <v>900</v>
      </c>
      <c r="K67" s="1" t="s">
        <v>899</v>
      </c>
    </row>
    <row r="68" spans="1:11" ht="15.5" x14ac:dyDescent="0.35">
      <c r="A68" s="3" t="s">
        <v>194</v>
      </c>
      <c r="B68" s="3" t="s">
        <v>589</v>
      </c>
      <c r="C68" s="3" t="s">
        <v>26</v>
      </c>
      <c r="D68" s="3" t="s">
        <v>29</v>
      </c>
      <c r="E68" s="3" t="s">
        <v>26</v>
      </c>
      <c r="F68" s="3" t="s">
        <v>426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590</v>
      </c>
      <c r="C69" s="3" t="s">
        <v>26</v>
      </c>
      <c r="D69" s="3" t="s">
        <v>29</v>
      </c>
      <c r="E69" s="3" t="s">
        <v>26</v>
      </c>
      <c r="F69" s="3" t="s">
        <v>427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591</v>
      </c>
      <c r="C70" s="3" t="s">
        <v>26</v>
      </c>
      <c r="D70" s="3" t="s">
        <v>29</v>
      </c>
      <c r="E70" s="3" t="s">
        <v>26</v>
      </c>
      <c r="F70" s="3" t="s">
        <v>428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592</v>
      </c>
      <c r="C71" s="3" t="s">
        <v>26</v>
      </c>
      <c r="D71" s="3" t="s">
        <v>29</v>
      </c>
      <c r="E71" s="3" t="s">
        <v>26</v>
      </c>
      <c r="F71" s="3" t="s">
        <v>429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518</v>
      </c>
      <c r="B72" s="3" t="s">
        <v>593</v>
      </c>
      <c r="C72" s="3" t="s">
        <v>26</v>
      </c>
      <c r="D72" s="3" t="s">
        <v>29</v>
      </c>
      <c r="E72" s="3" t="s">
        <v>26</v>
      </c>
      <c r="F72" s="3" t="s">
        <v>694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594</v>
      </c>
      <c r="C73" s="3" t="s">
        <v>26</v>
      </c>
      <c r="D73" s="3" t="s">
        <v>29</v>
      </c>
      <c r="E73" s="3" t="s">
        <v>26</v>
      </c>
      <c r="F73" s="3" t="s">
        <v>430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484</v>
      </c>
      <c r="B74" s="3" t="s">
        <v>595</v>
      </c>
      <c r="C74" s="3" t="s">
        <v>26</v>
      </c>
      <c r="D74" s="3" t="s">
        <v>29</v>
      </c>
      <c r="E74" s="3" t="s">
        <v>26</v>
      </c>
      <c r="F74" s="3" t="s">
        <v>431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596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597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598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599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600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601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485</v>
      </c>
      <c r="B81" s="3" t="s">
        <v>602</v>
      </c>
      <c r="C81" s="3" t="s">
        <v>26</v>
      </c>
      <c r="D81" s="3" t="s">
        <v>29</v>
      </c>
      <c r="E81" s="3" t="s">
        <v>26</v>
      </c>
      <c r="F81" s="3" t="s">
        <v>432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603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604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486</v>
      </c>
      <c r="B84" s="3" t="s">
        <v>605</v>
      </c>
      <c r="C84" s="3" t="s">
        <v>26</v>
      </c>
      <c r="D84" s="3" t="s">
        <v>29</v>
      </c>
      <c r="E84" s="3" t="s">
        <v>26</v>
      </c>
      <c r="F84" s="3" t="s">
        <v>433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487</v>
      </c>
      <c r="B85" s="3" t="s">
        <v>606</v>
      </c>
      <c r="C85" s="3" t="s">
        <v>26</v>
      </c>
      <c r="D85" s="3" t="s">
        <v>29</v>
      </c>
      <c r="E85" s="3" t="s">
        <v>26</v>
      </c>
      <c r="F85" s="3" t="s">
        <v>434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488</v>
      </c>
      <c r="B86" s="3" t="s">
        <v>607</v>
      </c>
      <c r="C86" s="3" t="s">
        <v>26</v>
      </c>
      <c r="D86" s="3" t="s">
        <v>29</v>
      </c>
      <c r="E86" s="3" t="s">
        <v>26</v>
      </c>
      <c r="F86" s="3" t="s">
        <v>435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489</v>
      </c>
      <c r="B87" s="3" t="s">
        <v>608</v>
      </c>
      <c r="C87" s="3" t="s">
        <v>26</v>
      </c>
      <c r="D87" s="3" t="s">
        <v>29</v>
      </c>
      <c r="E87" s="3" t="s">
        <v>26</v>
      </c>
      <c r="F87" s="3" t="s">
        <v>436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490</v>
      </c>
      <c r="B88" s="3" t="s">
        <v>609</v>
      </c>
      <c r="C88" s="3" t="s">
        <v>26</v>
      </c>
      <c r="D88" s="3" t="s">
        <v>29</v>
      </c>
      <c r="E88" s="3" t="s">
        <v>26</v>
      </c>
      <c r="F88" s="3" t="s">
        <v>437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491</v>
      </c>
      <c r="B89" s="3" t="s">
        <v>610</v>
      </c>
      <c r="C89" s="3" t="s">
        <v>26</v>
      </c>
      <c r="D89" s="3" t="s">
        <v>29</v>
      </c>
      <c r="E89" s="3" t="s">
        <v>26</v>
      </c>
      <c r="F89" s="3" t="s">
        <v>438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492</v>
      </c>
      <c r="B90" s="3" t="s">
        <v>611</v>
      </c>
      <c r="C90" s="3" t="s">
        <v>26</v>
      </c>
      <c r="D90" s="3" t="s">
        <v>29</v>
      </c>
      <c r="E90" s="3" t="s">
        <v>26</v>
      </c>
      <c r="F90" s="3" t="s">
        <v>439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612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613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614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615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616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519</v>
      </c>
      <c r="B96" s="3" t="s">
        <v>617</v>
      </c>
      <c r="C96" s="3" t="s">
        <v>26</v>
      </c>
      <c r="D96" s="3" t="s">
        <v>29</v>
      </c>
      <c r="E96" s="3" t="s">
        <v>26</v>
      </c>
      <c r="F96" s="3" t="s">
        <v>695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618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619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620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493</v>
      </c>
      <c r="B100" s="3" t="s">
        <v>621</v>
      </c>
      <c r="C100" s="3" t="s">
        <v>26</v>
      </c>
      <c r="D100" s="3" t="s">
        <v>29</v>
      </c>
      <c r="E100" s="3" t="s">
        <v>26</v>
      </c>
      <c r="F100" s="3" t="s">
        <v>440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622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623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624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625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626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627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628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494</v>
      </c>
      <c r="B108" s="3" t="s">
        <v>629</v>
      </c>
      <c r="C108" s="3" t="s">
        <v>26</v>
      </c>
      <c r="D108" s="3" t="s">
        <v>29</v>
      </c>
      <c r="E108" s="3" t="s">
        <v>26</v>
      </c>
      <c r="F108" s="3" t="s">
        <v>441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495</v>
      </c>
      <c r="B109" s="3" t="s">
        <v>630</v>
      </c>
      <c r="C109" s="3" t="s">
        <v>26</v>
      </c>
      <c r="D109" s="3" t="s">
        <v>29</v>
      </c>
      <c r="E109" s="3" t="s">
        <v>26</v>
      </c>
      <c r="F109" s="3" t="s">
        <v>442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855</v>
      </c>
      <c r="B110" s="3" t="s">
        <v>857</v>
      </c>
      <c r="C110" s="3" t="s">
        <v>26</v>
      </c>
      <c r="D110" s="3" t="s">
        <v>29</v>
      </c>
      <c r="E110" s="3" t="s">
        <v>26</v>
      </c>
      <c r="F110" s="1" t="s">
        <v>856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496</v>
      </c>
      <c r="B111" s="3" t="s">
        <v>631</v>
      </c>
      <c r="C111" s="3" t="s">
        <v>26</v>
      </c>
      <c r="D111" s="3" t="s">
        <v>29</v>
      </c>
      <c r="E111" s="3" t="s">
        <v>26</v>
      </c>
      <c r="F111" s="3" t="s">
        <v>443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497</v>
      </c>
      <c r="B112" s="3" t="s">
        <v>632</v>
      </c>
      <c r="C112" s="3" t="s">
        <v>26</v>
      </c>
      <c r="D112" s="3" t="s">
        <v>29</v>
      </c>
      <c r="E112" s="3" t="s">
        <v>26</v>
      </c>
      <c r="F112" s="3" t="s">
        <v>444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498</v>
      </c>
      <c r="B113" s="3" t="s">
        <v>633</v>
      </c>
      <c r="C113" s="3" t="s">
        <v>26</v>
      </c>
      <c r="D113" s="3" t="s">
        <v>29</v>
      </c>
      <c r="E113" s="3" t="s">
        <v>26</v>
      </c>
      <c r="F113" s="3" t="s">
        <v>445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499</v>
      </c>
      <c r="B114" s="3" t="s">
        <v>634</v>
      </c>
      <c r="C114" s="3" t="s">
        <v>26</v>
      </c>
      <c r="D114" s="3" t="s">
        <v>29</v>
      </c>
      <c r="E114" s="3" t="s">
        <v>26</v>
      </c>
      <c r="F114" s="3" t="s">
        <v>446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500</v>
      </c>
      <c r="B115" s="3" t="s">
        <v>635</v>
      </c>
      <c r="C115" s="3" t="s">
        <v>26</v>
      </c>
      <c r="D115" s="3" t="s">
        <v>29</v>
      </c>
      <c r="E115" s="3" t="s">
        <v>26</v>
      </c>
      <c r="F115" s="3" t="s">
        <v>447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636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637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638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639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640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520</v>
      </c>
      <c r="B121" s="3" t="s">
        <v>641</v>
      </c>
      <c r="C121" s="3" t="s">
        <v>26</v>
      </c>
      <c r="D121" s="3" t="s">
        <v>29</v>
      </c>
      <c r="E121" s="3" t="s">
        <v>26</v>
      </c>
      <c r="F121" s="3" t="s">
        <v>696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642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643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644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645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646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647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648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649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650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651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652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501</v>
      </c>
      <c r="B133" s="3" t="s">
        <v>653</v>
      </c>
      <c r="C133" s="3" t="s">
        <v>26</v>
      </c>
      <c r="D133" s="3" t="s">
        <v>29</v>
      </c>
      <c r="E133" s="3" t="s">
        <v>26</v>
      </c>
      <c r="F133" s="3" t="s">
        <v>448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502</v>
      </c>
      <c r="B134" s="3" t="s">
        <v>654</v>
      </c>
      <c r="C134" s="3" t="s">
        <v>26</v>
      </c>
      <c r="D134" s="3" t="s">
        <v>29</v>
      </c>
      <c r="E134" s="3" t="s">
        <v>26</v>
      </c>
      <c r="F134" s="3" t="s">
        <v>449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503</v>
      </c>
      <c r="B135" s="3" t="s">
        <v>655</v>
      </c>
      <c r="C135" s="3" t="s">
        <v>26</v>
      </c>
      <c r="D135" s="3" t="s">
        <v>29</v>
      </c>
      <c r="E135" s="3" t="s">
        <v>26</v>
      </c>
      <c r="F135" s="3" t="s">
        <v>450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504</v>
      </c>
      <c r="B136" s="3" t="s">
        <v>656</v>
      </c>
      <c r="C136" s="3" t="s">
        <v>26</v>
      </c>
      <c r="D136" s="3" t="s">
        <v>29</v>
      </c>
      <c r="E136" s="3" t="s">
        <v>26</v>
      </c>
      <c r="F136" s="3" t="s">
        <v>451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505</v>
      </c>
      <c r="B137" s="3" t="s">
        <v>657</v>
      </c>
      <c r="C137" s="3" t="s">
        <v>26</v>
      </c>
      <c r="D137" s="3" t="s">
        <v>29</v>
      </c>
      <c r="E137" s="3" t="s">
        <v>26</v>
      </c>
      <c r="F137" s="3" t="s">
        <v>452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506</v>
      </c>
      <c r="B138" s="3" t="s">
        <v>658</v>
      </c>
      <c r="C138" s="3" t="s">
        <v>26</v>
      </c>
      <c r="D138" s="3" t="s">
        <v>29</v>
      </c>
      <c r="E138" s="3" t="s">
        <v>26</v>
      </c>
      <c r="F138" s="3" t="s">
        <v>453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507</v>
      </c>
      <c r="B139" s="3" t="s">
        <v>659</v>
      </c>
      <c r="C139" s="3" t="s">
        <v>26</v>
      </c>
      <c r="D139" s="3" t="s">
        <v>29</v>
      </c>
      <c r="E139" s="3" t="s">
        <v>26</v>
      </c>
      <c r="F139" s="3" t="s">
        <v>454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660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661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662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663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664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521</v>
      </c>
      <c r="B145" s="3" t="s">
        <v>665</v>
      </c>
      <c r="C145" s="3" t="s">
        <v>26</v>
      </c>
      <c r="D145" s="3" t="s">
        <v>29</v>
      </c>
      <c r="E145" s="3" t="s">
        <v>26</v>
      </c>
      <c r="F145" s="3" t="s">
        <v>697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666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667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668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669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670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671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672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673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508</v>
      </c>
      <c r="B154" s="3" t="s">
        <v>674</v>
      </c>
      <c r="C154" s="3" t="s">
        <v>26</v>
      </c>
      <c r="D154" s="3" t="s">
        <v>29</v>
      </c>
      <c r="E154" s="3" t="s">
        <v>26</v>
      </c>
      <c r="F154" s="3" t="s">
        <v>455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675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676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509</v>
      </c>
      <c r="B157" s="3" t="s">
        <v>677</v>
      </c>
      <c r="C157" s="3" t="s">
        <v>26</v>
      </c>
      <c r="D157" s="3" t="s">
        <v>29</v>
      </c>
      <c r="E157" s="3" t="s">
        <v>26</v>
      </c>
      <c r="F157" s="3" t="s">
        <v>456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510</v>
      </c>
      <c r="B158" s="3" t="s">
        <v>678</v>
      </c>
      <c r="C158" s="3" t="s">
        <v>26</v>
      </c>
      <c r="D158" s="3" t="s">
        <v>29</v>
      </c>
      <c r="E158" s="3" t="s">
        <v>26</v>
      </c>
      <c r="F158" s="3" t="s">
        <v>457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511</v>
      </c>
      <c r="B159" s="3" t="s">
        <v>679</v>
      </c>
      <c r="C159" s="3" t="s">
        <v>26</v>
      </c>
      <c r="D159" s="3" t="s">
        <v>29</v>
      </c>
      <c r="E159" s="3" t="s">
        <v>26</v>
      </c>
      <c r="F159" s="3" t="s">
        <v>458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512</v>
      </c>
      <c r="B160" s="3" t="s">
        <v>680</v>
      </c>
      <c r="C160" s="3" t="s">
        <v>26</v>
      </c>
      <c r="D160" s="3" t="s">
        <v>29</v>
      </c>
      <c r="E160" s="3" t="s">
        <v>26</v>
      </c>
      <c r="F160" s="3" t="s">
        <v>459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513</v>
      </c>
      <c r="B161" s="3" t="s">
        <v>681</v>
      </c>
      <c r="C161" s="3" t="s">
        <v>26</v>
      </c>
      <c r="D161" s="3" t="s">
        <v>29</v>
      </c>
      <c r="E161" s="3" t="s">
        <v>26</v>
      </c>
      <c r="F161" s="3" t="s">
        <v>460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514</v>
      </c>
      <c r="B162" s="3" t="s">
        <v>682</v>
      </c>
      <c r="C162" s="3" t="s">
        <v>26</v>
      </c>
      <c r="D162" s="3" t="s">
        <v>29</v>
      </c>
      <c r="E162" s="3" t="s">
        <v>26</v>
      </c>
      <c r="F162" s="3" t="s">
        <v>461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515</v>
      </c>
      <c r="B163" s="3" t="s">
        <v>683</v>
      </c>
      <c r="C163" s="3" t="s">
        <v>26</v>
      </c>
      <c r="D163" s="3" t="s">
        <v>29</v>
      </c>
      <c r="E163" s="3" t="s">
        <v>26</v>
      </c>
      <c r="F163" s="3" t="s">
        <v>462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684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685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686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687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688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522</v>
      </c>
      <c r="B169" s="3" t="s">
        <v>689</v>
      </c>
      <c r="C169" s="3" t="s">
        <v>26</v>
      </c>
      <c r="D169" s="3" t="s">
        <v>29</v>
      </c>
      <c r="E169" s="3" t="s">
        <v>26</v>
      </c>
      <c r="F169" s="3" t="s">
        <v>698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690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691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890</v>
      </c>
      <c r="B172" s="1" t="s">
        <v>891</v>
      </c>
      <c r="C172" s="1" t="s">
        <v>890</v>
      </c>
      <c r="D172" s="3" t="s">
        <v>896</v>
      </c>
      <c r="E172" s="1" t="s">
        <v>895</v>
      </c>
      <c r="F172" s="1" t="s">
        <v>893</v>
      </c>
      <c r="G172" s="14">
        <v>0.5</v>
      </c>
      <c r="H172" s="3" t="s">
        <v>892</v>
      </c>
      <c r="I172" s="13" t="s">
        <v>894</v>
      </c>
      <c r="J172" s="1"/>
      <c r="K172" s="1"/>
    </row>
    <row r="173" spans="1:11" ht="15.5" x14ac:dyDescent="0.35">
      <c r="A173" s="15" t="s">
        <v>960</v>
      </c>
      <c r="B173" s="1" t="s">
        <v>961</v>
      </c>
      <c r="C173" s="1" t="s">
        <v>960</v>
      </c>
      <c r="D173" s="3" t="s">
        <v>896</v>
      </c>
      <c r="E173" s="1" t="s">
        <v>895</v>
      </c>
      <c r="F173" s="1">
        <v>100</v>
      </c>
      <c r="G173" s="14">
        <v>0.5</v>
      </c>
      <c r="H173" s="3" t="s">
        <v>892</v>
      </c>
      <c r="I173" s="13" t="s">
        <v>894</v>
      </c>
      <c r="J173" s="1"/>
      <c r="K173" s="1"/>
    </row>
    <row r="174" spans="1:11" ht="15.5" x14ac:dyDescent="0.35">
      <c r="A174" s="15" t="s">
        <v>964</v>
      </c>
      <c r="B174" s="1" t="s">
        <v>965</v>
      </c>
      <c r="C174" s="1" t="s">
        <v>964</v>
      </c>
      <c r="D174" s="3" t="s">
        <v>896</v>
      </c>
      <c r="E174" s="1" t="s">
        <v>895</v>
      </c>
      <c r="F174" s="1" t="s">
        <v>966</v>
      </c>
      <c r="G174" s="14">
        <v>0.5</v>
      </c>
      <c r="H174" s="3" t="s">
        <v>892</v>
      </c>
      <c r="I174" s="13" t="s">
        <v>894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A2" sqref="A2:T3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776</v>
      </c>
      <c r="H2" s="3" t="s">
        <v>37</v>
      </c>
      <c r="I2" s="3" t="s">
        <v>824</v>
      </c>
      <c r="J2" s="3" t="s">
        <v>38</v>
      </c>
      <c r="K2" s="10" t="s">
        <v>826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804</v>
      </c>
      <c r="E3" s="3" t="s">
        <v>39</v>
      </c>
      <c r="F3" s="3" t="s">
        <v>41</v>
      </c>
      <c r="G3" s="3" t="s">
        <v>823</v>
      </c>
      <c r="H3" s="3" t="s">
        <v>123</v>
      </c>
      <c r="I3" s="3" t="s">
        <v>825</v>
      </c>
      <c r="J3" s="3" t="s">
        <v>124</v>
      </c>
      <c r="K3" s="3" t="s">
        <v>827</v>
      </c>
      <c r="L3" s="3" t="s">
        <v>125</v>
      </c>
      <c r="M3" s="3" t="s">
        <v>828</v>
      </c>
      <c r="N3" s="3" t="s">
        <v>126</v>
      </c>
      <c r="O3" s="3" t="s">
        <v>829</v>
      </c>
      <c r="P3" s="3" t="s">
        <v>127</v>
      </c>
      <c r="Q3" s="3" t="s">
        <v>830</v>
      </c>
      <c r="R3" s="2" t="s">
        <v>131</v>
      </c>
      <c r="S3" s="3" t="s">
        <v>868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10" workbookViewId="0">
      <selection activeCell="I44" sqref="I44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1796875" bestFit="1" customWidth="1"/>
    <col min="4" max="4" width="23.81640625" bestFit="1" customWidth="1"/>
    <col min="5" max="5" width="13" bestFit="1" customWidth="1"/>
    <col min="6" max="6" width="8.1796875" bestFit="1" customWidth="1"/>
    <col min="7" max="7" width="12.1796875" bestFit="1" customWidth="1"/>
    <col min="8" max="8" width="13" bestFit="1" customWidth="1"/>
    <col min="9" max="9" width="11.54296875" bestFit="1" customWidth="1"/>
    <col min="10" max="10" width="31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700</v>
      </c>
      <c r="I1" s="8" t="s">
        <v>699</v>
      </c>
      <c r="J1" s="6" t="s">
        <v>12</v>
      </c>
      <c r="K1" s="6" t="s">
        <v>8</v>
      </c>
      <c r="L1" s="8" t="s">
        <v>701</v>
      </c>
    </row>
    <row r="2" spans="1:12" x14ac:dyDescent="0.35">
      <c r="A2" s="2" t="s">
        <v>702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739</v>
      </c>
      <c r="G2">
        <v>0.1</v>
      </c>
      <c r="H2">
        <v>50</v>
      </c>
      <c r="I2" s="2" t="s">
        <v>775</v>
      </c>
      <c r="J2" s="2" t="s">
        <v>776</v>
      </c>
      <c r="K2" s="2" t="s">
        <v>37</v>
      </c>
      <c r="L2">
        <v>1</v>
      </c>
    </row>
    <row r="3" spans="1:12" x14ac:dyDescent="0.35">
      <c r="A3" s="2" t="s">
        <v>703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740</v>
      </c>
      <c r="G3">
        <v>0.1</v>
      </c>
      <c r="H3">
        <v>50</v>
      </c>
      <c r="I3" s="2" t="s">
        <v>775</v>
      </c>
      <c r="J3" s="2" t="s">
        <v>776</v>
      </c>
      <c r="K3" s="2" t="s">
        <v>37</v>
      </c>
      <c r="L3">
        <v>1.2</v>
      </c>
    </row>
    <row r="4" spans="1:12" x14ac:dyDescent="0.35">
      <c r="A4" s="2" t="s">
        <v>704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741</v>
      </c>
      <c r="G4">
        <v>0.1</v>
      </c>
      <c r="H4">
        <v>50</v>
      </c>
      <c r="I4" s="2" t="s">
        <v>775</v>
      </c>
      <c r="J4" s="2" t="s">
        <v>776</v>
      </c>
      <c r="K4" s="2" t="s">
        <v>37</v>
      </c>
      <c r="L4">
        <v>1.5</v>
      </c>
    </row>
    <row r="5" spans="1:12" x14ac:dyDescent="0.35">
      <c r="A5" s="2" t="s">
        <v>705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742</v>
      </c>
      <c r="G5">
        <v>0.1</v>
      </c>
      <c r="H5">
        <v>50</v>
      </c>
      <c r="I5" s="2" t="s">
        <v>775</v>
      </c>
      <c r="J5" s="2" t="s">
        <v>776</v>
      </c>
      <c r="K5" s="2" t="s">
        <v>37</v>
      </c>
      <c r="L5">
        <v>1.8</v>
      </c>
    </row>
    <row r="6" spans="1:12" x14ac:dyDescent="0.35">
      <c r="A6" s="2" t="s">
        <v>706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743</v>
      </c>
      <c r="G6">
        <v>0.1</v>
      </c>
      <c r="H6">
        <v>50</v>
      </c>
      <c r="I6" s="2" t="s">
        <v>775</v>
      </c>
      <c r="J6" s="2" t="s">
        <v>776</v>
      </c>
      <c r="K6" s="2" t="s">
        <v>37</v>
      </c>
      <c r="L6">
        <v>2.2000000000000002</v>
      </c>
    </row>
    <row r="7" spans="1:12" x14ac:dyDescent="0.35">
      <c r="A7" s="2" t="s">
        <v>707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744</v>
      </c>
      <c r="G7">
        <v>0.1</v>
      </c>
      <c r="H7">
        <v>50</v>
      </c>
      <c r="I7" s="2" t="s">
        <v>775</v>
      </c>
      <c r="J7" s="2" t="s">
        <v>776</v>
      </c>
      <c r="K7" s="2" t="s">
        <v>37</v>
      </c>
      <c r="L7">
        <v>2.7</v>
      </c>
    </row>
    <row r="8" spans="1:12" x14ac:dyDescent="0.35">
      <c r="A8" s="2" t="s">
        <v>708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745</v>
      </c>
      <c r="G8">
        <v>0.1</v>
      </c>
      <c r="H8">
        <v>50</v>
      </c>
      <c r="I8" s="2" t="s">
        <v>775</v>
      </c>
      <c r="J8" s="2" t="s">
        <v>776</v>
      </c>
      <c r="K8" s="2" t="s">
        <v>37</v>
      </c>
      <c r="L8">
        <v>3.3</v>
      </c>
    </row>
    <row r="9" spans="1:12" x14ac:dyDescent="0.35">
      <c r="A9" s="2" t="s">
        <v>709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746</v>
      </c>
      <c r="G9">
        <v>0.1</v>
      </c>
      <c r="H9">
        <v>50</v>
      </c>
      <c r="I9" s="2" t="s">
        <v>775</v>
      </c>
      <c r="J9" s="2" t="s">
        <v>776</v>
      </c>
      <c r="K9" s="2" t="s">
        <v>37</v>
      </c>
      <c r="L9">
        <v>3.9</v>
      </c>
    </row>
    <row r="10" spans="1:12" x14ac:dyDescent="0.35">
      <c r="A10" s="2" t="s">
        <v>710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747</v>
      </c>
      <c r="G10">
        <v>0.1</v>
      </c>
      <c r="H10">
        <v>50</v>
      </c>
      <c r="I10" s="2" t="s">
        <v>775</v>
      </c>
      <c r="J10" s="2" t="s">
        <v>776</v>
      </c>
      <c r="K10" s="2" t="s">
        <v>37</v>
      </c>
      <c r="L10">
        <v>4.7</v>
      </c>
    </row>
    <row r="11" spans="1:12" x14ac:dyDescent="0.35">
      <c r="A11" s="2" t="s">
        <v>711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748</v>
      </c>
      <c r="G11">
        <v>0.1</v>
      </c>
      <c r="H11">
        <v>50</v>
      </c>
      <c r="I11" s="2" t="s">
        <v>775</v>
      </c>
      <c r="J11" s="2" t="s">
        <v>776</v>
      </c>
      <c r="K11" s="2" t="s">
        <v>37</v>
      </c>
      <c r="L11">
        <v>5.6</v>
      </c>
    </row>
    <row r="12" spans="1:12" x14ac:dyDescent="0.35">
      <c r="A12" s="2" t="s">
        <v>712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749</v>
      </c>
      <c r="G12">
        <v>0.1</v>
      </c>
      <c r="H12">
        <v>50</v>
      </c>
      <c r="I12" s="2" t="s">
        <v>775</v>
      </c>
      <c r="J12" s="2" t="s">
        <v>776</v>
      </c>
      <c r="K12" s="2" t="s">
        <v>37</v>
      </c>
      <c r="L12">
        <v>6.8</v>
      </c>
    </row>
    <row r="13" spans="1:12" x14ac:dyDescent="0.35">
      <c r="A13" s="2" t="s">
        <v>713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750</v>
      </c>
      <c r="G13">
        <v>0.1</v>
      </c>
      <c r="H13">
        <v>50</v>
      </c>
      <c r="I13" s="2" t="s">
        <v>775</v>
      </c>
      <c r="J13" s="2" t="s">
        <v>776</v>
      </c>
      <c r="K13" s="2" t="s">
        <v>37</v>
      </c>
      <c r="L13">
        <v>8.1999999999999993</v>
      </c>
    </row>
    <row r="14" spans="1:12" x14ac:dyDescent="0.35">
      <c r="A14" s="2" t="s">
        <v>714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751</v>
      </c>
      <c r="G14">
        <v>0.1</v>
      </c>
      <c r="H14">
        <v>50</v>
      </c>
      <c r="I14" s="2" t="s">
        <v>775</v>
      </c>
      <c r="J14" s="2" t="s">
        <v>776</v>
      </c>
      <c r="K14" s="2" t="s">
        <v>37</v>
      </c>
      <c r="L14">
        <v>10</v>
      </c>
    </row>
    <row r="15" spans="1:12" x14ac:dyDescent="0.35">
      <c r="A15" s="2" t="s">
        <v>715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752</v>
      </c>
      <c r="G15">
        <v>0.1</v>
      </c>
      <c r="H15">
        <v>50</v>
      </c>
      <c r="I15" s="2" t="s">
        <v>775</v>
      </c>
      <c r="J15" s="2" t="s">
        <v>776</v>
      </c>
      <c r="K15" s="2" t="s">
        <v>37</v>
      </c>
      <c r="L15">
        <v>12</v>
      </c>
    </row>
    <row r="16" spans="1:12" x14ac:dyDescent="0.35">
      <c r="A16" s="2" t="s">
        <v>716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753</v>
      </c>
      <c r="G16">
        <v>0.1</v>
      </c>
      <c r="H16">
        <v>50</v>
      </c>
      <c r="I16" s="2" t="s">
        <v>775</v>
      </c>
      <c r="J16" s="2" t="s">
        <v>776</v>
      </c>
      <c r="K16" s="2" t="s">
        <v>37</v>
      </c>
      <c r="L16">
        <v>15</v>
      </c>
    </row>
    <row r="17" spans="1:12" x14ac:dyDescent="0.35">
      <c r="A17" s="2" t="s">
        <v>717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754</v>
      </c>
      <c r="G17">
        <v>0.1</v>
      </c>
      <c r="H17">
        <v>50</v>
      </c>
      <c r="I17" s="2" t="s">
        <v>775</v>
      </c>
      <c r="J17" s="2" t="s">
        <v>776</v>
      </c>
      <c r="K17" s="2" t="s">
        <v>37</v>
      </c>
      <c r="L17">
        <v>18</v>
      </c>
    </row>
    <row r="18" spans="1:12" x14ac:dyDescent="0.35">
      <c r="A18" s="2" t="s">
        <v>718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755</v>
      </c>
      <c r="G18">
        <v>0.1</v>
      </c>
      <c r="H18">
        <v>50</v>
      </c>
      <c r="I18" s="2" t="s">
        <v>775</v>
      </c>
      <c r="J18" s="2" t="s">
        <v>776</v>
      </c>
      <c r="K18" s="2" t="s">
        <v>37</v>
      </c>
      <c r="L18">
        <v>22</v>
      </c>
    </row>
    <row r="19" spans="1:12" x14ac:dyDescent="0.35">
      <c r="A19" s="2" t="s">
        <v>719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756</v>
      </c>
      <c r="G19">
        <v>0.1</v>
      </c>
      <c r="H19">
        <v>50</v>
      </c>
      <c r="I19" s="2" t="s">
        <v>775</v>
      </c>
      <c r="J19" s="2" t="s">
        <v>776</v>
      </c>
      <c r="K19" s="2" t="s">
        <v>37</v>
      </c>
      <c r="L19">
        <v>27</v>
      </c>
    </row>
    <row r="20" spans="1:12" x14ac:dyDescent="0.35">
      <c r="A20" s="2" t="s">
        <v>720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757</v>
      </c>
      <c r="G20">
        <v>0.1</v>
      </c>
      <c r="H20">
        <v>50</v>
      </c>
      <c r="I20" s="2" t="s">
        <v>775</v>
      </c>
      <c r="J20" s="2" t="s">
        <v>776</v>
      </c>
      <c r="K20" s="2" t="s">
        <v>37</v>
      </c>
      <c r="L20">
        <v>33</v>
      </c>
    </row>
    <row r="21" spans="1:12" x14ac:dyDescent="0.35">
      <c r="A21" s="2" t="s">
        <v>721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758</v>
      </c>
      <c r="G21">
        <v>0.1</v>
      </c>
      <c r="H21">
        <v>50</v>
      </c>
      <c r="I21" s="2" t="s">
        <v>775</v>
      </c>
      <c r="J21" s="2" t="s">
        <v>776</v>
      </c>
      <c r="K21" s="2" t="s">
        <v>37</v>
      </c>
      <c r="L21">
        <v>39</v>
      </c>
    </row>
    <row r="22" spans="1:12" x14ac:dyDescent="0.35">
      <c r="A22" s="2" t="s">
        <v>722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759</v>
      </c>
      <c r="G22">
        <v>0.1</v>
      </c>
      <c r="H22">
        <v>50</v>
      </c>
      <c r="I22" s="2" t="s">
        <v>775</v>
      </c>
      <c r="J22" s="2" t="s">
        <v>776</v>
      </c>
      <c r="K22" s="2" t="s">
        <v>37</v>
      </c>
      <c r="L22">
        <v>47</v>
      </c>
    </row>
    <row r="23" spans="1:12" x14ac:dyDescent="0.35">
      <c r="A23" s="2" t="s">
        <v>723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760</v>
      </c>
      <c r="G23">
        <v>0.1</v>
      </c>
      <c r="H23">
        <v>50</v>
      </c>
      <c r="I23" s="2" t="s">
        <v>775</v>
      </c>
      <c r="J23" s="2" t="s">
        <v>776</v>
      </c>
      <c r="K23" s="2" t="s">
        <v>37</v>
      </c>
      <c r="L23">
        <v>56</v>
      </c>
    </row>
    <row r="24" spans="1:12" x14ac:dyDescent="0.35">
      <c r="A24" s="2" t="s">
        <v>724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761</v>
      </c>
      <c r="G24">
        <v>0.1</v>
      </c>
      <c r="H24">
        <v>50</v>
      </c>
      <c r="I24" s="2" t="s">
        <v>775</v>
      </c>
      <c r="J24" s="2" t="s">
        <v>776</v>
      </c>
      <c r="K24" s="2" t="s">
        <v>37</v>
      </c>
      <c r="L24">
        <v>68</v>
      </c>
    </row>
    <row r="25" spans="1:12" x14ac:dyDescent="0.35">
      <c r="A25" s="2" t="s">
        <v>725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762</v>
      </c>
      <c r="G25">
        <v>0.1</v>
      </c>
      <c r="H25">
        <v>50</v>
      </c>
      <c r="I25" s="2" t="s">
        <v>775</v>
      </c>
      <c r="J25" s="2" t="s">
        <v>776</v>
      </c>
      <c r="K25" s="2" t="s">
        <v>37</v>
      </c>
      <c r="L25">
        <v>82</v>
      </c>
    </row>
    <row r="26" spans="1:12" x14ac:dyDescent="0.35">
      <c r="A26" s="2" t="s">
        <v>726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775</v>
      </c>
      <c r="J26" s="2" t="s">
        <v>776</v>
      </c>
      <c r="K26" s="2" t="s">
        <v>37</v>
      </c>
      <c r="L26">
        <v>100</v>
      </c>
    </row>
    <row r="27" spans="1:12" x14ac:dyDescent="0.35">
      <c r="A27" s="2" t="s">
        <v>727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763</v>
      </c>
      <c r="G27">
        <v>0.1</v>
      </c>
      <c r="H27">
        <v>50</v>
      </c>
      <c r="I27" s="2" t="s">
        <v>775</v>
      </c>
      <c r="J27" s="2" t="s">
        <v>776</v>
      </c>
      <c r="K27" s="2" t="s">
        <v>37</v>
      </c>
      <c r="L27">
        <v>120</v>
      </c>
    </row>
    <row r="28" spans="1:12" x14ac:dyDescent="0.35">
      <c r="A28" s="2" t="s">
        <v>728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764</v>
      </c>
      <c r="G28">
        <v>0.1</v>
      </c>
      <c r="H28">
        <v>50</v>
      </c>
      <c r="I28" s="2" t="s">
        <v>775</v>
      </c>
      <c r="J28" s="2" t="s">
        <v>776</v>
      </c>
      <c r="K28" s="2" t="s">
        <v>37</v>
      </c>
      <c r="L28">
        <v>150</v>
      </c>
    </row>
    <row r="29" spans="1:12" x14ac:dyDescent="0.35">
      <c r="A29" s="2" t="s">
        <v>729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765</v>
      </c>
      <c r="G29">
        <v>0.1</v>
      </c>
      <c r="H29">
        <v>50</v>
      </c>
      <c r="I29" s="2" t="s">
        <v>775</v>
      </c>
      <c r="J29" s="2" t="s">
        <v>776</v>
      </c>
      <c r="K29" s="2" t="s">
        <v>37</v>
      </c>
      <c r="L29">
        <v>180</v>
      </c>
    </row>
    <row r="30" spans="1:12" x14ac:dyDescent="0.35">
      <c r="A30" s="2" t="s">
        <v>730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766</v>
      </c>
      <c r="G30">
        <v>0.1</v>
      </c>
      <c r="H30">
        <v>50</v>
      </c>
      <c r="I30" s="2" t="s">
        <v>775</v>
      </c>
      <c r="J30" s="2" t="s">
        <v>776</v>
      </c>
      <c r="K30" s="2" t="s">
        <v>37</v>
      </c>
      <c r="L30">
        <v>220</v>
      </c>
    </row>
    <row r="31" spans="1:12" x14ac:dyDescent="0.35">
      <c r="A31" s="2" t="s">
        <v>731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767</v>
      </c>
      <c r="G31">
        <v>0.1</v>
      </c>
      <c r="H31">
        <v>50</v>
      </c>
      <c r="I31" s="2" t="s">
        <v>775</v>
      </c>
      <c r="J31" s="2" t="s">
        <v>776</v>
      </c>
      <c r="K31" s="2" t="s">
        <v>37</v>
      </c>
      <c r="L31">
        <v>270</v>
      </c>
    </row>
    <row r="32" spans="1:12" x14ac:dyDescent="0.35">
      <c r="A32" s="2" t="s">
        <v>732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768</v>
      </c>
      <c r="G32">
        <v>0.1</v>
      </c>
      <c r="H32">
        <v>50</v>
      </c>
      <c r="I32" s="2" t="s">
        <v>775</v>
      </c>
      <c r="J32" s="2" t="s">
        <v>776</v>
      </c>
      <c r="K32" s="2" t="s">
        <v>37</v>
      </c>
      <c r="L32">
        <v>330</v>
      </c>
    </row>
    <row r="33" spans="1:12" x14ac:dyDescent="0.35">
      <c r="A33" s="2" t="s">
        <v>733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769</v>
      </c>
      <c r="G33">
        <v>0.1</v>
      </c>
      <c r="H33">
        <v>50</v>
      </c>
      <c r="I33" s="2" t="s">
        <v>775</v>
      </c>
      <c r="J33" s="2" t="s">
        <v>776</v>
      </c>
      <c r="K33" s="2" t="s">
        <v>37</v>
      </c>
      <c r="L33">
        <v>390</v>
      </c>
    </row>
    <row r="34" spans="1:12" x14ac:dyDescent="0.35">
      <c r="A34" s="2" t="s">
        <v>734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770</v>
      </c>
      <c r="G34">
        <v>0.1</v>
      </c>
      <c r="H34">
        <v>50</v>
      </c>
      <c r="I34" s="2" t="s">
        <v>775</v>
      </c>
      <c r="J34" s="2" t="s">
        <v>776</v>
      </c>
      <c r="K34" s="2" t="s">
        <v>37</v>
      </c>
      <c r="L34">
        <v>470</v>
      </c>
    </row>
    <row r="35" spans="1:12" x14ac:dyDescent="0.35">
      <c r="A35" s="2" t="s">
        <v>735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771</v>
      </c>
      <c r="G35">
        <v>0.1</v>
      </c>
      <c r="H35">
        <v>50</v>
      </c>
      <c r="I35" s="2" t="s">
        <v>775</v>
      </c>
      <c r="J35" s="2" t="s">
        <v>776</v>
      </c>
      <c r="K35" s="2" t="s">
        <v>37</v>
      </c>
      <c r="L35">
        <v>560</v>
      </c>
    </row>
    <row r="36" spans="1:12" x14ac:dyDescent="0.35">
      <c r="A36" s="2" t="s">
        <v>736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772</v>
      </c>
      <c r="G36">
        <v>0.1</v>
      </c>
      <c r="H36">
        <v>50</v>
      </c>
      <c r="I36" s="2" t="s">
        <v>775</v>
      </c>
      <c r="J36" s="2" t="s">
        <v>776</v>
      </c>
      <c r="K36" s="2" t="s">
        <v>37</v>
      </c>
      <c r="L36">
        <v>680</v>
      </c>
    </row>
    <row r="37" spans="1:12" x14ac:dyDescent="0.35">
      <c r="A37" s="2" t="s">
        <v>737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773</v>
      </c>
      <c r="G37">
        <v>0.1</v>
      </c>
      <c r="H37">
        <v>50</v>
      </c>
      <c r="I37" s="2" t="s">
        <v>775</v>
      </c>
      <c r="J37" s="2" t="s">
        <v>776</v>
      </c>
      <c r="K37" s="2" t="s">
        <v>37</v>
      </c>
      <c r="L37">
        <v>820</v>
      </c>
    </row>
    <row r="38" spans="1:12" x14ac:dyDescent="0.35">
      <c r="A38" s="2" t="s">
        <v>738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774</v>
      </c>
      <c r="G38">
        <v>0.1</v>
      </c>
      <c r="H38">
        <v>50</v>
      </c>
      <c r="I38" s="2" t="s">
        <v>775</v>
      </c>
      <c r="J38" s="2" t="s">
        <v>776</v>
      </c>
      <c r="K38" s="2" t="s">
        <v>37</v>
      </c>
      <c r="L38">
        <v>1000</v>
      </c>
    </row>
    <row r="39" spans="1:12" x14ac:dyDescent="0.35">
      <c r="A39" s="2" t="s">
        <v>885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775</v>
      </c>
      <c r="J39" s="2" t="s">
        <v>858</v>
      </c>
      <c r="K39" t="s">
        <v>859</v>
      </c>
      <c r="L39">
        <v>4700</v>
      </c>
    </row>
    <row r="40" spans="1:12" x14ac:dyDescent="0.35">
      <c r="A40" s="2" t="s">
        <v>887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809</v>
      </c>
      <c r="G40" s="11">
        <v>0.1</v>
      </c>
      <c r="H40">
        <v>35</v>
      </c>
      <c r="I40" s="2" t="s">
        <v>775</v>
      </c>
      <c r="J40" s="2" t="s">
        <v>860</v>
      </c>
      <c r="K40" t="s">
        <v>861</v>
      </c>
      <c r="L40">
        <v>10000</v>
      </c>
    </row>
    <row r="41" spans="1:12" x14ac:dyDescent="0.35">
      <c r="A41" s="2" t="s">
        <v>886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811</v>
      </c>
      <c r="G41" s="11">
        <v>0.1</v>
      </c>
      <c r="H41">
        <v>25</v>
      </c>
      <c r="I41" s="2" t="s">
        <v>775</v>
      </c>
      <c r="J41" s="2" t="s">
        <v>860</v>
      </c>
      <c r="K41" t="s">
        <v>861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700</v>
      </c>
      <c r="I1" s="6" t="s">
        <v>783</v>
      </c>
      <c r="J1" s="6" t="s">
        <v>12</v>
      </c>
      <c r="K1" s="6" t="s">
        <v>8</v>
      </c>
      <c r="L1" s="9" t="s">
        <v>782</v>
      </c>
      <c r="M1" s="6" t="s">
        <v>13</v>
      </c>
      <c r="N1" s="6" t="s">
        <v>9</v>
      </c>
    </row>
    <row r="2" spans="1:14" x14ac:dyDescent="0.35">
      <c r="A2" s="2" t="s">
        <v>784</v>
      </c>
      <c r="B2" s="2" t="s">
        <v>803</v>
      </c>
      <c r="C2" s="2" t="s">
        <v>27</v>
      </c>
      <c r="D2" s="2" t="s">
        <v>804</v>
      </c>
      <c r="E2" s="2" t="s">
        <v>39</v>
      </c>
      <c r="F2" s="2" t="s">
        <v>774</v>
      </c>
      <c r="G2">
        <v>0.1</v>
      </c>
      <c r="H2">
        <v>50</v>
      </c>
      <c r="I2" s="2" t="s">
        <v>822</v>
      </c>
      <c r="J2" s="2" t="s">
        <v>823</v>
      </c>
      <c r="K2" s="2" t="s">
        <v>123</v>
      </c>
      <c r="L2">
        <v>1</v>
      </c>
    </row>
    <row r="3" spans="1:14" x14ac:dyDescent="0.35">
      <c r="A3" s="2" t="s">
        <v>785</v>
      </c>
      <c r="B3" s="2" t="s">
        <v>803</v>
      </c>
      <c r="C3" s="2" t="s">
        <v>27</v>
      </c>
      <c r="D3" s="2" t="s">
        <v>804</v>
      </c>
      <c r="E3" s="2" t="s">
        <v>39</v>
      </c>
      <c r="F3" s="2" t="s">
        <v>805</v>
      </c>
      <c r="G3">
        <v>0.1</v>
      </c>
      <c r="H3">
        <v>50</v>
      </c>
      <c r="I3" s="2" t="s">
        <v>822</v>
      </c>
      <c r="J3" s="2" t="s">
        <v>823</v>
      </c>
      <c r="K3" s="2" t="s">
        <v>123</v>
      </c>
      <c r="L3">
        <v>1.5</v>
      </c>
    </row>
    <row r="4" spans="1:14" x14ac:dyDescent="0.35">
      <c r="A4" s="2" t="s">
        <v>786</v>
      </c>
      <c r="B4" s="2" t="s">
        <v>803</v>
      </c>
      <c r="C4" s="2" t="s">
        <v>27</v>
      </c>
      <c r="D4" s="2" t="s">
        <v>804</v>
      </c>
      <c r="E4" s="2" t="s">
        <v>39</v>
      </c>
      <c r="F4" s="2" t="s">
        <v>806</v>
      </c>
      <c r="G4">
        <v>0.1</v>
      </c>
      <c r="H4">
        <v>50</v>
      </c>
      <c r="I4" s="2" t="s">
        <v>822</v>
      </c>
      <c r="J4" s="2" t="s">
        <v>823</v>
      </c>
      <c r="K4" s="2" t="s">
        <v>123</v>
      </c>
      <c r="L4">
        <v>2.2000000000000002</v>
      </c>
    </row>
    <row r="5" spans="1:14" x14ac:dyDescent="0.35">
      <c r="A5" s="2" t="s">
        <v>787</v>
      </c>
      <c r="B5" s="2" t="s">
        <v>803</v>
      </c>
      <c r="C5" s="2" t="s">
        <v>27</v>
      </c>
      <c r="D5" s="2" t="s">
        <v>804</v>
      </c>
      <c r="E5" s="2" t="s">
        <v>39</v>
      </c>
      <c r="F5" s="2" t="s">
        <v>807</v>
      </c>
      <c r="G5">
        <v>0.1</v>
      </c>
      <c r="H5">
        <v>50</v>
      </c>
      <c r="I5" s="2" t="s">
        <v>822</v>
      </c>
      <c r="J5" s="2" t="s">
        <v>823</v>
      </c>
      <c r="K5" s="2" t="s">
        <v>123</v>
      </c>
      <c r="L5">
        <v>3.3</v>
      </c>
    </row>
    <row r="6" spans="1:14" x14ac:dyDescent="0.35">
      <c r="A6" s="2" t="s">
        <v>788</v>
      </c>
      <c r="B6" s="2" t="s">
        <v>803</v>
      </c>
      <c r="C6" s="2" t="s">
        <v>27</v>
      </c>
      <c r="D6" s="2" t="s">
        <v>804</v>
      </c>
      <c r="E6" s="2" t="s">
        <v>39</v>
      </c>
      <c r="F6" s="2" t="s">
        <v>41</v>
      </c>
      <c r="G6">
        <v>0.1</v>
      </c>
      <c r="H6">
        <v>50</v>
      </c>
      <c r="I6" s="2" t="s">
        <v>822</v>
      </c>
      <c r="J6" s="2" t="s">
        <v>823</v>
      </c>
      <c r="K6" s="2" t="s">
        <v>123</v>
      </c>
      <c r="L6">
        <v>4.7</v>
      </c>
    </row>
    <row r="7" spans="1:14" x14ac:dyDescent="0.35">
      <c r="A7" s="2" t="s">
        <v>789</v>
      </c>
      <c r="B7" s="2" t="s">
        <v>803</v>
      </c>
      <c r="C7" s="2" t="s">
        <v>27</v>
      </c>
      <c r="D7" s="2" t="s">
        <v>804</v>
      </c>
      <c r="E7" s="2" t="s">
        <v>39</v>
      </c>
      <c r="F7" s="2" t="s">
        <v>808</v>
      </c>
      <c r="G7">
        <v>0.1</v>
      </c>
      <c r="H7">
        <v>50</v>
      </c>
      <c r="I7" s="2" t="s">
        <v>822</v>
      </c>
      <c r="J7" s="2" t="s">
        <v>823</v>
      </c>
      <c r="K7" s="2" t="s">
        <v>123</v>
      </c>
      <c r="L7">
        <v>6.8</v>
      </c>
    </row>
    <row r="8" spans="1:14" x14ac:dyDescent="0.35">
      <c r="A8" s="2" t="s">
        <v>790</v>
      </c>
      <c r="B8" s="2" t="s">
        <v>803</v>
      </c>
      <c r="C8" s="2" t="s">
        <v>27</v>
      </c>
      <c r="D8" s="2" t="s">
        <v>804</v>
      </c>
      <c r="E8" s="2" t="s">
        <v>39</v>
      </c>
      <c r="F8" s="2" t="s">
        <v>809</v>
      </c>
      <c r="G8">
        <v>0.1</v>
      </c>
      <c r="H8">
        <v>50</v>
      </c>
      <c r="I8" s="2" t="s">
        <v>822</v>
      </c>
      <c r="J8" s="2" t="s">
        <v>823</v>
      </c>
      <c r="K8" s="2" t="s">
        <v>123</v>
      </c>
      <c r="L8">
        <v>10</v>
      </c>
    </row>
    <row r="9" spans="1:14" x14ac:dyDescent="0.35">
      <c r="A9" s="2" t="s">
        <v>791</v>
      </c>
      <c r="B9" s="2" t="s">
        <v>803</v>
      </c>
      <c r="C9" s="2" t="s">
        <v>27</v>
      </c>
      <c r="D9" s="2" t="s">
        <v>804</v>
      </c>
      <c r="E9" s="2" t="s">
        <v>39</v>
      </c>
      <c r="F9" s="2" t="s">
        <v>810</v>
      </c>
      <c r="G9">
        <v>0.1</v>
      </c>
      <c r="H9">
        <v>50</v>
      </c>
      <c r="I9" s="2" t="s">
        <v>822</v>
      </c>
      <c r="J9" s="2" t="s">
        <v>823</v>
      </c>
      <c r="K9" s="2" t="s">
        <v>123</v>
      </c>
      <c r="L9">
        <v>15</v>
      </c>
    </row>
    <row r="10" spans="1:14" x14ac:dyDescent="0.35">
      <c r="A10" s="2" t="s">
        <v>792</v>
      </c>
      <c r="B10" s="2" t="s">
        <v>803</v>
      </c>
      <c r="C10" s="2" t="s">
        <v>27</v>
      </c>
      <c r="D10" s="2" t="s">
        <v>804</v>
      </c>
      <c r="E10" s="2" t="s">
        <v>39</v>
      </c>
      <c r="F10" s="2" t="s">
        <v>811</v>
      </c>
      <c r="G10">
        <v>0.1</v>
      </c>
      <c r="H10">
        <v>50</v>
      </c>
      <c r="I10" s="2" t="s">
        <v>822</v>
      </c>
      <c r="J10" s="2" t="s">
        <v>823</v>
      </c>
      <c r="K10" s="2" t="s">
        <v>123</v>
      </c>
      <c r="L10">
        <v>22</v>
      </c>
    </row>
    <row r="11" spans="1:14" x14ac:dyDescent="0.35">
      <c r="A11" s="2" t="s">
        <v>793</v>
      </c>
      <c r="B11" s="2" t="s">
        <v>803</v>
      </c>
      <c r="C11" s="2" t="s">
        <v>27</v>
      </c>
      <c r="D11" s="2" t="s">
        <v>804</v>
      </c>
      <c r="E11" s="2" t="s">
        <v>39</v>
      </c>
      <c r="F11" s="2" t="s">
        <v>812</v>
      </c>
      <c r="G11">
        <v>0.1</v>
      </c>
      <c r="H11">
        <v>50</v>
      </c>
      <c r="I11" s="2" t="s">
        <v>822</v>
      </c>
      <c r="J11" s="2" t="s">
        <v>823</v>
      </c>
      <c r="K11" s="2" t="s">
        <v>123</v>
      </c>
      <c r="L11">
        <v>33</v>
      </c>
    </row>
    <row r="12" spans="1:14" x14ac:dyDescent="0.35">
      <c r="A12" s="2" t="s">
        <v>794</v>
      </c>
      <c r="B12" s="2" t="s">
        <v>803</v>
      </c>
      <c r="C12" s="2" t="s">
        <v>27</v>
      </c>
      <c r="D12" s="2" t="s">
        <v>804</v>
      </c>
      <c r="E12" s="2" t="s">
        <v>39</v>
      </c>
      <c r="F12" s="2" t="s">
        <v>813</v>
      </c>
      <c r="G12">
        <v>0.1</v>
      </c>
      <c r="H12">
        <v>50</v>
      </c>
      <c r="I12" s="2" t="s">
        <v>822</v>
      </c>
      <c r="J12" s="2" t="s">
        <v>823</v>
      </c>
      <c r="K12" s="2" t="s">
        <v>123</v>
      </c>
      <c r="L12">
        <v>47</v>
      </c>
    </row>
    <row r="13" spans="1:14" x14ac:dyDescent="0.35">
      <c r="A13" s="2" t="s">
        <v>795</v>
      </c>
      <c r="B13" s="2" t="s">
        <v>803</v>
      </c>
      <c r="C13" s="2" t="s">
        <v>27</v>
      </c>
      <c r="D13" s="2" t="s">
        <v>804</v>
      </c>
      <c r="E13" s="2" t="s">
        <v>39</v>
      </c>
      <c r="F13" s="2" t="s">
        <v>814</v>
      </c>
      <c r="G13">
        <v>0.1</v>
      </c>
      <c r="H13">
        <v>50</v>
      </c>
      <c r="I13" s="2" t="s">
        <v>822</v>
      </c>
      <c r="J13" s="2" t="s">
        <v>823</v>
      </c>
      <c r="K13" s="2" t="s">
        <v>123</v>
      </c>
      <c r="L13">
        <v>68</v>
      </c>
    </row>
    <row r="14" spans="1:14" x14ac:dyDescent="0.35">
      <c r="A14" s="2" t="s">
        <v>796</v>
      </c>
      <c r="B14" s="2" t="s">
        <v>803</v>
      </c>
      <c r="C14" s="2" t="s">
        <v>27</v>
      </c>
      <c r="D14" s="2" t="s">
        <v>804</v>
      </c>
      <c r="E14" s="2" t="s">
        <v>39</v>
      </c>
      <c r="F14" s="2" t="s">
        <v>815</v>
      </c>
      <c r="G14">
        <v>0.1</v>
      </c>
      <c r="H14">
        <v>50</v>
      </c>
      <c r="I14" s="2" t="s">
        <v>822</v>
      </c>
      <c r="J14" s="2" t="s">
        <v>823</v>
      </c>
      <c r="K14" s="2" t="s">
        <v>123</v>
      </c>
      <c r="L14">
        <v>100</v>
      </c>
    </row>
    <row r="15" spans="1:14" x14ac:dyDescent="0.35">
      <c r="A15" s="2" t="s">
        <v>797</v>
      </c>
      <c r="B15" s="2" t="s">
        <v>803</v>
      </c>
      <c r="C15" s="2" t="s">
        <v>27</v>
      </c>
      <c r="D15" s="2" t="s">
        <v>804</v>
      </c>
      <c r="E15" s="2" t="s">
        <v>39</v>
      </c>
      <c r="F15" s="2" t="s">
        <v>816</v>
      </c>
      <c r="G15">
        <v>0.1</v>
      </c>
      <c r="H15">
        <v>50</v>
      </c>
      <c r="I15" s="2" t="s">
        <v>822</v>
      </c>
      <c r="J15" s="2" t="s">
        <v>823</v>
      </c>
      <c r="K15" s="2" t="s">
        <v>123</v>
      </c>
      <c r="L15">
        <v>150</v>
      </c>
    </row>
    <row r="16" spans="1:14" x14ac:dyDescent="0.35">
      <c r="A16" s="2" t="s">
        <v>798</v>
      </c>
      <c r="B16" s="2" t="s">
        <v>803</v>
      </c>
      <c r="C16" s="2" t="s">
        <v>27</v>
      </c>
      <c r="D16" s="2" t="s">
        <v>804</v>
      </c>
      <c r="E16" s="2" t="s">
        <v>39</v>
      </c>
      <c r="F16" s="2" t="s">
        <v>817</v>
      </c>
      <c r="G16">
        <v>0.1</v>
      </c>
      <c r="H16">
        <v>50</v>
      </c>
      <c r="I16" s="2" t="s">
        <v>822</v>
      </c>
      <c r="J16" s="2" t="s">
        <v>823</v>
      </c>
      <c r="K16" s="2" t="s">
        <v>123</v>
      </c>
      <c r="L16">
        <v>220</v>
      </c>
    </row>
    <row r="17" spans="1:14" x14ac:dyDescent="0.35">
      <c r="A17" s="2" t="s">
        <v>799</v>
      </c>
      <c r="B17" s="2" t="s">
        <v>803</v>
      </c>
      <c r="C17" s="2" t="s">
        <v>27</v>
      </c>
      <c r="D17" s="2" t="s">
        <v>804</v>
      </c>
      <c r="E17" s="2" t="s">
        <v>39</v>
      </c>
      <c r="F17" s="2" t="s">
        <v>818</v>
      </c>
      <c r="G17">
        <v>0.1</v>
      </c>
      <c r="H17">
        <v>50</v>
      </c>
      <c r="I17" s="2" t="s">
        <v>822</v>
      </c>
      <c r="J17" s="2" t="s">
        <v>823</v>
      </c>
      <c r="K17" s="2" t="s">
        <v>123</v>
      </c>
      <c r="L17">
        <v>330</v>
      </c>
    </row>
    <row r="18" spans="1:14" x14ac:dyDescent="0.35">
      <c r="A18" s="2" t="s">
        <v>800</v>
      </c>
      <c r="B18" s="2" t="s">
        <v>803</v>
      </c>
      <c r="C18" s="2" t="s">
        <v>27</v>
      </c>
      <c r="D18" s="2" t="s">
        <v>804</v>
      </c>
      <c r="E18" s="2" t="s">
        <v>39</v>
      </c>
      <c r="F18" s="2" t="s">
        <v>819</v>
      </c>
      <c r="G18">
        <v>0.1</v>
      </c>
      <c r="H18">
        <v>50</v>
      </c>
      <c r="I18" s="2" t="s">
        <v>822</v>
      </c>
      <c r="J18" s="2" t="s">
        <v>823</v>
      </c>
      <c r="K18" s="2" t="s">
        <v>123</v>
      </c>
      <c r="L18">
        <v>470</v>
      </c>
    </row>
    <row r="19" spans="1:14" x14ac:dyDescent="0.35">
      <c r="A19" s="2" t="s">
        <v>801</v>
      </c>
      <c r="B19" s="2" t="s">
        <v>803</v>
      </c>
      <c r="C19" s="2" t="s">
        <v>27</v>
      </c>
      <c r="D19" s="2" t="s">
        <v>804</v>
      </c>
      <c r="E19" s="2" t="s">
        <v>39</v>
      </c>
      <c r="F19" s="2" t="s">
        <v>820</v>
      </c>
      <c r="G19">
        <v>0.1</v>
      </c>
      <c r="H19">
        <v>50</v>
      </c>
      <c r="I19" s="2" t="s">
        <v>822</v>
      </c>
      <c r="J19" s="2" t="s">
        <v>823</v>
      </c>
      <c r="K19" s="2" t="s">
        <v>123</v>
      </c>
      <c r="L19">
        <v>680</v>
      </c>
    </row>
    <row r="20" spans="1:14" x14ac:dyDescent="0.35">
      <c r="A20" s="2" t="s">
        <v>802</v>
      </c>
      <c r="B20" s="2" t="s">
        <v>803</v>
      </c>
      <c r="C20" s="2" t="s">
        <v>27</v>
      </c>
      <c r="D20" s="2" t="s">
        <v>804</v>
      </c>
      <c r="E20" s="2" t="s">
        <v>39</v>
      </c>
      <c r="F20" s="2" t="s">
        <v>821</v>
      </c>
      <c r="G20">
        <v>0.1</v>
      </c>
      <c r="H20">
        <v>50</v>
      </c>
      <c r="I20" s="2" t="s">
        <v>822</v>
      </c>
      <c r="J20" s="2" t="s">
        <v>823</v>
      </c>
      <c r="K20" s="2" t="s">
        <v>123</v>
      </c>
      <c r="L20">
        <v>1000</v>
      </c>
    </row>
    <row r="21" spans="1:14" x14ac:dyDescent="0.35">
      <c r="A21" s="2" t="s">
        <v>913</v>
      </c>
      <c r="B21" t="s">
        <v>909</v>
      </c>
      <c r="C21" s="2" t="s">
        <v>27</v>
      </c>
      <c r="D21" s="2" t="s">
        <v>804</v>
      </c>
      <c r="E21" s="2" t="s">
        <v>39</v>
      </c>
      <c r="F21" s="2" t="s">
        <v>910</v>
      </c>
      <c r="G21">
        <v>20</v>
      </c>
      <c r="H21">
        <v>10</v>
      </c>
      <c r="I21" t="s">
        <v>911</v>
      </c>
      <c r="J21" s="2" t="s">
        <v>912</v>
      </c>
      <c r="K21" t="s">
        <v>908</v>
      </c>
      <c r="L21">
        <v>2200</v>
      </c>
      <c r="M21" s="2" t="s">
        <v>967</v>
      </c>
      <c r="N21" t="s">
        <v>968</v>
      </c>
    </row>
    <row r="22" spans="1:14" x14ac:dyDescent="0.35">
      <c r="A22" t="s">
        <v>919</v>
      </c>
      <c r="B22" t="s">
        <v>920</v>
      </c>
      <c r="C22" s="2" t="s">
        <v>27</v>
      </c>
      <c r="D22" s="2" t="s">
        <v>804</v>
      </c>
      <c r="E22" s="2" t="s">
        <v>39</v>
      </c>
      <c r="F22" s="2" t="s">
        <v>821</v>
      </c>
      <c r="G22">
        <v>20</v>
      </c>
      <c r="H22">
        <v>25</v>
      </c>
      <c r="I22" t="s">
        <v>911</v>
      </c>
      <c r="J22" s="2" t="s">
        <v>921</v>
      </c>
      <c r="K22" t="s">
        <v>922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10"/>
  <sheetViews>
    <sheetView zoomScaleNormal="100" workbookViewId="0">
      <selection activeCell="G10" sqref="G10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838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10" si="2">CONCATENATE(N3, " мк")</f>
        <v>33 мк</v>
      </c>
    </row>
    <row r="4" spans="1:16" x14ac:dyDescent="0.35">
      <c r="A4" s="2" t="s">
        <v>837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839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870</v>
      </c>
      <c r="B5" t="s">
        <v>871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872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">
        <v>4.7</v>
      </c>
      <c r="O5" s="2">
        <v>5.5</v>
      </c>
      <c r="P5" t="str">
        <f t="shared" si="2"/>
        <v>4,7 мк</v>
      </c>
    </row>
    <row r="6" spans="1:16" x14ac:dyDescent="0.35">
      <c r="A6" t="s">
        <v>897</v>
      </c>
      <c r="B6" t="s">
        <v>898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">
        <v>22</v>
      </c>
      <c r="O6" s="2">
        <v>5</v>
      </c>
      <c r="P6" t="str">
        <f t="shared" si="2"/>
        <v>22 мк</v>
      </c>
    </row>
    <row r="7" spans="1:16" x14ac:dyDescent="0.35">
      <c r="A7" t="s">
        <v>956</v>
      </c>
      <c r="B7" t="s">
        <v>1041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957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2">
        <v>22</v>
      </c>
      <c r="O7" s="2" t="s">
        <v>1049</v>
      </c>
      <c r="P7" t="str">
        <f t="shared" si="2"/>
        <v>22 мк</v>
      </c>
    </row>
    <row r="8" spans="1:16" x14ac:dyDescent="0.35">
      <c r="A8" t="s">
        <v>1042</v>
      </c>
      <c r="B8" t="s">
        <v>1040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1038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2" t="s">
        <v>1039</v>
      </c>
      <c r="O8" s="2">
        <v>15</v>
      </c>
      <c r="P8" t="str">
        <f t="shared" si="2"/>
        <v>0.33 мк</v>
      </c>
    </row>
    <row r="9" spans="1:16" x14ac:dyDescent="0.35">
      <c r="A9" t="s">
        <v>1050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>A9</f>
        <v>B82477R4683M100</v>
      </c>
      <c r="D9" s="2" t="s">
        <v>104</v>
      </c>
      <c r="E9" s="2" t="s">
        <v>102</v>
      </c>
      <c r="F9" s="2" t="str">
        <f>CONCATENATE("Footprints\Inductance\",G9,".PcbLib")</f>
        <v>Footprints\Inductance\12.5x12.5.PcbLib</v>
      </c>
      <c r="G9" s="2" t="s">
        <v>1051</v>
      </c>
      <c r="H9" s="2" t="str">
        <f>CONCATENATE("Footprints\Inductance\",I9,".PcbLib")</f>
        <v>Footprints\Inductance\.PcbLib</v>
      </c>
      <c r="I9" s="2"/>
      <c r="J9" s="2" t="str">
        <f>CONCATENATE("Footprints\Inductance\",K9,".PcbLib")</f>
        <v>Footprints\Inductance\.PcbLib</v>
      </c>
      <c r="K9" s="2"/>
      <c r="L9" s="2" t="str">
        <f>CONCATENATE("Footprints\Inductance\",M9,".PcbLib")</f>
        <v>Footprints\Inductance\.PcbLib</v>
      </c>
      <c r="M9" s="2"/>
      <c r="N9" s="2">
        <v>68</v>
      </c>
      <c r="O9" s="2">
        <v>2.65</v>
      </c>
      <c r="P9" s="2" t="str">
        <f t="shared" si="2"/>
        <v>68 мк</v>
      </c>
    </row>
    <row r="10" spans="1:16" x14ac:dyDescent="0.35">
      <c r="A10" t="s">
        <v>1053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>A10</f>
        <v>SDR0403-120ML</v>
      </c>
      <c r="D10" s="2" t="s">
        <v>104</v>
      </c>
      <c r="E10" s="2" t="s">
        <v>102</v>
      </c>
      <c r="F10" s="2" t="str">
        <f>CONCATENATE("Footprints\Inductance\",G10,".PcbLib")</f>
        <v>Footprints\Inductance\4.5x4_wired.PcbLib</v>
      </c>
      <c r="G10" s="2" t="s">
        <v>1054</v>
      </c>
      <c r="H10" s="2" t="str">
        <f>CONCATENATE("Footprints\Inductance\",I10,".PcbLib")</f>
        <v>Footprints\Inductance\.PcbLib</v>
      </c>
      <c r="I10" s="2"/>
      <c r="J10" s="2" t="str">
        <f>CONCATENATE("Footprints\Inductance\",K10,".PcbLib")</f>
        <v>Footprints\Inductance\.PcbLib</v>
      </c>
      <c r="K10" s="2"/>
      <c r="L10" s="2" t="str">
        <f>CONCATENATE("Footprints\Inductance\",M10,".PcbLib")</f>
        <v>Footprints\Inductance\.PcbLib</v>
      </c>
      <c r="M10" s="2"/>
      <c r="N10">
        <v>12</v>
      </c>
      <c r="O10">
        <v>1.05</v>
      </c>
      <c r="P10" s="2" t="str">
        <f t="shared" si="2"/>
        <v>12 мк</v>
      </c>
    </row>
  </sheetData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J11" sqref="J1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374</v>
      </c>
      <c r="B6" s="2" t="s">
        <v>376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375</v>
      </c>
      <c r="H6" s="2" t="str">
        <f t="shared" si="0"/>
        <v>Footprints\1206SB.PcbLib</v>
      </c>
      <c r="I6" s="2" t="s">
        <v>1004</v>
      </c>
      <c r="J6" s="2" t="str">
        <f t="shared" ref="J6" si="1">CONCATENATE("Footprints\",K6,".PcbLib")</f>
        <v>Footprints\0805SB_wide_gap.PcbLib</v>
      </c>
      <c r="K6" s="2" t="s">
        <v>1055</v>
      </c>
    </row>
    <row r="7" spans="1:20" x14ac:dyDescent="0.35">
      <c r="A7" s="2" t="s">
        <v>881</v>
      </c>
      <c r="B7" s="2" t="s">
        <v>882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883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905</v>
      </c>
      <c r="B8" s="2" t="s">
        <v>904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883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917</v>
      </c>
      <c r="B9" s="2" t="s">
        <v>915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916</v>
      </c>
      <c r="F9" s="2" t="str">
        <f t="shared" si="0"/>
        <v>Footprints\fuse_20x5_on_clips_FC-M.PcbLib</v>
      </c>
      <c r="G9" s="2" t="s">
        <v>914</v>
      </c>
      <c r="H9" s="2"/>
      <c r="I9" s="2"/>
      <c r="J9" s="2"/>
      <c r="K9" s="2"/>
    </row>
    <row r="10" spans="1:20" x14ac:dyDescent="0.35">
      <c r="A10" s="2" t="s">
        <v>962</v>
      </c>
      <c r="B10" s="2" t="s">
        <v>963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962</v>
      </c>
      <c r="H10" s="2"/>
      <c r="I10" s="2"/>
      <c r="J10" s="2"/>
      <c r="K10" s="2"/>
    </row>
    <row r="11" spans="1:20" x14ac:dyDescent="0.35">
      <c r="A11" s="2" t="s">
        <v>993</v>
      </c>
      <c r="B11" s="2" t="s">
        <v>994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993</v>
      </c>
      <c r="H11" s="2"/>
      <c r="I11" s="2"/>
      <c r="J11" s="2"/>
      <c r="K11" s="2"/>
    </row>
    <row r="12" spans="1:20" x14ac:dyDescent="0.35">
      <c r="A12" s="2" t="s">
        <v>1043</v>
      </c>
      <c r="B12" s="2" t="s">
        <v>1044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993</v>
      </c>
      <c r="F12" s="2" t="str">
        <f t="shared" ref="F12" si="4">CONCATENATE("Footprints\",G12,".PcbLib")</f>
        <v>Footprints\cooler3030.PcbLib</v>
      </c>
      <c r="G12" s="2" t="s">
        <v>1043</v>
      </c>
      <c r="H12" s="2"/>
      <c r="I12" s="2"/>
      <c r="J12" s="2"/>
      <c r="K12" s="2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7"/>
  <sheetViews>
    <sheetView zoomScale="145" zoomScaleNormal="145" workbookViewId="0">
      <selection activeCell="D31" sqref="D31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1065</v>
      </c>
      <c r="B4" t="s">
        <v>110</v>
      </c>
      <c r="C4" s="2" t="s">
        <v>1065</v>
      </c>
      <c r="D4" t="s">
        <v>354</v>
      </c>
      <c r="E4" s="2" t="s">
        <v>115</v>
      </c>
      <c r="F4" s="18" t="s">
        <v>1066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355</v>
      </c>
      <c r="E5" s="2" t="s">
        <v>116</v>
      </c>
      <c r="F5" t="s">
        <v>356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357</v>
      </c>
      <c r="E6" s="2" t="s">
        <v>119</v>
      </c>
      <c r="F6" t="s">
        <v>358</v>
      </c>
      <c r="G6" t="s">
        <v>117</v>
      </c>
      <c r="H6" t="s">
        <v>363</v>
      </c>
      <c r="I6" t="s">
        <v>338</v>
      </c>
    </row>
    <row r="7" spans="1:9" x14ac:dyDescent="0.35">
      <c r="A7" t="s">
        <v>1027</v>
      </c>
      <c r="B7" t="s">
        <v>120</v>
      </c>
      <c r="C7" s="2" t="s">
        <v>1027</v>
      </c>
      <c r="D7" t="s">
        <v>836</v>
      </c>
      <c r="E7" s="2" t="s">
        <v>834</v>
      </c>
      <c r="F7" t="s">
        <v>1028</v>
      </c>
      <c r="G7" t="s">
        <v>1027</v>
      </c>
    </row>
    <row r="8" spans="1:9" x14ac:dyDescent="0.35">
      <c r="A8" t="s">
        <v>335</v>
      </c>
      <c r="B8" t="s">
        <v>336</v>
      </c>
      <c r="C8" s="2" t="s">
        <v>335</v>
      </c>
      <c r="D8" t="s">
        <v>359</v>
      </c>
      <c r="E8" t="s">
        <v>121</v>
      </c>
      <c r="F8" t="s">
        <v>360</v>
      </c>
      <c r="G8" t="s">
        <v>335</v>
      </c>
      <c r="H8" t="s">
        <v>373</v>
      </c>
      <c r="I8" t="s">
        <v>361</v>
      </c>
    </row>
    <row r="9" spans="1:9" x14ac:dyDescent="0.35">
      <c r="A9" t="s">
        <v>337</v>
      </c>
      <c r="B9" t="s">
        <v>833</v>
      </c>
      <c r="C9" s="2" t="s">
        <v>337</v>
      </c>
      <c r="D9" t="s">
        <v>1026</v>
      </c>
      <c r="E9" t="s">
        <v>1025</v>
      </c>
      <c r="F9" t="s">
        <v>362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359</v>
      </c>
      <c r="E10" t="s">
        <v>121</v>
      </c>
      <c r="F10" t="s">
        <v>364</v>
      </c>
      <c r="G10" t="s">
        <v>348</v>
      </c>
    </row>
    <row r="11" spans="1:9" x14ac:dyDescent="0.35">
      <c r="A11" t="s">
        <v>365</v>
      </c>
      <c r="B11" t="s">
        <v>366</v>
      </c>
      <c r="C11" s="2" t="s">
        <v>365</v>
      </c>
      <c r="D11" t="s">
        <v>367</v>
      </c>
      <c r="E11" t="s">
        <v>368</v>
      </c>
      <c r="F11" t="s">
        <v>369</v>
      </c>
      <c r="G11" t="s">
        <v>365</v>
      </c>
    </row>
    <row r="12" spans="1:9" x14ac:dyDescent="0.35">
      <c r="A12" t="s">
        <v>370</v>
      </c>
      <c r="B12" t="s">
        <v>371</v>
      </c>
      <c r="C12" s="2" t="s">
        <v>370</v>
      </c>
      <c r="D12" t="s">
        <v>367</v>
      </c>
      <c r="E12" t="s">
        <v>368</v>
      </c>
      <c r="F12" t="s">
        <v>372</v>
      </c>
      <c r="G12" t="s">
        <v>370</v>
      </c>
    </row>
    <row r="13" spans="1:9" x14ac:dyDescent="0.35">
      <c r="A13" t="s">
        <v>831</v>
      </c>
      <c r="B13" t="s">
        <v>832</v>
      </c>
      <c r="C13" s="2"/>
      <c r="D13" t="s">
        <v>836</v>
      </c>
      <c r="E13" t="s">
        <v>834</v>
      </c>
      <c r="F13" t="s">
        <v>835</v>
      </c>
      <c r="G13" t="s">
        <v>831</v>
      </c>
    </row>
    <row r="14" spans="1:9" x14ac:dyDescent="0.35">
      <c r="A14" t="s">
        <v>862</v>
      </c>
      <c r="B14" t="s">
        <v>863</v>
      </c>
      <c r="C14" s="2" t="s">
        <v>864</v>
      </c>
      <c r="D14" t="s">
        <v>865</v>
      </c>
      <c r="E14" t="s">
        <v>864</v>
      </c>
      <c r="F14" t="s">
        <v>866</v>
      </c>
      <c r="G14" t="s">
        <v>864</v>
      </c>
    </row>
    <row r="15" spans="1:9" x14ac:dyDescent="0.35">
      <c r="A15" t="s">
        <v>931</v>
      </c>
      <c r="B15" t="s">
        <v>934</v>
      </c>
      <c r="C15" s="2" t="s">
        <v>931</v>
      </c>
      <c r="D15" t="s">
        <v>932</v>
      </c>
      <c r="E15" t="s">
        <v>931</v>
      </c>
      <c r="F15" t="s">
        <v>933</v>
      </c>
      <c r="G15" t="s">
        <v>931</v>
      </c>
    </row>
    <row r="16" spans="1:9" x14ac:dyDescent="0.35">
      <c r="A16" t="s">
        <v>979</v>
      </c>
      <c r="B16" t="s">
        <v>987</v>
      </c>
      <c r="C16" s="2" t="s">
        <v>980</v>
      </c>
      <c r="D16" t="s">
        <v>981</v>
      </c>
      <c r="E16" t="s">
        <v>979</v>
      </c>
      <c r="F16" t="s">
        <v>982</v>
      </c>
      <c r="G16" t="s">
        <v>979</v>
      </c>
    </row>
    <row r="17" spans="1:7" x14ac:dyDescent="0.35">
      <c r="A17" t="s">
        <v>983</v>
      </c>
      <c r="B17" t="s">
        <v>986</v>
      </c>
      <c r="C17" s="2" t="s">
        <v>984</v>
      </c>
      <c r="D17" t="s">
        <v>985</v>
      </c>
      <c r="E17" t="s">
        <v>983</v>
      </c>
      <c r="F17" t="s">
        <v>988</v>
      </c>
      <c r="G17" t="s">
        <v>989</v>
      </c>
    </row>
    <row r="18" spans="1:7" x14ac:dyDescent="0.35">
      <c r="A18" t="s">
        <v>990</v>
      </c>
      <c r="B18" t="s">
        <v>991</v>
      </c>
      <c r="C18" s="2" t="s">
        <v>990</v>
      </c>
      <c r="D18" t="s">
        <v>350</v>
      </c>
      <c r="E18" t="s">
        <v>113</v>
      </c>
      <c r="F18" t="s">
        <v>992</v>
      </c>
      <c r="G18" t="s">
        <v>990</v>
      </c>
    </row>
    <row r="19" spans="1:7" x14ac:dyDescent="0.35">
      <c r="A19" t="s">
        <v>995</v>
      </c>
      <c r="B19" t="s">
        <v>999</v>
      </c>
      <c r="C19" s="2" t="s">
        <v>996</v>
      </c>
      <c r="D19" t="s">
        <v>997</v>
      </c>
      <c r="E19" t="s">
        <v>995</v>
      </c>
      <c r="F19" t="s">
        <v>998</v>
      </c>
      <c r="G19" t="s">
        <v>995</v>
      </c>
    </row>
    <row r="20" spans="1:7" x14ac:dyDescent="0.35">
      <c r="A20" t="s">
        <v>1002</v>
      </c>
      <c r="B20" t="s">
        <v>986</v>
      </c>
      <c r="C20" s="2" t="s">
        <v>1003</v>
      </c>
      <c r="D20" t="s">
        <v>985</v>
      </c>
      <c r="E20" t="s">
        <v>983</v>
      </c>
      <c r="F20" t="s">
        <v>1001</v>
      </c>
      <c r="G20" t="s">
        <v>1000</v>
      </c>
    </row>
    <row r="21" spans="1:7" x14ac:dyDescent="0.35">
      <c r="A21" t="s">
        <v>1005</v>
      </c>
      <c r="B21" t="s">
        <v>1009</v>
      </c>
      <c r="C21" s="2" t="s">
        <v>1005</v>
      </c>
      <c r="D21" t="s">
        <v>357</v>
      </c>
      <c r="E21" t="s">
        <v>119</v>
      </c>
      <c r="F21" t="s">
        <v>1006</v>
      </c>
      <c r="G21" t="s">
        <v>1005</v>
      </c>
    </row>
    <row r="22" spans="1:7" x14ac:dyDescent="0.35">
      <c r="A22" t="s">
        <v>1008</v>
      </c>
      <c r="B22" t="s">
        <v>1007</v>
      </c>
      <c r="C22" s="2" t="s">
        <v>1008</v>
      </c>
      <c r="D22" t="s">
        <v>354</v>
      </c>
      <c r="E22" t="s">
        <v>115</v>
      </c>
      <c r="F22" t="s">
        <v>1010</v>
      </c>
      <c r="G22" t="s">
        <v>1008</v>
      </c>
    </row>
    <row r="23" spans="1:7" x14ac:dyDescent="0.35">
      <c r="A23" t="s">
        <v>1011</v>
      </c>
      <c r="B23" t="s">
        <v>1012</v>
      </c>
      <c r="C23" s="2" t="s">
        <v>1011</v>
      </c>
      <c r="D23" t="s">
        <v>355</v>
      </c>
      <c r="E23" t="s">
        <v>116</v>
      </c>
      <c r="F23" t="s">
        <v>1013</v>
      </c>
      <c r="G23" t="s">
        <v>1011</v>
      </c>
    </row>
    <row r="24" spans="1:7" x14ac:dyDescent="0.35">
      <c r="A24" t="s">
        <v>1015</v>
      </c>
      <c r="B24" t="s">
        <v>1014</v>
      </c>
      <c r="C24" s="2" t="s">
        <v>1015</v>
      </c>
      <c r="D24" t="s">
        <v>357</v>
      </c>
      <c r="E24" t="s">
        <v>119</v>
      </c>
      <c r="F24" t="s">
        <v>1018</v>
      </c>
      <c r="G24" t="s">
        <v>1015</v>
      </c>
    </row>
    <row r="25" spans="1:7" x14ac:dyDescent="0.35">
      <c r="A25" t="s">
        <v>1021</v>
      </c>
      <c r="B25" t="s">
        <v>1024</v>
      </c>
      <c r="C25" s="2" t="s">
        <v>1021</v>
      </c>
      <c r="D25" t="s">
        <v>354</v>
      </c>
      <c r="E25" t="s">
        <v>115</v>
      </c>
      <c r="F25" t="s">
        <v>1019</v>
      </c>
      <c r="G25" t="s">
        <v>1021</v>
      </c>
    </row>
    <row r="26" spans="1:7" x14ac:dyDescent="0.35">
      <c r="A26" t="s">
        <v>1022</v>
      </c>
      <c r="B26" t="s">
        <v>1023</v>
      </c>
      <c r="C26" s="2" t="s">
        <v>1022</v>
      </c>
      <c r="D26" t="s">
        <v>1016</v>
      </c>
      <c r="E26" t="s">
        <v>1017</v>
      </c>
      <c r="F26" t="s">
        <v>1020</v>
      </c>
      <c r="G26" t="s">
        <v>1022</v>
      </c>
    </row>
    <row r="27" spans="1:7" x14ac:dyDescent="0.35">
      <c r="A27" t="s">
        <v>1064</v>
      </c>
      <c r="B27" t="s">
        <v>1063</v>
      </c>
      <c r="C27" s="2" t="s">
        <v>1064</v>
      </c>
      <c r="D27" s="18" t="s">
        <v>359</v>
      </c>
      <c r="E27" s="2" t="s">
        <v>121</v>
      </c>
      <c r="F27" s="18" t="s">
        <v>1066</v>
      </c>
      <c r="G27" t="s">
        <v>1062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2025-04-19T18:17:51Z</dcterms:modified>
</cp:coreProperties>
</file>