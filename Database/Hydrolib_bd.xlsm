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4EE2E833-8856-4B61-A836-A6E1AA7D8C5B}" xr6:coauthVersionLast="47" xr6:coauthVersionMax="47" xr10:uidLastSave="{00000000-0000-0000-0000-000000000000}"/>
  <bookViews>
    <workbookView xWindow="3780" yWindow="9710" windowWidth="27250" windowHeight="15700" firstSheet="2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<sst xmlns="http://schemas.openxmlformats.org/spreadsheetml/2006/main" count="1644" uniqueCount="656">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</sst>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0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3" connectionId="5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C17" sqref="C17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595</v>
      </c>
      <c r="B11" t="s">
        <v>596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597</v>
      </c>
    </row>
    <row r="12" spans="1:20" x14ac:dyDescent="0.3">
      <c r="A12" t="s">
        <v>598</v>
      </c>
      <c r="B12" t="s">
        <v>599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600</v>
      </c>
    </row>
    <row r="13" spans="1:20" x14ac:dyDescent="0.3">
      <c r="A13" t="s">
        <v>601</v>
      </c>
      <c r="B13" t="s">
        <v>602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603</v>
      </c>
    </row>
    <row r="14" spans="1:20" x14ac:dyDescent="0.3">
      <c r="A14" t="s">
        <v>604</v>
      </c>
      <c r="B14" t="s">
        <v>605</v>
      </c>
      <c r="C14" s="2" t="s">
        <v>604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606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618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619</v>
      </c>
    </row>
    <row r="4" spans="1:9" x14ac:dyDescent="0.3">
      <c r="A4" t="s">
        <v>620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621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616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  <row r="5" spans="1:11" x14ac:dyDescent="0.3">
      <c r="A5" s="6" t="s">
        <v>607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616</v>
      </c>
      <c r="H5" s="6">
        <v>18</v>
      </c>
      <c r="I5" s="6">
        <v>600</v>
      </c>
      <c r="J5" s="6" t="s">
        <v>617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88" workbookViewId="0">
      <selection activeCell="G3" sqref="G3"/>
    </sheetView>
  </sheetViews>
  <sheetFormatPr defaultRowHeight="14.4" x14ac:dyDescent="0.3"/>
  <cols>
    <col min="1" max="1" width="25.2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21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5" t="s">
        <v>139</v>
      </c>
      <c r="H2" s="3" t="s">
        <v>140</v>
      </c>
      <c r="I2" s="3" t="s">
        <v>32</v>
      </c>
    </row>
    <row r="3" spans="1:15" ht="15.6" x14ac:dyDescent="0.3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6" x14ac:dyDescent="0.3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6" x14ac:dyDescent="0.3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6" x14ac:dyDescent="0.3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6" x14ac:dyDescent="0.3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6" x14ac:dyDescent="0.3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6" x14ac:dyDescent="0.3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6" x14ac:dyDescent="0.3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6" x14ac:dyDescent="0.3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6" x14ac:dyDescent="0.3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6" x14ac:dyDescent="0.3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6" x14ac:dyDescent="0.3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6" x14ac:dyDescent="0.3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6" x14ac:dyDescent="0.3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6" x14ac:dyDescent="0.3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6" x14ac:dyDescent="0.3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6" x14ac:dyDescent="0.3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6" x14ac:dyDescent="0.3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6" x14ac:dyDescent="0.3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6" x14ac:dyDescent="0.3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6" x14ac:dyDescent="0.3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6" x14ac:dyDescent="0.3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6" x14ac:dyDescent="0.3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6" x14ac:dyDescent="0.3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6" x14ac:dyDescent="0.3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6" x14ac:dyDescent="0.3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6" x14ac:dyDescent="0.3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6" x14ac:dyDescent="0.3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6" x14ac:dyDescent="0.3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6" x14ac:dyDescent="0.3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6" x14ac:dyDescent="0.3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6" x14ac:dyDescent="0.3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6" x14ac:dyDescent="0.3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6" x14ac:dyDescent="0.3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6" x14ac:dyDescent="0.3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6" x14ac:dyDescent="0.3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6" x14ac:dyDescent="0.3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6" x14ac:dyDescent="0.3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6" x14ac:dyDescent="0.3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6" x14ac:dyDescent="0.3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6" x14ac:dyDescent="0.3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6" x14ac:dyDescent="0.3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6" x14ac:dyDescent="0.3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6" x14ac:dyDescent="0.3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6" x14ac:dyDescent="0.3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6" x14ac:dyDescent="0.3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6" x14ac:dyDescent="0.3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6" x14ac:dyDescent="0.3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6" x14ac:dyDescent="0.3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6" x14ac:dyDescent="0.3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6" x14ac:dyDescent="0.3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6" x14ac:dyDescent="0.3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6" x14ac:dyDescent="0.3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6" x14ac:dyDescent="0.3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6" x14ac:dyDescent="0.3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6" x14ac:dyDescent="0.3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6" x14ac:dyDescent="0.3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6" x14ac:dyDescent="0.3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6" x14ac:dyDescent="0.3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6" x14ac:dyDescent="0.3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6" x14ac:dyDescent="0.3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6" x14ac:dyDescent="0.3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6" x14ac:dyDescent="0.3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6" x14ac:dyDescent="0.3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6" x14ac:dyDescent="0.3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6" x14ac:dyDescent="0.3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6" x14ac:dyDescent="0.3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6" x14ac:dyDescent="0.3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6" x14ac:dyDescent="0.3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6" x14ac:dyDescent="0.3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6" x14ac:dyDescent="0.3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6" x14ac:dyDescent="0.3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6" x14ac:dyDescent="0.3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6" x14ac:dyDescent="0.3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6" x14ac:dyDescent="0.3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6" x14ac:dyDescent="0.3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6" x14ac:dyDescent="0.3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6" x14ac:dyDescent="0.3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6" x14ac:dyDescent="0.3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6" x14ac:dyDescent="0.3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6" x14ac:dyDescent="0.3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6" x14ac:dyDescent="0.3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6" x14ac:dyDescent="0.3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6" x14ac:dyDescent="0.3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6" x14ac:dyDescent="0.3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6" x14ac:dyDescent="0.3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6" x14ac:dyDescent="0.3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6" x14ac:dyDescent="0.3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6" x14ac:dyDescent="0.3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6" x14ac:dyDescent="0.3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6" x14ac:dyDescent="0.3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6" x14ac:dyDescent="0.3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6" x14ac:dyDescent="0.3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6" x14ac:dyDescent="0.3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6" x14ac:dyDescent="0.3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6" x14ac:dyDescent="0.3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6" x14ac:dyDescent="0.3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6" x14ac:dyDescent="0.3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6" x14ac:dyDescent="0.3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6" x14ac:dyDescent="0.3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6" x14ac:dyDescent="0.3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6" x14ac:dyDescent="0.3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6" x14ac:dyDescent="0.3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6" x14ac:dyDescent="0.3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6" x14ac:dyDescent="0.3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6" x14ac:dyDescent="0.3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6" x14ac:dyDescent="0.3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6" x14ac:dyDescent="0.3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6" x14ac:dyDescent="0.3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6" x14ac:dyDescent="0.3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6" x14ac:dyDescent="0.3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6" x14ac:dyDescent="0.3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6" x14ac:dyDescent="0.3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6" x14ac:dyDescent="0.3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6" x14ac:dyDescent="0.3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6" x14ac:dyDescent="0.3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6" x14ac:dyDescent="0.3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6" x14ac:dyDescent="0.3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6" x14ac:dyDescent="0.3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6" x14ac:dyDescent="0.3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6" x14ac:dyDescent="0.3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6" x14ac:dyDescent="0.3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6" x14ac:dyDescent="0.3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6" x14ac:dyDescent="0.3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6" x14ac:dyDescent="0.3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6" x14ac:dyDescent="0.3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6" x14ac:dyDescent="0.3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6" x14ac:dyDescent="0.3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6" x14ac:dyDescent="0.3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6" x14ac:dyDescent="0.3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6" x14ac:dyDescent="0.3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6" x14ac:dyDescent="0.3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6" x14ac:dyDescent="0.3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6" x14ac:dyDescent="0.3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6" x14ac:dyDescent="0.3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6" x14ac:dyDescent="0.3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6" x14ac:dyDescent="0.3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6" x14ac:dyDescent="0.3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6" x14ac:dyDescent="0.3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6" x14ac:dyDescent="0.3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6" x14ac:dyDescent="0.3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6" x14ac:dyDescent="0.3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6" x14ac:dyDescent="0.3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6" x14ac:dyDescent="0.3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6" x14ac:dyDescent="0.3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6" x14ac:dyDescent="0.3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6" x14ac:dyDescent="0.3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6" x14ac:dyDescent="0.3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6" x14ac:dyDescent="0.3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6" x14ac:dyDescent="0.3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6" x14ac:dyDescent="0.3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6" x14ac:dyDescent="0.3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6" x14ac:dyDescent="0.3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6" x14ac:dyDescent="0.3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6" x14ac:dyDescent="0.3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6" x14ac:dyDescent="0.3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6" x14ac:dyDescent="0.3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6" x14ac:dyDescent="0.3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6" x14ac:dyDescent="0.3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6" x14ac:dyDescent="0.3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6" x14ac:dyDescent="0.3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6" x14ac:dyDescent="0.3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6" x14ac:dyDescent="0.3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6" x14ac:dyDescent="0.3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6" x14ac:dyDescent="0.3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6" x14ac:dyDescent="0.3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6" x14ac:dyDescent="0.3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6" x14ac:dyDescent="0.3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L18" sqref="L18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27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622</v>
      </c>
    </row>
    <row r="3" spans="1:20" ht="15.6" x14ac:dyDescent="0.3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  <row r="4" spans="1:20" ht="15.6" x14ac:dyDescent="0.3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  <c r="O2" s="2"/>
    </row>
    <row r="3" spans="1:15" x14ac:dyDescent="0.3">
      <c r="A3" t="s">
        <v>613</v>
      </c>
      <c r="B3" t="s">
        <v>614</v>
      </c>
      <c r="C3" t="str">
        <f>A3</f>
        <v>IHLP4040DZER330M11</v>
      </c>
      <c r="D3" s="2" t="s">
        <v>106</v>
      </c>
      <c r="E3" s="2" t="s">
        <v>104</v>
      </c>
      <c r="F3" s="2" t="str">
        <f>CONCATENATE("Footprints\Inductance\",G3,".PcbLib")</f>
        <v>Footprints\Inductance\IHLP-4040.PcbLib</v>
      </c>
      <c r="G3" s="2" t="s">
        <v>615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tabSelected="1" workbookViewId="0">
      <selection activeCell="E10" sqref="E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s="6" t="s">
        <v>653</v>
      </c>
      <c r="B6" s="6" t="s">
        <v>655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654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workbookViewId="0">
      <selection activeCell="E12" sqref="E12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66</v>
      </c>
      <c r="B2" s="2" t="s">
        <v>67</v>
      </c>
      <c r="C2" s="2" t="s">
        <v>66</v>
      </c>
      <c r="D2" t="s">
        <v>625</v>
      </c>
      <c r="E2" s="2" t="s">
        <v>115</v>
      </c>
      <c r="F2" t="s">
        <v>626</v>
      </c>
      <c r="G2" s="2" t="s">
        <v>66</v>
      </c>
    </row>
    <row r="3" spans="1:9" x14ac:dyDescent="0.3">
      <c r="A3" s="2" t="s">
        <v>68</v>
      </c>
      <c r="B3" s="2" t="s">
        <v>67</v>
      </c>
      <c r="C3" s="2" t="s">
        <v>68</v>
      </c>
      <c r="D3" t="s">
        <v>627</v>
      </c>
      <c r="E3" s="2" t="s">
        <v>116</v>
      </c>
      <c r="F3" t="s">
        <v>628</v>
      </c>
      <c r="G3" s="2" t="s">
        <v>68</v>
      </c>
    </row>
    <row r="4" spans="1:9" x14ac:dyDescent="0.3">
      <c r="A4" t="s">
        <v>111</v>
      </c>
      <c r="B4" t="s">
        <v>112</v>
      </c>
      <c r="C4" s="2" t="s">
        <v>111</v>
      </c>
      <c r="D4" t="s">
        <v>629</v>
      </c>
      <c r="E4" s="2" t="s">
        <v>117</v>
      </c>
      <c r="F4" t="s">
        <v>630</v>
      </c>
      <c r="G4" t="s">
        <v>111</v>
      </c>
    </row>
    <row r="5" spans="1:9" x14ac:dyDescent="0.3">
      <c r="A5" t="s">
        <v>113</v>
      </c>
      <c r="B5" t="s">
        <v>114</v>
      </c>
      <c r="C5" s="2" t="s">
        <v>113</v>
      </c>
      <c r="D5" t="s">
        <v>631</v>
      </c>
      <c r="E5" s="2" t="s">
        <v>118</v>
      </c>
      <c r="F5" t="s">
        <v>632</v>
      </c>
      <c r="G5" t="s">
        <v>113</v>
      </c>
    </row>
    <row r="6" spans="1:9" x14ac:dyDescent="0.3">
      <c r="A6" t="s">
        <v>119</v>
      </c>
      <c r="B6" t="s">
        <v>120</v>
      </c>
      <c r="C6" s="2" t="s">
        <v>119</v>
      </c>
      <c r="D6" t="s">
        <v>633</v>
      </c>
      <c r="E6" s="2" t="s">
        <v>121</v>
      </c>
      <c r="F6" t="s">
        <v>634</v>
      </c>
      <c r="G6" t="s">
        <v>119</v>
      </c>
      <c r="H6" t="s">
        <v>642</v>
      </c>
      <c r="I6" t="s">
        <v>612</v>
      </c>
    </row>
    <row r="7" spans="1:9" x14ac:dyDescent="0.3">
      <c r="A7" t="s">
        <v>122</v>
      </c>
      <c r="B7" t="s">
        <v>123</v>
      </c>
      <c r="C7" s="2" t="s">
        <v>122</v>
      </c>
      <c r="D7" t="s">
        <v>635</v>
      </c>
      <c r="E7" s="2" t="s">
        <v>124</v>
      </c>
      <c r="F7" t="s">
        <v>636</v>
      </c>
      <c r="G7" t="s">
        <v>122</v>
      </c>
    </row>
    <row r="8" spans="1:9" x14ac:dyDescent="0.3">
      <c r="A8" t="s">
        <v>608</v>
      </c>
      <c r="B8" t="s">
        <v>609</v>
      </c>
      <c r="C8" s="2" t="s">
        <v>608</v>
      </c>
      <c r="D8" s="6" t="s">
        <v>637</v>
      </c>
      <c r="E8" t="s">
        <v>124</v>
      </c>
      <c r="F8" s="6" t="s">
        <v>638</v>
      </c>
      <c r="G8" t="s">
        <v>608</v>
      </c>
      <c r="H8" t="s">
        <v>652</v>
      </c>
      <c r="I8" t="s">
        <v>639</v>
      </c>
    </row>
    <row r="9" spans="1:9" x14ac:dyDescent="0.3">
      <c r="A9" t="s">
        <v>610</v>
      </c>
      <c r="B9" t="s">
        <v>611</v>
      </c>
      <c r="C9" s="2" t="s">
        <v>610</v>
      </c>
      <c r="D9" s="6" t="s">
        <v>640</v>
      </c>
      <c r="E9" t="s">
        <v>610</v>
      </c>
      <c r="F9" s="6" t="s">
        <v>641</v>
      </c>
      <c r="G9" t="s">
        <v>610</v>
      </c>
    </row>
    <row r="10" spans="1:9" x14ac:dyDescent="0.3">
      <c r="A10" t="s">
        <v>623</v>
      </c>
      <c r="B10" t="s">
        <v>624</v>
      </c>
      <c r="C10" s="2" t="s">
        <v>623</v>
      </c>
      <c r="D10" s="6" t="s">
        <v>637</v>
      </c>
      <c r="E10" t="s">
        <v>124</v>
      </c>
      <c r="F10" s="6" t="s">
        <v>643</v>
      </c>
      <c r="G10" t="s">
        <v>623</v>
      </c>
    </row>
    <row r="11" spans="1:9" x14ac:dyDescent="0.3">
      <c r="A11" t="s">
        <v>644</v>
      </c>
      <c r="B11" t="s">
        <v>645</v>
      </c>
      <c r="C11" s="2" t="s">
        <v>644</v>
      </c>
      <c r="D11" s="6" t="s">
        <v>646</v>
      </c>
      <c r="E11" t="s">
        <v>647</v>
      </c>
      <c r="F11" s="6" t="s">
        <v>648</v>
      </c>
      <c r="G11" t="s">
        <v>644</v>
      </c>
    </row>
    <row r="12" spans="1:9" x14ac:dyDescent="0.3">
      <c r="A12" t="s">
        <v>649</v>
      </c>
      <c r="B12" t="s">
        <v>650</v>
      </c>
      <c r="C12" s="2" t="s">
        <v>649</v>
      </c>
      <c r="D12" s="6" t="s">
        <v>646</v>
      </c>
      <c r="E12" t="s">
        <v>647</v>
      </c>
      <c r="F12" s="6" t="s">
        <v>651</v>
      </c>
      <c r="G12" t="s">
        <v>649</v>
      </c>
    </row>
    <row r="13" spans="1:9" x14ac:dyDescent="0.3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2024-11-13T18:43:14Z</dcterms:modified>
</cp:coreProperties>
</file>