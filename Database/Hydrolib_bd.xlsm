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filterPrivacy="1" codeName="ЭтаКнига"/>
  <xr:revisionPtr revIDLastSave="0" documentId="13_ncr:1_{758E3635-7E79-444A-86F7-312BA04F548B}" xr6:coauthVersionLast="47" xr6:coauthVersionMax="47" xr10:uidLastSave="{00000000-0000-0000-0000-000000000000}"/>
  <bookViews>
    <workbookView xWindow="-108" yWindow="-108" windowWidth="23256" windowHeight="12576" activeTab="8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Inductance" sheetId="10" r:id="rId8"/>
    <sheet name="Other" sheetId="5" r:id="rId9"/>
    <sheet name="Connectors" sheetId="6" r:id="rId10"/>
  </sheets>
  <calcPr calcId="191029"/>
</workbook>
</file>

<file path=xl/calcChain.xml><?xml version="1.0" encoding="utf-8"?>
<calcChain xmlns="http://schemas.openxmlformats.org/spreadsheetml/2006/main">
  <c r="F4" i="5" l="1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F2" i="6"/>
  <c r="F3" i="6"/>
  <c r="F4" i="6"/>
  <c r="G5" i="6"/>
  <c r="F5" i="6" s="1"/>
  <c r="G4" i="6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F8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J2" i="8"/>
  <c r="F2" i="8"/>
  <c r="C2" i="8"/>
  <c r="C2" i="7"/>
  <c r="B2" i="7"/>
  <c r="F2" i="7"/>
  <c r="G3" i="6"/>
  <c r="G2" i="6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7" xr16:uid="{2FF60889-90F6-4068-BF81-A15AE486C249}" name="Other" type="4" refreshedVersion="0" background="1">
    <webPr xml="1" sourceData="1" url="C:\Users\1\Desktop\testlib\Готовое\Other.xml" htmlTables="1" htmlFormat="all"/>
  </connection>
  <connection id="8" xr16:uid="{A0C30DCE-295E-4BF9-9289-158E503B906E}" name="Resistors" type="4" refreshedVersion="0" background="1">
    <webPr xml="1" sourceData="1" url="C:\Users\1\Desktop\testlib\Готовое\Resistors.xml" htmlTables="1" htmlFormat="all"/>
  </connection>
  <connection id="9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0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1" xr16:uid="{D8C58BCC-C573-42A7-95CA-60E0EBCAC4FF}" name="TVS" type="4" refreshedVersion="0" background="1">
    <webPr xml="1" sourceData="1" url="C:\Users\1\Desktop\testlib\Готовое\TVS.xml" htmlTables="1" htmlFormat="all"/>
  </connection>
  <connection id="12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<sst xmlns="http://schemas.openxmlformats.org/spreadsheetml/2006/main" count="255" uniqueCount="140">
  <si>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</si>
  <si>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</si>
  <si>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</si>
  <si>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</si>
  <si>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</si>
  <si>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</si>
  <si>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</si>
  <si>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</si>
  <si>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</si>
  <si>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</si>
  <si>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</si>
  <si>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</si>
  <si>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</si>
  <si>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</si>
  <si>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</si>
  <si>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</si>
  <si>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</si>
  <si>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</si>
  <si>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</si>
  <si>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</si>
  <si>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</si>
  <si>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</si>
  <si>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</si>
  <si>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</si>
  <si>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</si>
  <si>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</si>
  <si>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</si>
  <si>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Резистор</t>
  </si>
  <si>
    <t>1 к</t>
  </si>
  <si>
    <t>Capacitor</t>
  </si>
  <si>
    <t>Конденсатор</t>
  </si>
  <si>
    <t>Schematic\Resistor.SchLib</t>
  </si>
  <si>
    <t>Schematic\Capacitor.SchLib</t>
  </si>
  <si>
    <t>0,1 мк</t>
  </si>
  <si>
    <t>Footprints/Resistor_SMD.PcbLib</t>
  </si>
  <si>
    <t>0603R</t>
  </si>
  <si>
    <t>0805R</t>
  </si>
  <si>
    <t>Footprint Path 3</t>
  </si>
  <si>
    <t>Footprint Ref 3</t>
  </si>
  <si>
    <t>1206R</t>
  </si>
  <si>
    <t>Footprint Path 4</t>
  </si>
  <si>
    <t>Footprint Ref 4</t>
  </si>
  <si>
    <t>2512R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</si>
  <si>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</si>
  <si>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</si>
  <si>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</si>
  <si>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</si>
  <si>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</si>
  <si>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</si>
  <si>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</si>
  <si>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</si>
  <si>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</si>
  <si>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</si>
  <si>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</si>
  <si>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</si>
  <si>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RADIAL-2 8mm</t>
  </si>
  <si>
    <t>RADIAL-2 10mm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</si>
  <si>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</si>
  <si>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</si>
  <si>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</si>
  <si>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</si>
  <si>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</si>
  <si>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</si>
  <si>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</si>
  <si>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</si>
  <si>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</si>
  <si>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</si>
  <si>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</si>
  <si>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</si>
  <si>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</si>
  <si>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</si>
  <si>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</si>
  <si>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</si>
  <si>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</si>
  <si>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</si>
  <si>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</si>
  <si>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</si>
  <si>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</si>
  <si>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</si>
  <si>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</si>
  <si>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</si>
  <si>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</si>
  <si>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</si>
  <si>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</si>
  <si>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</si>
  <si>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</si>
  <si>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</si>
  <si>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</si>
  <si>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</si>
  <si>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</si>
  <si>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</si>
  <si>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</si>
  <si>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</si>
  <si>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</si>
  <si>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</si>
  <si>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</si>
  <si>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</si>
  <si>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</si>
  <si>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</si>
  <si>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</si>
  <si>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</si>
  <si>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</si>
  <si>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</si>
  <si>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</si>
  <si>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</si>
  <si>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</si>
  <si>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</si>
  <si>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SOP-16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</si>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</sst>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</cellXfs>
  <cellStyles count="1">
    <cellStyle name="Обычный" xfId="0" builtinId="0"/>
  </cellStyles>
  <dxfs count="63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6" DataBindingLoadMode="1"/>
  </Map>
  <Map ID="11" Name="Other" RootElement="Other" SchemaID="Schema11" ShowImportExportValidationErrors="false" AutoFit="true" Append="false" PreserveSortAFLayout="true" PreserveFormat="true">
    <DataBinding FileBinding="true" ConnectionID="7" DataBindingLoadMode="1"/>
  </Map>
  <Map ID="9" Name="Resistors" RootElement="Resistors" SchemaID="Schema9" ShowImportExportValidationErrors="false" AutoFit="true" Append="false" PreserveSortAFLayout="true" PreserveFormat="true">
    <DataBinding FileBinding="true" ConnectionID="8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9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0" DataBindingLoadMode="1"/>
  </Map>
  <Map ID="6" Name="TVS" RootElement="TVS" SchemaID="Schema6" ShowImportExportValidationErrors="false" AutoFit="true" Append="false" PreserveSortAFLayout="true" PreserveFormat="true">
    <DataBinding FileBinding="true" ConnectionID="11" DataBindingLoadMode="1"/>
  </Map>
  <Map ID="5" Name="Zener" RootElement="Zener" SchemaID="Schema5" ShowImportExportValidationErrors="false" AutoFit="true" Append="false" PreserveSortAFLayout="true" PreserveFormat="true">
    <DataBinding FileBinding="true" ConnectionID="1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0" tableType="xml" totalsRowShown="0" headerRowDxfId="62" connectionId="4">
  <autoFilter ref="A1:G10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6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9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2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3" tableType="xml" totalsRowShown="0" connectionId="11">
  <autoFilter ref="A1:K3" xr:uid="{35EAFB53-5120-48E8-B7CF-F527619EF3EB}"/>
  <tableColumns count="11">
    <tableColumn id="1" xr3:uid="{8FF51BCB-1CBC-41C4-B0E3-6994AEB249EF}" uniqueName="PartNumber" name="Part Number">
      <xmlColumnPr mapId="6" xpath="/TVS/Part/PartNumber" xmlDataType="string"/>
    </tableColumn>
    <tableColumn id="2" xr3:uid="{254709FF-71DC-4C18-A11E-3F482A74905F}" uniqueName="Description" name="Description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>
      <calculatedColumnFormula>A2</calculatedColumnFormula>
      <xmlColumnPr mapId="6" xpath="/TVS/Part/Comment" xmlDataType="string"/>
    </tableColumn>
    <tableColumn id="4" xr3:uid="{83178ADA-1817-4EF5-A805-49E80CF47276}" uniqueName="LibraryPath" name="Library Path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>
      <xmlColumnPr mapId="6" xpath="/TVS/Part/LibraryRef" xmlDataType="string"/>
    </tableColumn>
    <tableColumn id="6" xr3:uid="{C5C7E783-B9B8-469C-B255-FC24F12E71DC}" uniqueName="FootprintPath1" name="Footprint Path 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>
      <xmlColumnPr mapId="6" xpath="/TVS/Part/FootprintRef1" xmlDataType="string"/>
    </tableColumn>
    <tableColumn id="8" xr3:uid="{16B3AEE3-BEA7-4870-9494-F8A0EC5E9CCD}" uniqueName="VoltageNominal" name="Voltage nominal (V)">
      <xmlColumnPr mapId="6" xpath="/TVS/Part/VoltageNominal" xmlDataType="string"/>
    </tableColumn>
    <tableColumn id="9" xr3:uid="{7DDE345A-D145-4A55-B781-91F88095B1FE}" uniqueName="Power" name="Power (W)">
      <xmlColumnPr mapId="6" xpath="/TVS/Part/Power" xmlDataType="string"/>
    </tableColumn>
    <tableColumn id="10" xr3:uid="{EBB777BC-3BC6-4EF4-AC63-F94C7CFCFC0E}" uniqueName="Value" name="Value">
      <xmlColumnPr mapId="6" xpath="/TVS/Part/Value" xmlDataType="string"/>
    </tableColumn>
    <tableColumn id="11" xr3:uid="{031238E8-E993-4BD3-9F1D-0FAC431BDD7F}" uniqueName="Inteface" name="Interface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60" connectionId="10">
  <autoFilter ref="A1:I6" xr:uid="{11DAD5D3-6841-4BFD-8583-65DE6E00D680}"/>
  <tableColumns count="9">
    <tableColumn id="1" xr3:uid="{59488B22-9EFD-4960-9418-72616CC8F6CC}" uniqueName="PartNumber" name="Part Number" dataDxfId="59">
      <xmlColumnPr mapId="8" xpath="/Transistors/Part/PartNumber" xmlDataType="string"/>
    </tableColumn>
    <tableColumn id="2" xr3:uid="{B6051881-2BC5-4D5F-9AEE-A86DF4412A4C}" uniqueName="Description" name="Description" dataDxfId="58">
      <xmlColumnPr mapId="8" xpath="/Transistors/Part/Description" xmlDataType="string"/>
    </tableColumn>
    <tableColumn id="3" xr3:uid="{377CEA9C-B3A1-4F57-920A-BA1AC9164370}" uniqueName="Comment" name="Comment" dataDxfId="57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56">
      <xmlColumnPr mapId="8" xpath="/Transistors/Part/LibraryPath" xmlDataType="string"/>
    </tableColumn>
    <tableColumn id="5" xr3:uid="{02693066-D721-4B47-BEE5-D678B96A10FB}" uniqueName="LibraryRef" name="Library Ref" dataDxfId="55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54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2" tableType="xml" totalsRowShown="0" headerRowDxfId="53" dataDxfId="52" connectionId="8">
  <autoFilter ref="A1:N2" xr:uid="{02061886-A591-4FD8-8C5B-3D1D2DB1F417}"/>
  <tableColumns count="14">
    <tableColumn id="1" xr3:uid="{1DE1C76C-B7F9-47FB-9EB0-156A2D87FD9E}" uniqueName="PartNumber" name="Part Number" dataDxfId="51">
      <xmlColumnPr mapId="9" xpath="/Resistors/Part/PartNumber" xmlDataType="string"/>
    </tableColumn>
    <tableColumn id="2" xr3:uid="{64E60790-EB9B-4A0D-B52C-7CB5A6F82DE8}" uniqueName="Description" name="Description" dataDxfId="50">
      <xmlColumnPr mapId="9" xpath="/Resistors/Part/Description" xmlDataType="string"/>
    </tableColumn>
    <tableColumn id="3" xr3:uid="{497E7478-3EE2-4F8D-A572-C738B7321387}" uniqueName="Comment" name="Comment" dataDxfId="49">
      <xmlColumnPr mapId="9" xpath="/Resistors/Part/Comment" xmlDataType="string"/>
    </tableColumn>
    <tableColumn id="4" xr3:uid="{255B034D-70D9-458C-8FA7-FEB8317A497F}" uniqueName="LibraryPath" name="Library Path" dataDxfId="48">
      <xmlColumnPr mapId="9" xpath="/Resistors/Part/LibraryPath" xmlDataType="string"/>
    </tableColumn>
    <tableColumn id="5" xr3:uid="{A3865419-9EA5-4AAA-B07F-FF52D437DC02}" uniqueName="LibraryRef" name="Library Ref" dataDxfId="47">
      <xmlColumnPr mapId="9" xpath="/Resistors/Part/LibraryRef" xmlDataType="string"/>
    </tableColumn>
    <tableColumn id="6" xr3:uid="{CE64E0F7-2F9E-477F-8D1B-040D90CB5685}" uniqueName="Value" name="Value" dataDxfId="46">
      <xmlColumnPr mapId="9" xpath="/Resistors/Part/Value" xmlDataType="string"/>
    </tableColumn>
    <tableColumn id="7" xr3:uid="{41F7703B-5A2D-47F6-B9C9-B9D386FC3CF8}" uniqueName="FootprintPath1" name="Footprint Path 1" dataDxfId="45">
      <xmlColumnPr mapId="9" xpath="/Resistors/Part/FootprintPath1" xmlDataType="string"/>
    </tableColumn>
    <tableColumn id="8" xr3:uid="{429E7452-DB30-417B-B5E7-8F2AA238A5A4}" uniqueName="FootprintRef1" name="Footprint Ref 1" dataDxfId="44">
      <xmlColumnPr mapId="9" xpath="/Resistors/Part/FootprintRef1" xmlDataType="string"/>
    </tableColumn>
    <tableColumn id="9" xr3:uid="{298A4272-57F5-45C2-AFCD-965909B2DD40}" uniqueName="FootprintPath2" name="Footprint Path 2" dataDxfId="43">
      <xmlColumnPr mapId="9" xpath="/Resistors/Part/FootprintPath2" xmlDataType="string"/>
    </tableColumn>
    <tableColumn id="10" xr3:uid="{5E217B5D-6ACC-4540-B99E-39835DE9B5AD}" uniqueName="FootprintRef2" name="Footprint Ref 2" dataDxfId="42">
      <xmlColumnPr mapId="9" xpath="/Resistors/Part/FootprintRef2" xmlDataType="string"/>
    </tableColumn>
    <tableColumn id="11" xr3:uid="{2334B57C-78D1-472F-90FA-52F299D17996}" uniqueName="FootprintPath3" name="Footprint Path 3" dataDxfId="41">
      <xmlColumnPr mapId="9" xpath="/Resistors/Part/FootprintPath3" xmlDataType="string"/>
    </tableColumn>
    <tableColumn id="12" xr3:uid="{CE6D1B76-86DB-4BB5-B08C-5172CD9AEB92}" uniqueName="FootprintRef3" name="Footprint Ref 3" dataDxfId="40">
      <xmlColumnPr mapId="9" xpath="/Resistors/Part/FootprintRef3" xmlDataType="string"/>
    </tableColumn>
    <tableColumn id="13" xr3:uid="{687D638D-A43B-4A58-8F97-2721414A608C}" uniqueName="FootprintPath4" name="Footprint Path 4" dataDxfId="39">
      <xmlColumnPr mapId="9" xpath="/Resistors/Part/FootprintPath4" xmlDataType="string"/>
    </tableColumn>
    <tableColumn id="14" xr3:uid="{F0FD1873-DBEF-4B39-9FCA-E48EB3E6741F}" uniqueName="FootprintRef4" name="Footprint Ref 4" dataDxfId="38">
      <xmlColumnPr mapId="9" xpath="/Resistors/Part/FootprintRef4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37" dataDxfId="36" connectionId="1">
  <autoFilter ref="A1:T3" xr:uid="{1041C5C1-00FD-47DC-8B7C-9DEBE212D9D4}"/>
  <tableColumns count="20">
    <tableColumn id="1" xr3:uid="{55BDD111-6381-449E-BF2B-3FEC8107762D}" uniqueName="PartNumber" name="Part Number" dataDxfId="35">
      <xmlColumnPr mapId="18" xpath="/Capacitors/Part/PartNumber" xmlDataType="string"/>
    </tableColumn>
    <tableColumn id="2" xr3:uid="{0D3E1F2C-B0CC-4A36-A41B-2F2DAEC98E3B}" uniqueName="Description" name="Description" dataDxfId="34">
      <xmlColumnPr mapId="18" xpath="/Capacitors/Part/Description" xmlDataType="string"/>
    </tableColumn>
    <tableColumn id="3" xr3:uid="{16739D52-8082-4E8D-B1E1-B82F60766E2A}" uniqueName="Comment" name="Comment" dataDxfId="33">
      <xmlColumnPr mapId="18" xpath="/Capacitors/Part/Comment" xmlDataType="string"/>
    </tableColumn>
    <tableColumn id="4" xr3:uid="{AC1F3F2E-0C78-451D-9178-0A9D15C49726}" uniqueName="LibraryPath" name="Library Path" dataDxfId="32">
      <xmlColumnPr mapId="18" xpath="/Capacitors/Part/LibraryPath" xmlDataType="string"/>
    </tableColumn>
    <tableColumn id="5" xr3:uid="{9169ABA3-E41E-40E0-B785-3D3B749D70BB}" uniqueName="LibraryRef" name="Library Ref" dataDxfId="31">
      <xmlColumnPr mapId="18" xpath="/Capacitors/Part/LibraryRef" xmlDataType="string"/>
    </tableColumn>
    <tableColumn id="6" xr3:uid="{01EADD2D-36E6-41EE-B894-B537CCE6649E}" uniqueName="Value" name="Value" dataDxfId="30">
      <xmlColumnPr mapId="18" xpath="/Capacitors/Part/Value" xmlDataType="string"/>
    </tableColumn>
    <tableColumn id="7" xr3:uid="{EC779EF2-47DD-4E8F-A8D2-159E83C79180}" uniqueName="FootprintPath1" name="Footprint Path 1" dataDxfId="29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28">
      <xmlColumnPr mapId="18" xpath="/Capacitors/Part/FootprintRef1" xmlDataType="string"/>
    </tableColumn>
    <tableColumn id="9" xr3:uid="{85136BD9-A68F-40E0-9A6F-E71ECA929F04}" uniqueName="FootprintPath2" name="Footprint Path 2" dataDxfId="27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26">
      <xmlColumnPr mapId="18" xpath="/Capacitors/Part/FootprintRef2" xmlDataType="string"/>
    </tableColumn>
    <tableColumn id="11" xr3:uid="{50FA7750-FC9E-444C-8D52-C6B51BBD63C1}" uniqueName="FootprintPath3" name="Footprint Path 3" dataDxfId="25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24">
      <xmlColumnPr mapId="18" xpath="/Capacitors/Part/FootprintRef3" xmlDataType="string"/>
    </tableColumn>
    <tableColumn id="13" xr3:uid="{6B23463C-82AA-426D-ACBC-49A19C1D46FA}" uniqueName="FootprintPath4" name="Footprint Path 4" dataDxfId="23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22">
      <xmlColumnPr mapId="18" xpath="/Capacitors/Part/FootprintRef4" xmlDataType="string"/>
    </tableColumn>
    <tableColumn id="15" xr3:uid="{FD0F620C-73A8-49FB-B6E9-F06F81ED3185}" uniqueName="FootprintPath5" name="Footprint Path 5" dataDxfId="21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20">
      <xmlColumnPr mapId="18" xpath="/Capacitors/Part/FootprintRef5" xmlDataType="string"/>
    </tableColumn>
    <tableColumn id="17" xr3:uid="{130B1CD3-35EC-447E-93DF-ED8F8DC7A59A}" uniqueName="FootprintPath6" name="Footprint Path 6" dataDxfId="19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18">
      <xmlColumnPr mapId="18" xpath="/Capacitors/Part/FootprintRef6" xmlDataType="string"/>
    </tableColumn>
    <tableColumn id="19" xr3:uid="{6809872D-01AC-4EF6-B33F-6B8DA2D054C9}" uniqueName="FootprintPath7" name="Footprint Path 7" dataDxfId="17">
      <xmlColumnPr mapId="18" xpath="/Capacitors/Part/FootprintPath7" xmlDataType="string"/>
    </tableColumn>
    <tableColumn id="20" xr3:uid="{352E5BAE-89D3-4F1C-AA92-CDC22EDD2B11}" uniqueName="FootprintRef7" name="Footprint Ref 7" dataDxfId="16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2" tableType="xml" totalsRowShown="0" headerRowDxfId="15" connectionId="6">
  <autoFilter ref="A1:M2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4" xr3:uid="{7C7FE73A-35EF-44CB-A066-BD67518B756B}" uniqueName="LibraryPath" name="Library Path">
      <xmlColumnPr mapId="31" xpath="/Inductance/Part/LibraryPath" xmlDataType="string"/>
    </tableColumn>
    <tableColumn id="5" xr3:uid="{93EF5672-D820-4E85-A99E-63FC29E4B3E2}" uniqueName="LibraryRef" name="Library Ref">
      <xmlColumnPr mapId="31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31" xpath="/Inductance/Part/FootprintPath1" xmlDataType="string"/>
    </tableColumn>
    <tableColumn id="7" xr3:uid="{49B409CD-94AC-4F2C-BC5E-E8FF519C8D6F}" uniqueName="FootprintRef1" name="Footprint Ref 1">
      <xmlColumnPr mapId="31" xpath="/Inductance/Part/FootprintRef1" xmlDataType="string"/>
    </tableColumn>
    <tableColumn id="8" xr3:uid="{71017A8D-C83B-4D64-80AC-6C5EC84419D6}" uniqueName="FootprintPath2" name="Footprint Path 2">
      <calculatedColumnFormula>CONCATENATE("Footprints\Inductance\",I2,".PcbLib")</calculatedColumnFormula>
      <xmlColumnPr mapId="31" xpath="/Inductance/Part/FootprintPath2" xmlDataType="string"/>
    </tableColumn>
    <tableColumn id="9" xr3:uid="{C86E75F1-D335-4444-9B57-0EA51020BBA8}" uniqueName="FootprintRef2" name="Footprint Ref 2">
      <xmlColumnPr mapId="31" xpath="/Inductance/Part/FootprintRef2" xmlDataType="string"/>
    </tableColumn>
    <tableColumn id="10" xr3:uid="{14D45471-DB98-4B30-AE3F-A5F2151147AD}" uniqueName="FootprintPath3" name="Footprint Path 3">
      <calculatedColumnFormula>CONCATENATE("Footprints\Inductance\",K2,".PcbLib")</calculatedColumnFormula>
      <xmlColumnPr mapId="31" xpath="/Inductance/Part/FootprintPath3" xmlDataType="string"/>
    </tableColumn>
    <tableColumn id="11" xr3:uid="{09835F57-BCA9-49C7-8953-8937D96DD0F8}" uniqueName="FootprintRef3" name="Footprint Ref 3">
      <xmlColumnPr mapId="31" xpath="/Inductance/Part/FootprintRef3" xmlDataType="string"/>
    </tableColumn>
    <tableColumn id="12" xr3:uid="{32F2E3FF-9422-4CF5-B324-9B3A82F8F97B}" uniqueName="FootprintPath4" name="Footprint Path 4">
      <calculatedColumnFormula>CONCATENATE("Footprints\Inductance\",M2,".PcbLib")</calculatedColumnFormula>
      <xmlColumnPr mapId="31" xpath="/Inductance/Part/FootprintPath4" xmlDataType="string"/>
    </tableColumn>
    <tableColumn id="13" xr3:uid="{0F00A487-9BBA-425A-B854-C2436CFC7F37}" uniqueName="FootprintRef4" name="Footprint Ref 4">
      <xmlColumnPr mapId="31" xpath="/Inductance/Part/FootprintRef4" xmlDataType="string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5" tableType="xml" totalsRowShown="0" headerRowDxfId="14" dataDxfId="13" connectionId="7">
  <autoFilter ref="A1:I5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3" connectionId="5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0"/>
  <sheetViews>
    <sheetView workbookViewId="0">
      <selection activeCell="D12" sqref="D12"/>
    </sheetView>
  </sheetViews>
  <sheetFormatPr defaultRowHeight="14.4" x14ac:dyDescent="0.3"/>
  <cols>
    <col min="1" max="1" width="17.21875" customWidth="1"/>
    <col min="2" max="2" width="16.33203125" customWidth="1"/>
    <col min="3" max="3" width="15.77734375" customWidth="1"/>
    <col min="4" max="4" width="44.77734375" customWidth="1"/>
    <col min="5" max="5" width="13.33203125" customWidth="1"/>
    <col min="6" max="6" width="24.88671875" customWidth="1"/>
    <col min="7" max="7" width="21.44140625" customWidth="1"/>
    <col min="8" max="8" width="21.77734375" customWidth="1"/>
    <col min="9" max="9" width="23.44140625" customWidth="1"/>
    <col min="10" max="10" width="16.33203125" customWidth="1"/>
    <col min="11" max="11" width="14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57</v>
      </c>
      <c r="B2" s="2" t="s">
        <v>58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62</v>
      </c>
    </row>
    <row r="3" spans="1:20" x14ac:dyDescent="0.3">
      <c r="A3" s="2" t="s">
        <v>59</v>
      </c>
      <c r="B3" s="2" t="s">
        <v>60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61</v>
      </c>
    </row>
    <row r="4" spans="1:20" x14ac:dyDescent="0.3">
      <c r="A4" s="2" t="s">
        <v>85</v>
      </c>
      <c r="B4" s="2" t="s">
        <v>86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87</v>
      </c>
    </row>
    <row r="5" spans="1:20" x14ac:dyDescent="0.3">
      <c r="A5" t="s">
        <v>98</v>
      </c>
      <c r="B5" t="s">
        <v>58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0" si="3">CONCATENATE("Footprints\",G5,".PcbLib")</f>
        <v>Footprints\LQFP48.PcbLib</v>
      </c>
      <c r="G5" t="s">
        <v>99</v>
      </c>
    </row>
    <row r="6" spans="1:20" x14ac:dyDescent="0.3">
      <c r="A6" t="s">
        <v>100</v>
      </c>
      <c r="B6" t="s">
        <v>101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87</v>
      </c>
    </row>
    <row r="7" spans="1:20" x14ac:dyDescent="0.3">
      <c r="A7" t="s">
        <v>102</v>
      </c>
      <c r="B7" t="s">
        <v>103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104</v>
      </c>
    </row>
    <row r="8" spans="1:20" x14ac:dyDescent="0.3">
      <c r="A8" t="s">
        <v>105</v>
      </c>
      <c r="B8" t="s">
        <v>106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 t="shared" si="3"/>
        <v>Footprints\SOP-16.PcbLib</v>
      </c>
      <c r="G8" t="s">
        <v>107</v>
      </c>
    </row>
    <row r="9" spans="1:20" x14ac:dyDescent="0.3">
      <c r="A9" t="s">
        <v>108</v>
      </c>
      <c r="B9" t="s">
        <v>109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110</v>
      </c>
    </row>
    <row r="10" spans="1:20" x14ac:dyDescent="0.3">
      <c r="A10" t="s">
        <v>111</v>
      </c>
      <c r="B10" t="s">
        <v>103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104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2"/>
  <sheetViews>
    <sheetView workbookViewId="0">
      <selection activeCell="I5" sqref="I5"/>
    </sheetView>
  </sheetViews>
  <sheetFormatPr defaultRowHeight="14.4" x14ac:dyDescent="0.3"/>
  <cols>
    <col min="1" max="1" width="13.6640625" customWidth="1"/>
    <col min="2" max="2" width="12.33203125" customWidth="1"/>
    <col min="3" max="3" width="11.21875" customWidth="1"/>
    <col min="4" max="4" width="13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2.21875" customWidth="1"/>
  </cols>
  <sheetData>
    <row r="1" spans="1:9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77</v>
      </c>
      <c r="I1" t="s">
        <v>93</v>
      </c>
    </row>
    <row r="2" spans="1:9" x14ac:dyDescent="0.3">
      <c r="A2" s="2" t="s">
        <v>94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95</v>
      </c>
      <c r="E2" s="2" t="s">
        <v>96</v>
      </c>
      <c r="F2" s="2" t="str">
        <f>CONCATENATE("Footprints\",G2,".PcbLib")</f>
        <v>Footprints\SMC.PcbLib</v>
      </c>
      <c r="G2" s="2" t="s">
        <v>97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4" x14ac:dyDescent="0.3"/>
  <cols>
    <col min="1" max="1" width="14.77734375" customWidth="1"/>
    <col min="2" max="2" width="45.88671875" customWidth="1"/>
    <col min="3" max="3" width="11.21875" customWidth="1"/>
    <col min="4" max="4" width="13" customWidth="1"/>
    <col min="5" max="5" width="11.88671875" customWidth="1"/>
    <col min="6" max="6" width="23.5546875" customWidth="1"/>
    <col min="7" max="7" width="15.33203125" customWidth="1"/>
    <col min="8" max="8" width="19.6640625" customWidth="1"/>
    <col min="9" max="9" width="21.21875" customWidth="1"/>
    <col min="10" max="10" width="11.77734375" customWidth="1"/>
    <col min="11" max="11" width="8" bestFit="1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77</v>
      </c>
      <c r="I1" t="s">
        <v>78</v>
      </c>
      <c r="J1" t="s">
        <v>80</v>
      </c>
      <c r="K1" t="s">
        <v>25</v>
      </c>
    </row>
    <row r="2" spans="1:11" ht="13.05" customHeight="1" x14ac:dyDescent="0.3">
      <c r="A2" s="2" t="s">
        <v>79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82</v>
      </c>
      <c r="E2" s="2" t="s">
        <v>83</v>
      </c>
      <c r="F2" s="2" t="str">
        <f>CONCATENATE("Footprints\",G2,".PcbLib")</f>
        <v>Footprints\SOD-323.PcbLib</v>
      </c>
      <c r="G2" s="2" t="s">
        <v>81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3"/>
  <sheetViews>
    <sheetView workbookViewId="0">
      <selection activeCell="B2" sqref="B2"/>
    </sheetView>
  </sheetViews>
  <sheetFormatPr defaultRowHeight="14.4" x14ac:dyDescent="0.3"/>
  <cols>
    <col min="1" max="1" width="20.33203125" customWidth="1"/>
    <col min="2" max="2" width="24.77734375" customWidth="1"/>
    <col min="3" max="3" width="15.77734375" customWidth="1"/>
    <col min="4" max="4" width="26.33203125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1.77734375" customWidth="1"/>
    <col min="10" max="10" width="8" bestFit="1" customWidth="1"/>
    <col min="11" max="11" width="10.441406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77</v>
      </c>
      <c r="I1" t="s">
        <v>80</v>
      </c>
      <c r="J1" t="s">
        <v>25</v>
      </c>
      <c r="K1" t="s">
        <v>91</v>
      </c>
    </row>
    <row r="2" spans="1:11" x14ac:dyDescent="0.3">
      <c r="A2" s="2" t="s">
        <v>84</v>
      </c>
      <c r="B2" s="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s="2" t="str">
        <f>A2</f>
        <v>SMBJ24A</v>
      </c>
      <c r="D2" s="2" t="str">
        <f>CONCATENATE("Schematic\TVS\",E2,".SchLib")</f>
        <v>Schematic\TVS\TVS_1_1dir.SchLib</v>
      </c>
      <c r="E2" s="2" t="s">
        <v>89</v>
      </c>
      <c r="F2" s="2" t="str">
        <f>CONCATENATE("Footprints\",G2,".PcbLib")</f>
        <v>Footprints\SOT23-3.PcbLib</v>
      </c>
      <c r="G2" s="2" t="s">
        <v>18</v>
      </c>
      <c r="H2" s="2">
        <v>24</v>
      </c>
      <c r="I2" s="2">
        <v>600</v>
      </c>
      <c r="J2" s="2" t="str">
        <f>CONCATENATE(H2," В")</f>
        <v>24 В</v>
      </c>
      <c r="K2" s="2"/>
    </row>
    <row r="3" spans="1:11" x14ac:dyDescent="0.3">
      <c r="A3" s="2" t="s">
        <v>88</v>
      </c>
      <c r="B3" s="2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s="2" t="str">
        <f>A3</f>
        <v>PSM712</v>
      </c>
      <c r="D3" s="2" t="str">
        <f>CONCATENATE("Schematic\TVS\",E3,".SchLib")</f>
        <v>Schematic\TVS\TVS_2_2dir.SchLib</v>
      </c>
      <c r="E3" s="2" t="s">
        <v>90</v>
      </c>
      <c r="F3" s="2" t="str">
        <f>CONCATENATE("Footprints\",G3,".PcbLib")</f>
        <v>Footprints\SOT23-3.PcbLib</v>
      </c>
      <c r="G3" s="2" t="s">
        <v>18</v>
      </c>
      <c r="H3" s="2"/>
      <c r="I3" s="2"/>
      <c r="J3" s="2"/>
      <c r="K3" s="2" t="s">
        <v>92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4" x14ac:dyDescent="0.3"/>
  <cols>
    <col min="1" max="1" width="14.88671875" customWidth="1"/>
    <col min="2" max="2" width="22" bestFit="1" customWidth="1"/>
    <col min="3" max="3" width="12.33203125" bestFit="1" customWidth="1"/>
    <col min="4" max="4" width="35.77734375" bestFit="1" customWidth="1"/>
    <col min="5" max="5" width="20.44140625" bestFit="1" customWidth="1"/>
    <col min="6" max="6" width="23.109375" bestFit="1" customWidth="1"/>
    <col min="7" max="7" width="16.88671875" customWidth="1"/>
    <col min="8" max="8" width="29.77734375" bestFit="1" customWidth="1"/>
    <col min="9" max="9" width="16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6" x14ac:dyDescent="0.3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6" x14ac:dyDescent="0.3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T2"/>
  <sheetViews>
    <sheetView workbookViewId="0">
      <selection activeCell="D29" sqref="D29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5546875" bestFit="1" customWidth="1"/>
    <col min="7" max="7" width="18.21875" customWidth="1"/>
    <col min="8" max="8" width="16.88671875" customWidth="1"/>
    <col min="9" max="9" width="18.21875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37</v>
      </c>
      <c r="L1" s="1" t="s">
        <v>38</v>
      </c>
      <c r="M1" s="1" t="s">
        <v>40</v>
      </c>
      <c r="N1" s="1" t="s">
        <v>41</v>
      </c>
      <c r="O1" s="1"/>
      <c r="P1" s="1"/>
      <c r="Q1" s="1"/>
      <c r="R1" s="1"/>
      <c r="S1" s="1"/>
      <c r="T1" s="1"/>
    </row>
    <row r="2" spans="1:20" ht="15.6" x14ac:dyDescent="0.3">
      <c r="A2" s="3" t="s">
        <v>26</v>
      </c>
      <c r="B2" s="3" t="s">
        <v>27</v>
      </c>
      <c r="C2" s="3" t="s">
        <v>26</v>
      </c>
      <c r="D2" s="3" t="s">
        <v>31</v>
      </c>
      <c r="E2" s="3" t="s">
        <v>26</v>
      </c>
      <c r="F2" s="3" t="s">
        <v>28</v>
      </c>
      <c r="G2" s="3" t="s">
        <v>34</v>
      </c>
      <c r="H2" s="3" t="s">
        <v>35</v>
      </c>
      <c r="I2" s="3" t="s">
        <v>34</v>
      </c>
      <c r="J2" s="3" t="s">
        <v>36</v>
      </c>
      <c r="K2" s="3" t="s">
        <v>34</v>
      </c>
      <c r="L2" s="3" t="s">
        <v>39</v>
      </c>
      <c r="M2" s="3" t="s">
        <v>34</v>
      </c>
      <c r="N2" s="3" t="s">
        <v>42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R9" sqref="R9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5546875" bestFit="1" customWidth="1"/>
    <col min="7" max="7" width="19.21875" customWidth="1"/>
    <col min="8" max="8" width="16.88671875" customWidth="1"/>
    <col min="9" max="9" width="18.21875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  <col min="15" max="15" width="18.21875" customWidth="1"/>
    <col min="16" max="16" width="16.88671875" customWidth="1"/>
    <col min="17" max="17" width="18.21875" customWidth="1"/>
    <col min="18" max="18" width="16.88671875" customWidth="1"/>
    <col min="19" max="19" width="18.21875" customWidth="1"/>
    <col min="20" max="20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37</v>
      </c>
      <c r="L1" s="1" t="s">
        <v>38</v>
      </c>
      <c r="M1" s="1" t="s">
        <v>40</v>
      </c>
      <c r="N1" s="1" t="s">
        <v>41</v>
      </c>
      <c r="O1" s="1" t="s">
        <v>48</v>
      </c>
      <c r="P1" s="1" t="s">
        <v>49</v>
      </c>
      <c r="Q1" s="1" t="s">
        <v>50</v>
      </c>
      <c r="R1" s="1" t="s">
        <v>51</v>
      </c>
      <c r="S1" s="1" t="s">
        <v>52</v>
      </c>
      <c r="T1" s="1" t="s">
        <v>53</v>
      </c>
    </row>
    <row r="2" spans="1:20" ht="15.6" x14ac:dyDescent="0.3">
      <c r="A2" s="1" t="s">
        <v>29</v>
      </c>
      <c r="B2" s="1" t="s">
        <v>30</v>
      </c>
      <c r="C2" s="1" t="s">
        <v>29</v>
      </c>
      <c r="D2" s="1" t="s">
        <v>32</v>
      </c>
      <c r="E2" s="1" t="s">
        <v>29</v>
      </c>
      <c r="F2" s="1" t="s">
        <v>33</v>
      </c>
      <c r="G2" s="1" t="str">
        <f>CONCATENATE("Footprints\Capacitors\",H2,".PcbLib")</f>
        <v>Footprints\Capacitors\0603C.PcbLib</v>
      </c>
      <c r="H2" s="1" t="s">
        <v>43</v>
      </c>
      <c r="I2" s="1" t="str">
        <f>CONCATENATE("Footprints\Capacitors\",J2,".PcbLib")</f>
        <v>Footprints\Capacitors\0805C.PcbLib</v>
      </c>
      <c r="J2" s="1" t="s">
        <v>44</v>
      </c>
    </row>
    <row r="3" spans="1:20" ht="15.6" x14ac:dyDescent="0.3">
      <c r="A3" s="1" t="s">
        <v>45</v>
      </c>
      <c r="B3" s="1" t="s">
        <v>46</v>
      </c>
      <c r="C3" s="1" t="s">
        <v>45</v>
      </c>
      <c r="D3" s="1" t="s">
        <v>32</v>
      </c>
      <c r="E3" s="1" t="s">
        <v>45</v>
      </c>
      <c r="F3" s="1" t="s">
        <v>47</v>
      </c>
      <c r="G3" s="1" t="str">
        <f>CONCATENATE("Footprints\Capacitors\",H3,".PcbLib")</f>
        <v>Footprints\Capacitors\TC_A.PcbLib</v>
      </c>
      <c r="H3" s="1" t="s">
        <v>134</v>
      </c>
      <c r="I3" s="1" t="str">
        <f>CONCATENATE("Footprints\Capacitors\",J3,".PcbLib")</f>
        <v>Footprints\Capacitors\TC_B.PcbLib</v>
      </c>
      <c r="J3" s="1" t="s">
        <v>135</v>
      </c>
      <c r="K3" s="1" t="str">
        <f t="shared" ref="K3" si="0">CONCATENATE("Footprints\Capacitors\",L3,".PcbLib")</f>
        <v>Footprints\Capacitors\TC_C.PcbLib</v>
      </c>
      <c r="L3" s="1" t="s">
        <v>136</v>
      </c>
      <c r="M3" s="1" t="str">
        <f t="shared" ref="M3" si="1">CONCATENATE("Footprints\Capacitors\",N3,".PcbLib")</f>
        <v>Footprints\Capacitors\TC_D.PcbLib</v>
      </c>
      <c r="N3" s="1" t="s">
        <v>137</v>
      </c>
      <c r="O3" s="1" t="str">
        <f t="shared" ref="O3" si="2">CONCATENATE("Footprints\Capacitors\",P3,".PcbLib")</f>
        <v>Footprints\Capacitors\TC_E.PcbLib</v>
      </c>
      <c r="P3" s="1" t="s">
        <v>138</v>
      </c>
      <c r="Q3" s="1" t="str">
        <f t="shared" ref="Q3" si="3">CONCATENATE("Footprints\Capacitors\",R3,".PcbLib")</f>
        <v>Footprints\Capacitors\RADIAL-2 8mm.PcbLib</v>
      </c>
      <c r="R3" t="s">
        <v>55</v>
      </c>
      <c r="S3" s="1" t="s">
        <v>54</v>
      </c>
      <c r="T3" t="s">
        <v>56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M2"/>
  <sheetViews>
    <sheetView workbookViewId="0">
      <selection activeCell="G10" sqref="G10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18.21875" customWidth="1"/>
    <col min="7" max="7" width="16.88671875" customWidth="1"/>
    <col min="8" max="8" width="18.21875" customWidth="1"/>
    <col min="9" max="9" width="16.88671875" customWidth="1"/>
    <col min="10" max="10" width="18.21875" customWidth="1"/>
    <col min="11" max="11" width="16.88671875" customWidth="1"/>
    <col min="12" max="12" width="18.21875" customWidth="1"/>
    <col min="13" max="13" width="16.88671875" customWidth="1"/>
    <col min="14" max="14" width="10.6640625" customWidth="1"/>
  </cols>
  <sheetData>
    <row r="1" spans="1:13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37</v>
      </c>
      <c r="K1" s="1" t="s">
        <v>38</v>
      </c>
      <c r="L1" s="1" t="s">
        <v>40</v>
      </c>
      <c r="M1" s="1" t="s">
        <v>41</v>
      </c>
    </row>
    <row r="2" spans="1:13" x14ac:dyDescent="0.3">
      <c r="A2" s="2" t="s">
        <v>112</v>
      </c>
      <c r="B2" s="2" t="s">
        <v>113</v>
      </c>
      <c r="C2" s="2" t="str">
        <f>A2</f>
        <v>Inductance</v>
      </c>
      <c r="D2" s="2" t="s">
        <v>114</v>
      </c>
      <c r="E2" s="2" t="s">
        <v>112</v>
      </c>
      <c r="F2" s="2" t="str">
        <f>CONCATENATE("Footprints\Inductance\",G2,".PcbLib")</f>
        <v>Footprints\Inductance\0603L.PcbLib</v>
      </c>
      <c r="G2" s="2" t="s">
        <v>115</v>
      </c>
      <c r="H2" s="2" t="str">
        <f>CONCATENATE("Footprints\Inductance\",I2,".PcbLib")</f>
        <v>Footprints\Inductance\1210L.PcbLib</v>
      </c>
      <c r="I2" s="2" t="s">
        <v>116</v>
      </c>
      <c r="J2" s="2" t="str">
        <f>CONCATENATE("Footprints\Inductance\",K2,".PcbLib")</f>
        <v>Footprints\Inductance\1212L.PcbLib</v>
      </c>
      <c r="K2" s="2" t="s">
        <v>117</v>
      </c>
      <c r="L2" s="2" t="str">
        <f>CONCATENATE("Footprints\Inductance\",M2,".PcbLib")</f>
        <v>Footprints\Inductance\12.8x12.8.PcbLib</v>
      </c>
      <c r="M2" s="2" t="s">
        <v>118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5"/>
  <sheetViews>
    <sheetView tabSelected="1" workbookViewId="0">
      <selection activeCell="F8" sqref="F8"/>
    </sheetView>
  </sheetViews>
  <sheetFormatPr defaultRowHeight="14.4" x14ac:dyDescent="0.3"/>
  <cols>
    <col min="1" max="1" width="14.88671875" customWidth="1"/>
    <col min="2" max="2" width="15.77734375" customWidth="1"/>
    <col min="3" max="3" width="12.5546875" customWidth="1"/>
    <col min="4" max="4" width="14.6640625" customWidth="1"/>
    <col min="5" max="5" width="12.77734375" customWidth="1"/>
    <col min="6" max="6" width="28" customWidth="1"/>
    <col min="7" max="7" width="16.88671875" customWidth="1"/>
    <col min="8" max="8" width="20.77734375" customWidth="1"/>
    <col min="9" max="9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t="s">
        <v>63</v>
      </c>
      <c r="B2" t="s">
        <v>64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65</v>
      </c>
      <c r="H2" t="str">
        <f>CONCATENATE("Footprints\Buttons\",I2,".PcbLib")</f>
        <v>Footprints\Buttons\Button_SMD_6x6.PcbLib</v>
      </c>
      <c r="I2" t="s">
        <v>66</v>
      </c>
    </row>
    <row r="3" spans="1:20" x14ac:dyDescent="0.3">
      <c r="A3" t="s">
        <v>67</v>
      </c>
      <c r="B3" t="s">
        <v>68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133</v>
      </c>
    </row>
    <row r="4" spans="1:20" x14ac:dyDescent="0.3">
      <c r="A4" t="s">
        <v>69</v>
      </c>
      <c r="B4" t="s">
        <v>70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139</v>
      </c>
    </row>
    <row r="5" spans="1:20" x14ac:dyDescent="0.3">
      <c r="A5" t="s">
        <v>71</v>
      </c>
      <c r="B5" t="s">
        <v>72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73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workbookViewId="0">
      <selection activeCell="E8" sqref="E8"/>
    </sheetView>
  </sheetViews>
  <sheetFormatPr defaultRowHeight="14.4" x14ac:dyDescent="0.3"/>
  <cols>
    <col min="1" max="1" width="14.88671875" customWidth="1"/>
    <col min="2" max="2" width="13.5546875" customWidth="1"/>
    <col min="3" max="3" width="13.21875" customWidth="1"/>
    <col min="4" max="4" width="39.77734375" customWidth="1"/>
    <col min="5" max="5" width="12.77734375" customWidth="1"/>
    <col min="6" max="6" width="22.88671875" customWidth="1"/>
    <col min="7" max="7" width="16.88671875" customWidth="1"/>
    <col min="8" max="8" width="12.21875" customWidth="1"/>
    <col min="9" max="9" width="13.4414062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">
      <c r="A2" s="2" t="s">
        <v>74</v>
      </c>
      <c r="B2" s="2" t="s">
        <v>75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123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">
      <c r="A3" s="2" t="s">
        <v>76</v>
      </c>
      <c r="B3" s="2" t="s">
        <v>75</v>
      </c>
      <c r="C3" s="2" t="str">
        <f>A3</f>
        <v>D-SUB-26</v>
      </c>
      <c r="D3" t="str">
        <f t="shared" si="0"/>
        <v>Schematic\Connectors\Conn_26pin.SchLib</v>
      </c>
      <c r="E3" s="2" t="s">
        <v>124</v>
      </c>
      <c r="F3" t="str">
        <f t="shared" si="1"/>
        <v>Footprints\Connectors\D-SUB-26.PcbLib</v>
      </c>
      <c r="G3" s="2" t="str">
        <f>A3</f>
        <v>D-SUB-26</v>
      </c>
    </row>
    <row r="4" spans="1:9" x14ac:dyDescent="0.3">
      <c r="A4" t="s">
        <v>119</v>
      </c>
      <c r="B4" t="s">
        <v>120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125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">
      <c r="A5" t="s">
        <v>121</v>
      </c>
      <c r="B5" t="s">
        <v>122</v>
      </c>
      <c r="C5" s="2" t="str">
        <f t="shared" si="2"/>
        <v>CWF-5</v>
      </c>
      <c r="D5" t="str">
        <f t="shared" si="0"/>
        <v>Schematic\Connectors\Conn_5pin.SchLib</v>
      </c>
      <c r="E5" s="2" t="s">
        <v>126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">
      <c r="A6" t="s">
        <v>127</v>
      </c>
      <c r="B6" t="s">
        <v>128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129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">
      <c r="A7" t="s">
        <v>130</v>
      </c>
      <c r="B7" t="s">
        <v>131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132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2024-11-02T16:13:48Z</dcterms:modified>
</cp:coreProperties>
</file>