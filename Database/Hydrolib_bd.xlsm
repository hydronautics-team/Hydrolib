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FA7E622F-F61F-4744-86B5-1D16B92891D5}" xr6:coauthVersionLast="47" xr6:coauthVersionMax="47" xr10:uidLastSave="{00000000-0000-0000-0000-000000000000}"/>
  <bookViews>
    <workbookView xWindow="-110" yWindow="-110" windowWidth="25820" windowHeight="15500" firstSheet="6" activeTab="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" l="1"/>
  <c r="F12" i="4"/>
  <c r="J15" i="10"/>
  <c r="C15" i="10"/>
  <c r="F15" i="10"/>
  <c r="H15" i="10"/>
  <c r="L15" i="10"/>
  <c r="J16" i="5"/>
  <c r="C11" i="4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<sst xmlns="http://schemas.openxmlformats.org/spreadsheetml/2006/main" count="3194" uniqueCount="1314">
  <si>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</si>
  <si>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</si>
  <si>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</si>
  <si>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</si>
  <si>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</si>
  <si>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</si>
  <si>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</si>
  <si>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</si>
  <si>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</si>
  <si>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</si>
  <si>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</si>
  <si>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</si>
  <si>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</si>
  <si>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</si>
  <si>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</si>
  <si>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</si>
  <si>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</si>
  <si>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</si>
  <si>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</si>
  <si>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</si>
  <si>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</si>
  <si>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</si>
  <si>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</si>
  <si>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</si>
  <si>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</si>
  <si>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</si>
  <si>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</si>
  <si>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</si>
  <si>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</si>
  <si>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</si>
  <si>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</si>
  <si>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</si>
  <si>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</si>
  <si>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</si>
  <si>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</si>
  <si>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</si>
  <si>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</si>
  <si>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</si>
  <si>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</si>
  <si>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</si>
  <si>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</si>
  <si>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</si>
  <si>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</si>
  <si>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</si>
  <si>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</si>
  <si>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</si>
  <si>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</si>
  <si>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</si>
  <si>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</si>
  <si>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</si>
  <si>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</si>
  <si>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</si>
  <si>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</si>
  <si>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</si>
  <si>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</si>
  <si>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</si>
  <si>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</si>
  <si>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</si>
  <si>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</si>
  <si>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</si>
  <si>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</si>
  <si>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</si>
  <si>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</si>
  <si>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</si>
  <si>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</si>
  <si>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</si>
  <si>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</si>
  <si>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</si>
  <si>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</si>
  <si>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</si>
  <si>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</si>
  <si>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</si>
  <si>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</si>
  <si>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</si>
  <si>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</si>
  <si>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</si>
  <si>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</si>
  <si>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</si>
  <si>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</si>
  <si>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</si>
  <si>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</si>
  <si>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</si>
  <si>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</si>
  <si>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</si>
  <si>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</si>
  <si>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</si>
  <si>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</si>
  <si>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</si>
  <si>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</si>
  <si>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</si>
  <si>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</si>
  <si>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</si>
  <si>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</si>
  <si>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</si>
  <si>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</si>
  <si>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</si>
  <si>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</si>
  <si>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</si>
  <si>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</si>
  <si>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</si>
  <si>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</si>
  <si>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</si>
  <si>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</si>
  <si>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</si>
  <si>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</si>
  <si>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</si>
  <si>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</si>
  <si>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</si>
  <si>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</si>
  <si>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</si>
  <si>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</si>
  <si>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</si>
  <si>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</si>
  <si>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</si>
  <si>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</si>
  <si>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</si>
  <si>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</si>
  <si>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</si>
  <si>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</si>
  <si>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</si>
  <si>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</si>
  <si>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</si>
  <si>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</si>
  <si>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</si>
  <si>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</si>
  <si>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</si>
  <si>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</si>
  <si>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</si>
  <si>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</si>
  <si>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</si>
  <si>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</si>
  <si>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</si>
  <si>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</si>
  <si>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</si>
  <si>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</si>
  <si>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</si>
  <si>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</si>
  <si>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</si>
  <si>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</si>
  <si>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</si>
  <si>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</si>
  <si>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</si>
  <si>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</si>
  <si>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</si>
  <si>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</si>
  <si>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</si>
  <si>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</si>
  <si>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</si>
  <si>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</si>
  <si>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</si>
  <si>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</si>
  <si>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</si>
  <si>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</si>
  <si>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</si>
  <si>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</si>
  <si>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</si>
  <si>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</si>
  <si>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</si>
  <si>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</si>
  <si>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</si>
  <si>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</si>
  <si>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</si>
  <si>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</si>
  <si>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</si>
  <si>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</si>
  <si>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</si>
  <si>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</si>
  <si>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</si>
  <si>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</si>
  <si>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</si>
  <si>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</si>
  <si>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</si>
  <si>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</si>
  <si>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</si>
  <si>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</si>
  <si>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</si>
  <si>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</si>
  <si>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</si>
  <si>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</si>
  <si>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</si>
  <si>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</si>
  <si>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</si>
  <si>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</si>
  <si>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</si>
  <si>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</si>
  <si>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</si>
  <si>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</si>
  <si>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</si>
  <si>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</si>
  <si>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</si>
  <si>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</si>
  <si>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</si>
  <si>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</si>
  <si>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</si>
  <si>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</si>
  <si>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</si>
  <si>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</si>
  <si>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</si>
  <si>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</si>
  <si>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</si>
  <si>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</si>
  <si>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</si>
  <si>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</si>
  <si>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</si>
  <si>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</si>
  <si>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</si>
  <si>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</si>
  <si>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</si>
  <si>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</si>
  <si>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</si>
  <si>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</si>
  <si>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</si>
  <si>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</si>
  <si>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</si>
  <si>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</si>
  <si>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</si>
  <si>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</si>
  <si>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</si>
  <si>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</si>
  <si>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</si>
  <si>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</si>
  <si>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</si>
  <si>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</si>
  <si>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</si>
  <si>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</si>
  <si>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</si>
  <si>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</si>
  <si>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</si>
  <si>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</si>
  <si>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</si>
  <si>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</si>
  <si>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</si>
  <si>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</si>
  <si>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</si>
  <si>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</si>
  <si>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</si>
  <si>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</si>
  <si>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</si>
  <si>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</si>
  <si>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</si>
  <si>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</si>
  <si>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</si>
  <si>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</si>
  <si>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</si>
  <si>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</si>
  <si>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</si>
  <si>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</si>
  <si>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</si>
  <si>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</si>
  <si>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</si>
  <si>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</si>
  <si>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</si>
  <si>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</si>
  <si>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</si>
  <si>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</si>
  <si>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</si>
  <si>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</si>
  <si>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</si>
  <si>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</si>
  <si>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</si>
  <si>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</si>
  <si>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</si>
  <si>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</si>
  <si>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</si>
  <si>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</si>
  <si>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</si>
  <si>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</si>
  <si>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</si>
  <si>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</si>
  <si>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</si>
  <si>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</si>
  <si>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</si>
  <si>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</si>
  <si>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</si>
  <si>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</si>
  <si>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</si>
  <si>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</si>
  <si>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</si>
  <si>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</si>
  <si>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</si>
  <si>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</si>
  <si>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</si>
  <si>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</si>
  <si>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</si>
  <si>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</si>
  <si>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</si>
  <si>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</si>
  <si>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</si>
  <si>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</si>
  <si>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</si>
  <si>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</si>
  <si>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</si>
  <si>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</si>
  <si>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</si>
  <si>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</si>
  <si>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</si>
  <si>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</si>
  <si>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</si>
  <si>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</si>
  <si>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</si>
  <si>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</si>
  <si>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</si>
  <si>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</si>
  <si>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</si>
  <si>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</si>
  <si>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</si>
  <si>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</si>
  <si>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</si>
  <si>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</si>
  <si>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</si>
  <si>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</si>
  <si>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</si>
  <si>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</si>
  <si>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</si>
  <si>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</si>
  <si>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</si>
  <si>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</si>
  <si>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</si>
  <si>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</si>
  <si>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</si>
  <si>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</si>
  <si>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</si>
  <si>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</si>
  <si>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</si>
  <si>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</si>
  <si>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</si>
  <si>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</si>
  <si>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</si>
  <si>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</si>
  <si>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</si>
  <si>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</si>
  <si>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</si>
  <si>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</si>
  <si>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</si>
  <si>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</si>
  <si>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</si>
  <si>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</si>
  <si>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</si>
  <si>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</si>
  <si>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</si>
  <si>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</si>
  <si>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</si>
  <si>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</si>
  <si>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</si>
  <si>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</si>
  <si>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</si>
  <si>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</si>
  <si>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</si>
  <si>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</si>
  <si>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</si>
  <si>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</si>
  <si>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</si>
  <si>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</si>
  <si>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</si>
  <si>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</si>
  <si>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</si>
  <si>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</si>
  <si>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</si>
  <si>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</si>
  <si>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</si>
  <si>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</si>
  <si>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</si>
  <si>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</si>
  <si>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</si>
  <si>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</si>
  <si>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</si>
  <si>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</si>
  <si>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</si>
  <si>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</si>
  <si>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</si>
  <si>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</si>
  <si>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</si>
  <si>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</si>
  <si>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</si>
  <si>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</si>
  <si>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</si>
  <si>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</si>
  <si>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</si>
  <si>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</si>
  <si>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</si>
  <si>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</si>
  <si>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</si>
  <si>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</si>
  <si>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</si>
  <si>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</si>
  <si>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</si>
  <si>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</si>
  <si>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</si>
  <si>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</si>
  <si>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</si>
  <si>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</si>
  <si>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</si>
  <si>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</si>
  <si>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</si>
  <si>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</si>
  <si>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</si>
  <si>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</si>
  <si>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</si>
  <si>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</si>
  <si>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</si>
  <si>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</si>
  <si>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</si>
  <si>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</si>
  <si>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</si>
  <si>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</si>
  <si>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</si>
  <si>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</si>
  <si>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</si>
  <si>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</si>
  <si>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</si>
  <si>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</si>
  <si>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</si>
  <si>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</si>
  <si>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</si>
  <si>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</si>
  <si>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</si>
  <si>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</si>
  <si>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</si>
  <si>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</si>
  <si>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</si>
  <si>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</si>
  <si>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</si>
  <si>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</si>
  <si>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</si>
  <si>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</si>
  <si>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</si>
  <si>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</si>
  <si>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</si>
  <si>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</si>
  <si>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</si>
  <si>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</si>
  <si>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</si>
  <si>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</si>
  <si>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</si>
  <si>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</si>
  <si>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</si>
  <si>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</si>
  <si>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</si>
  <si>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</si>
  <si>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</si>
  <si>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</si>
  <si>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</si>
  <si>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</si>
  <si>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</si>
  <si>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</si>
  <si>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</si>
  <si>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</si>
  <si>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</si>
  <si>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</si>
  <si>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</si>
  <si>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</si>
  <si>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</si>
  <si>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</si>
  <si>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</si>
  <si>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</si>
  <si>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</si>
  <si>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</si>
  <si>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</si>
  <si>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</si>
  <si>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</si>
  <si>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</si>
  <si>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</si>
  <si>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</si>
  <si>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</si>
  <si>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</si>
  <si>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</si>
  <si>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</si>
  <si>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</si>
  <si>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</si>
  <si>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</si>
  <si>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</si>
  <si>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</si>
  <si>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</si>
  <si>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</si>
  <si>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</si>
  <si>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</si>
  <si>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</si>
  <si>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</si>
  <si>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</si>
  <si>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</si>
  <si>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</si>
  <si>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</si>
  <si>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</si>
  <si>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</si>
  <si>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</si>
  <si>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</si>
  <si>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</si>
  <si>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</si>
  <si>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</si>
  <si>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</si>
  <si>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</si>
  <si>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</si>
  <si>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</si>
  <si>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</si>
  <si>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</si>
  <si>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</si>
  <si>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</si>
  <si>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</si>
  <si>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</si>
  <si>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</si>
  <si>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</si>
  <si>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</si>
  <si>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</si>
  <si>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</si>
  <si>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</si>
  <si>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</si>
  <si>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</si>
  <si>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</si>
  <si>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</si>
  <si>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</si>
  <si>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</si>
  <si>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</si>
  <si>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</si>
  <si>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</si>
  <si>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</si>
  <si>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</si>
  <si>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</si>
  <si>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</si>
  <si>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</si>
  <si>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</si>
  <si>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</si>
  <si>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</si>
  <si>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</si>
  <si>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</si>
  <si>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</si>
  <si>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</si>
  <si>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</si>
  <si>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</si>
  <si>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</si>
  <si>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</si>
  <si>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</si>
  <si>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</si>
  <si>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</si>
  <si>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</si>
  <si>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</si>
  <si>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</si>
  <si>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</si>
  <si>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</si>
  <si>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</si>
  <si>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</si>
  <si>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</si>
  <si>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</si>
  <si>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</si>
  <si>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</si>
  <si>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</si>
  <si>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</si>
  <si>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</si>
  <si>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</si>
  <si>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</si>
  <si>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</si>
  <si>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</si>
  <si>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</si>
  <si>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</si>
  <si>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</si>
  <si>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</si>
  <si>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</si>
  <si>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</si>
  <si>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</si>
  <si>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</si>
  <si>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</si>
  <si>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</si>
  <si>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</si>
  <si>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</si>
  <si>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</si>
  <si>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</si>
  <si>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</si>
  <si>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</si>
  <si>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</si>
  <si>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</si>
  <si>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</si>
  <si>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</si>
  <si>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</si>
  <si>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</si>
  <si>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</si>
  <si>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</si>
  <si>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</si>
  <si>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</si>
  <si>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</si>
  <si>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</si>
  <si>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</si>
  <si>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</si>
  <si>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</si>
  <si>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</si>
  <si>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</si>
  <si>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</si>
  <si>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</si>
  <si>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</si>
  <si>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</si>
  <si>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</si>
  <si>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</si>
  <si>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</si>
  <si>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</si>
  <si>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</si>
  <si>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</si>
  <si>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</si>
  <si>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</si>
  <si>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</si>
  <si>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</si>
  <si>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</si>
  <si>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</si>
  <si>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</si>
  <si>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</si>
  <si>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</si>
  <si>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</si>
  <si>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</si>
  <si>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</si>
  <si>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</si>
  <si>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</si>
  <si>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</si>
  <si>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</si>
  <si>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</si>
  <si>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</si>
  <si>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</si>
  <si>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</si>
  <si>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</si>
  <si>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</si>
  <si>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</si>
  <si>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</si>
  <si>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</si>
  <si>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</si>
  <si>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</si>
  <si>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</si>
  <si>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</si>
  <si>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</si>
  <si>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</si>
  <si>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</si>
  <si>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</si>
  <si>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</si>
  <si>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</si>
  <si>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</si>
  <si>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</si>
  <si>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</si>
  <si>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</si>
  <si>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</si>
  <si>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</si>
  <si>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</si>
  <si>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</si>
  <si>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</si>
  <si>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</si>
  <si>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</si>
  <si>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</si>
  <si>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</si>
  <si>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</si>
  <si>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</si>
  <si>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</si>
  <si>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</si>
  <si>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</si>
  <si>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</si>
  <si>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</si>
  <si>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</si>
  <si>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</si>
  <si>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</si>
  <si>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</si>
  <si>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</si>
  <si>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</si>
  <si>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</si>
  <si>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</si>
  <si>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</si>
  <si>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</si>
  <si>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</si>
  <si>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</si>
  <si>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</si>
  <si>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</si>
  <si>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</si>
  <si>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</si>
  <si>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</si>
  <si>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</si>
  <si>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</si>
  <si>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</si>
  <si>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</si>
  <si>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</si>
  <si>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</si>
  <si>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</si>
  <si>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</si>
  <si>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</si>
  <si>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</si>
  <si>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</si>
  <si>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</si>
  <si>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</si>
  <si>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</si>
  <si>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</si>
  <si>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</si>
  <si>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</si>
  <si>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</si>
  <si>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</si>
  <si>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</si>
  <si>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</si>
  <si>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</si>
  <si>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</si>
  <si>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</si>
  <si>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</si>
  <si>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</si>
  <si>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</si>
  <si>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</si>
  <si>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</si>
  <si>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</si>
  <si>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</si>
  <si>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</si>
  <si>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</si>
  <si>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</si>
  <si>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</si>
  <si>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</si>
  <si>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</si>
  <si>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</si>
  <si>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</si>
  <si>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</si>
  <si>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</si>
  <si>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</si>
  <si>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</si>
  <si>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</si>
  <si>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</si>
  <si>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</si>
  <si>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</si>
  <si>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</si>
  <si>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</si>
  <si>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</si>
  <si>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</si>
  <si>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</si>
  <si>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</si>
  <si>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</si>
  <si>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</si>
  <si>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</si>
  <si>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</si>
  <si>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</si>
  <si>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</si>
  <si>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</si>
  <si>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</si>
  <si>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</si>
  <si>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</si>
  <si>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</si>
  <si>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</si>
  <si>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</si>
  <si>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</si>
  <si>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</si>
  <si>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</si>
  <si>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</si>
  <si>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</si>
  <si>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</si>
  <si>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</si>
  <si>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</si>
  <si>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</si>
  <si>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</si>
  <si>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</si>
  <si>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</si>
  <si>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</si>
  <si>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</si>
  <si>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</si>
  <si>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</si>
  <si>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</si>
  <si>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</si>
  <si>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</si>
  <si>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</si>
  <si>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</si>
  <si>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</si>
  <si>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</si>
  <si>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</si>
  <si>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</si>
  <si>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</si>
  <si>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</si>
  <si>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</si>
  <si>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</si>
  <si>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</si>
  <si>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</si>
  <si>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</si>
  <si>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</si>
  <si>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</si>
  <si>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</si>
  <si>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</si>
  <si>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</si>
  <si>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</si>
  <si>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</si>
  <si>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</si>
  <si>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</si>
  <si>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</si>
  <si>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</si>
  <si>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</si>
  <si>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</si>
  <si>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</si>
  <si>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</si>
  <si>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</si>
  <si>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</si>
  <si>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</si>
  <si>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</si>
  <si>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</si>
  <si>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</si>
  <si>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</si>
  <si>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</si>
  <si>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</si>
  <si>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</si>
  <si>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</si>
  <si>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</si>
  <si>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</si>
  <si>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</si>
  <si>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</si>
  <si>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</si>
  <si>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</si>
  <si>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</si>
  <si>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</si>
  <si>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</si>
  <si>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</si>
  <si>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</si>
  <si>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</si>
  <si>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</si>
  <si>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</si>
  <si>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</si>
  <si>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</si>
  <si>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</si>
  <si>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</si>
  <si>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</si>
  <si>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</si>
  <si>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</si>
  <si>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</si>
  <si>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</si>
  <si>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</si>
  <si>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</si>
  <si>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</si>
  <si>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</si>
  <si>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</si>
  <si>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</si>
  <si>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</si>
  <si>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</si>
  <si>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</si>
  <si>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</si>
  <si>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</si>
  <si>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</si>
  <si>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</si>
  <si>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</si>
  <si>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</si>
  <si>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</si>
  <si>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</si>
  <si>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</si>
  <si>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</si>
  <si>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</si>
  <si>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</si>
  <si>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</si>
  <si>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</si>
  <si>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</si>
  <si>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</si>
  <si>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</si>
  <si>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</si>
  <si>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</si>
  <si>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</si>
  <si>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</si>
  <si>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</si>
  <si>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</si>
  <si>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</si>
  <si>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</si>
  <si>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</si>
  <si>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</si>
  <si>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</si>
  <si>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</si>
  <si>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</si>
  <si>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</si>
  <si>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</si>
  <si>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</si>
  <si>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</si>
  <si>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</si>
  <si>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</si>
  <si>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</si>
  <si>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</si>
  <si>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</si>
  <si>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</si>
  <si>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</si>
  <si>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</si>
  <si>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</si>
  <si>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</si>
  <si>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</si>
  <si>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</si>
  <si>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</si>
  <si>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</si>
  <si>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</si>
  <si>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</si>
  <si>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</si>
  <si>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</si>
  <si>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</si>
  <si>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</si>
  <si>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</si>
  <si>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</si>
  <si>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</si>
  <si>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</si>
  <si>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</si>
  <si>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</si>
  <si>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</si>
  <si>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</si>
  <si>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</si>
  <si>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</si>
  <si>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</si>
  <si>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</si>
  <si>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</si>
  <si>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</si>
  <si>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</si>
  <si>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</si>
  <si>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</si>
  <si>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</si>
  <si>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</si>
  <si>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</si>
  <si>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</si>
  <si>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</si>
  <si>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</si>
  <si>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</si>
  <si>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</si>
  <si>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</si>
  <si>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</si>
  <si>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</si>
  <si>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</si>
  <si>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</si>
  <si>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</si>
  <si>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</si>
  <si>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</si>
  <si>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</si>
  <si>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</si>
  <si>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</si>
  <si>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</si>
  <si>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</si>
  <si>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</si>
  <si>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</si>
  <si>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</si>
  <si>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</si>
  <si>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</si>
  <si>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</si>
  <si>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</si>
  <si>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</si>
  <si>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</si>
  <si>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</si>
  <si>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</si>
  <si>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</si>
  <si>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</si>
  <si>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</si>
  <si>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</si>
  <si>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</si>
  <si>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</si>
  <si>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</si>
  <si>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</si>
  <si>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</si>
  <si>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</si>
  <si>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</si>
  <si>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</si>
  <si>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</si>
  <si>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</si>
  <si>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</si>
  <si>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</si>
  <si>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</si>
  <si>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</si>
  <si>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</si>
  <si>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</si>
  <si>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</si>
  <si>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</si>
  <si>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</si>
  <si>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</si>
  <si>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</si>
  <si>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</si>
  <si>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</si>
  <si>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</si>
  <si>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</si>
  <si>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</si>
  <si>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</si>
  <si>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</si>
  <si>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</si>
  <si>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</si>
  <si>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</si>
  <si>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</si>
  <si>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</si>
  <si>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</si>
  <si>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</si>
  <si>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</si>
  <si>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</si>
  <si>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</si>
  <si>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</si>
  <si>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</si>
  <si>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</si>
  <si>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</si>
  <si>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</si>
  <si>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</si>
  <si>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</si>
  <si>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</si>
  <si>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</si>
  <si>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</si>
  <si>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</si>
  <si>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</si>
  <si>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</si>
  <si>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</si>
  <si>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</si>
  <si>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</si>
  <si>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</si>
  <si>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</si>
  <si>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</si>
  <si>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</si>
  <si>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</si>
  <si>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</si>
  <si>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</si>
  <si>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</si>
  <si>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</si>
  <si>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</si>
  <si>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</si>
  <si>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</si>
  <si>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</si>
  <si>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</si>
  <si>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</si>
  <si>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</si>
  <si>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</si>
  <si>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</si>
  <si>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</si>
  <si>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</si>
  <si>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</si>
  <si>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</si>
  <si>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</si>
  <si>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</si>
  <si>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</si>
  <si>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</si>
  <si>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</si>
  <si>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</si>
  <si>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</si>
  <si>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</si>
  <si>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</si>
  <si>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</si>
  <si>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</si>
  <si>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</si>
  <si>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</si>
  <si>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</si>
  <si>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</si>
  <si>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</si>
  <si>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</si>
  <si>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</si>
  <si>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</si>
  <si>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</si>
  <si>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</si>
  <si>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</si>
  <si>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</si>
  <si>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</si>
  <si>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</si>
  <si>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</si>
  <si>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</si>
  <si>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</si>
  <si>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</si>
  <si>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</si>
  <si>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</si>
  <si>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</si>
  <si>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</si>
  <si>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</si>
  <si>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</si>
  <si>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</si>
  <si>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</si>
  <si>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</si>
  <si>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</si>
  <si>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</si>
  <si>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</si>
  <si>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</si>
  <si>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</si>
  <si>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</si>
  <si>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</si>
  <si>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</si>
  <si>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</si>
  <si>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</si>
  <si>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</si>
  <si>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</si>
  <si>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</si>
  <si>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</si>
  <si>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</si>
  <si>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</si>
  <si>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</si>
  <si>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</si>
  <si>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</si>
  <si>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</si>
  <si>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</si>
  <si>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</si>
  <si>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</si>
  <si>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</si>
  <si>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</si>
  <si>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</si>
  <si>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</si>
  <si>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</si>
  <si>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</si>
  <si>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</si>
  <si>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</si>
  <si>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</si>
  <si>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</si>
  <si>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</si>
  <si>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</si>
  <si>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</si>
  <si>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</si>
  <si>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</si>
  <si>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</si>
  <si>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</si>
  <si>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</si>
  <si>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</si>
  <si>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</si>
  <si>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</si>
  <si>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</si>
  <si>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</si>
  <si>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</si>
  <si>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</si>
  <si>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</si>
  <si>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</si>
  <si>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</si>
  <si>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</si>
  <si>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</si>
  <si>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</si>
  <si>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</si>
  <si>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</si>
  <si>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</si>
  <si>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</si>
  <si>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</si>
  <si>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</si>
  <si>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</si>
  <si>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</si>
  <si>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</si>
  <si>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</si>
  <si>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</si>
  <si>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</si>
  <si>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</si>
  <si>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</si>
  <si>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</si>
  <si>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</si>
  <si>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</si>
  <si>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</si>
  <si>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</si>
  <si>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</si>
  <si>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</si>
  <si>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</si>
  <si>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</si>
  <si>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</si>
  <si>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</si>
  <si>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</si>
  <si>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</si>
  <si>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</si>
  <si>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</si>
  <si>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</si>
  <si>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</si>
  <si>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</si>
  <si>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</si>
  <si>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</si>
  <si>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</si>
  <si>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</si>
  <si>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</si>
  <si>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</si>
  <si>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</si>
  <si>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</si>
  <si>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</si>
  <si>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</si>
  <si>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</si>
  <si>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</si>
  <si>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</si>
  <si>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</si>
  <si>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</si>
  <si>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</si>
  <si>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</si>
  <si>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</si>
  <si>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</si>
  <si>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</si>
  <si>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</si>
  <si>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</si>
  <si>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</si>
  <si>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</si>
  <si>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</si>
  <si>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</si>
  <si>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</si>
  <si>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</si>
  <si>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</si>
  <si>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</si>
  <si>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</si>
  <si>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</si>
  <si>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</si>
  <si>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</si>
  <si>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</si>
  <si>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</si>
  <si>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</si>
  <si>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</si>
  <si>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</si>
  <si>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</si>
  <si>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</si>
  <si>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</si>
  <si>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</si>
  <si>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</si>
  <si>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</si>
  <si>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</si>
  <si>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</si>
  <si>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</si>
  <si>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</si>
  <si>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</si>
  <si>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</si>
  <si>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</si>
  <si>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</si>
  <si>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</si>
  <si>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</si>
  <si>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</si>
  <si>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</si>
  <si>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</si>
  <si>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</si>
  <si>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</si>
  <si>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</si>
  <si>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</si>
  <si>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</si>
  <si>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</si>
  <si>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</si>
  <si>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</si>
  <si>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</si>
  <si>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</si>
  <si>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</si>
  <si>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</si>
  <si>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</si>
  <si>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</si>
  <si>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</si>
  <si>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</si>
  <si>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</si>
  <si>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</si>
  <si>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</si>
  <si>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</si>
  <si>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</si>
  <si>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</si>
  <si>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</si>
  <si>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</si>
  <si>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</si>
  <si>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</si>
  <si>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</si>
  <si>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</si>
  <si>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</si>
  <si>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</si>
  <si>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</si>
  <si>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</si>
  <si>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</si>
  <si>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</si>
  <si>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</si>
  <si>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</si>
  <si>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</si>
  <si>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</si>
  <si>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</si>
  <si>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</si>
  <si>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</si>
  <si>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</si>
  <si>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</si>
  <si>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</si>
  <si>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</si>
  <si>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</si>
  <si>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</si>
  <si>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</si>
  <si>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</si>
  <si>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</si>
  <si>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</si>
  <si>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</si>
  <si>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</si>
  <si>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</si>
  <si>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</si>
  <si>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</si>
  <si>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</si>
  <si>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</si>
  <si>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</si>
  <si>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</si>
  <si>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</si>
  <si>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</si>
  <si>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</si>
  <si>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</si>
  <si>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</si>
  <si>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</si>
  <si>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</si>
  <si>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</si>
  <si>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</si>
  <si>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</si>
  <si>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</si>
  <si>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</si>
  <si>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</si>
  <si>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</si>
  <si>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</si>
  <si>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</si>
  <si>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</si>
  <si>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</si>
  <si>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</si>
  <si>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</si>
  <si>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</si>
  <si>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</si>
  <si>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</si>
  <si>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</si>
  <si>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</si>
  <si>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</si>
  <si>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</si>
  <si>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</si>
  <si>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</si>
  <si>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</si>
  <si>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</si>
  <si>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</si>
  <si>
    <t>ES1D-E3/61T</t>
  </si>
  <si>
    <t>Диод 1A 200V</t>
  </si>
  <si>
    <t>Footprints\SMA.PcbLib</t>
  </si>
  <si>
    <t>CDSPRH127-150M</t>
  </si>
  <si>
    <t>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</si>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</sst>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12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2" tableType="xml" totalsRowShown="0" headerRowDxfId="108" connectionId="15">
  <autoFilter ref="A1:L12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8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otalsRowShown="0">
  <autoFilter ref="A1:K3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41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A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2"/>
  <sheetViews>
    <sheetView topLeftCell="B1" zoomScale="85" zoomScaleNormal="85" workbookViewId="0">
      <selection activeCell="B17" sqref="B17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  <row r="12" spans="1:19" ht="15.5" x14ac:dyDescent="0.35">
      <c r="A12" s="38" t="s">
        <v>1308</v>
      </c>
      <c r="B12" s="1" t="s">
        <v>1309</v>
      </c>
      <c r="C12" s="2" t="str">
        <f>A12</f>
        <v>PDTC114ET</v>
      </c>
      <c r="D12" s="3" t="s">
        <v>1310</v>
      </c>
      <c r="E12" s="1" t="s">
        <v>1308</v>
      </c>
      <c r="F12" t="str">
        <f>CONCATENATE("Footprints\",G12,".PcbLib")</f>
        <v>Footprints\SOT23-3.PcbLib</v>
      </c>
      <c r="G12" s="3" t="s">
        <v>18</v>
      </c>
      <c r="J12" t="s">
        <v>1312</v>
      </c>
      <c r="K12" t="s">
        <v>1311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6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1288</v>
      </c>
      <c r="B77" s="3" t="s">
        <v>1289</v>
      </c>
      <c r="C77" s="3" t="s">
        <v>26</v>
      </c>
      <c r="D77" s="3" t="s">
        <v>29</v>
      </c>
      <c r="E77" s="3" t="s">
        <v>26</v>
      </c>
      <c r="F77" s="3" t="s">
        <v>1290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1285</v>
      </c>
      <c r="B100" s="3" t="s">
        <v>1286</v>
      </c>
      <c r="C100" s="3" t="s">
        <v>26</v>
      </c>
      <c r="D100" s="3" t="s">
        <v>29</v>
      </c>
      <c r="E100" s="3" t="s">
        <v>26</v>
      </c>
      <c r="F100" s="3" t="s">
        <v>1287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1291</v>
      </c>
      <c r="B103" s="3" t="s">
        <v>1292</v>
      </c>
      <c r="C103" s="3" t="s">
        <v>26</v>
      </c>
      <c r="D103" s="3" t="s">
        <v>29</v>
      </c>
      <c r="E103" s="3" t="s">
        <v>26</v>
      </c>
      <c r="F103" s="3" t="s">
        <v>1293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" t="s">
        <v>1303</v>
      </c>
      <c r="B180" s="3" t="s">
        <v>1304</v>
      </c>
      <c r="C180" s="3" t="s">
        <v>26</v>
      </c>
      <c r="D180" s="3" t="s">
        <v>29</v>
      </c>
      <c r="E180" s="3" t="s">
        <v>26</v>
      </c>
      <c r="F180" s="3" t="s">
        <v>1305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7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tabSelected="1" workbookViewId="0">
      <selection activeCell="K3" sqref="K3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A3" t="s">
        <v>1279</v>
      </c>
      <c r="B3" s="2" t="s">
        <v>1280</v>
      </c>
      <c r="C3" t="s">
        <v>1279</v>
      </c>
      <c r="D3" s="21" t="s">
        <v>1101</v>
      </c>
      <c r="E3" s="21" t="s">
        <v>1100</v>
      </c>
      <c r="F3" t="s">
        <v>1281</v>
      </c>
      <c r="G3" t="s">
        <v>130</v>
      </c>
      <c r="H3" s="2" t="s">
        <v>414</v>
      </c>
      <c r="I3" s="2" t="s">
        <v>1313</v>
      </c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2" t="s">
        <v>1297</v>
      </c>
      <c r="B2" s="33" t="s">
        <v>28</v>
      </c>
      <c r="C2" s="33" t="s">
        <v>30</v>
      </c>
      <c r="D2" s="33" t="s">
        <v>27</v>
      </c>
      <c r="E2" s="33" t="s">
        <v>30</v>
      </c>
      <c r="F2" s="33" t="s">
        <v>27</v>
      </c>
      <c r="G2" s="33" t="s">
        <v>1298</v>
      </c>
      <c r="H2" s="34">
        <v>0.1</v>
      </c>
      <c r="I2" s="33">
        <v>50</v>
      </c>
      <c r="J2" s="33" t="s">
        <v>773</v>
      </c>
      <c r="K2" s="33" t="s">
        <v>774</v>
      </c>
      <c r="L2" s="33" t="s">
        <v>37</v>
      </c>
      <c r="M2" s="33" t="s">
        <v>1299</v>
      </c>
      <c r="N2" s="35"/>
    </row>
    <row r="3" spans="1:14" x14ac:dyDescent="0.35">
      <c r="A3" s="20" t="s">
        <v>1300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1301</v>
      </c>
      <c r="H3" s="30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1302</v>
      </c>
      <c r="N3" s="31"/>
    </row>
    <row r="4" spans="1:14" x14ac:dyDescent="0.35">
      <c r="A4" s="20" t="s">
        <v>1294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1295</v>
      </c>
      <c r="H4" s="30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1296</v>
      </c>
      <c r="N4" s="31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1306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1307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E1" zoomScaleNormal="100" workbookViewId="0">
      <selection activeCell="O22" sqref="O22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1282</v>
      </c>
      <c r="B15" t="s">
        <v>1284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Footprints\Inductance\SPRH127-150M.PcbLib</v>
      </c>
      <c r="G15" t="s">
        <v>1283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:J17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2025-08-05T16:15:15Z</dcterms:modified>
</cp:coreProperties>
</file>