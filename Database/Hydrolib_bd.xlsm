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0CB8C91A-2A51-4E48-A7AA-18AB168B8BA5}" xr6:coauthVersionLast="45" xr6:coauthVersionMax="47" xr10:uidLastSave="{00000000-0000-0000-0000-000000000000}"/>
  <bookViews>
    <workbookView xWindow="-108" yWindow="-108" windowWidth="23256" windowHeight="12720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<sst xmlns="http://schemas.openxmlformats.org/spreadsheetml/2006/main" count="4207" uniqueCount="1748">
  <si>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</si>
  <si>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</si>
  <si>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</si>
  <si>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</si>
  <si>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</si>
  <si>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</si>
  <si>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</si>
  <si>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</si>
  <si>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</si>
  <si>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</si>
  <si>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</si>
  <si>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</si>
  <si>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</si>
  <si>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</si>
  <si>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</si>
  <si>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</si>
  <si>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</si>
  <si>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</si>
  <si>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</si>
  <si>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</si>
  <si>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</si>
  <si>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</si>
  <si>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</si>
  <si>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</si>
  <si>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</si>
  <si>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</si>
  <si>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</si>
  <si>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</si>
  <si>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</si>
  <si>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</si>
  <si>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</si>
  <si>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</si>
  <si>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</si>
  <si>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</si>
  <si>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</si>
  <si>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</si>
  <si>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</si>
  <si>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</si>
  <si>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</si>
  <si>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</si>
  <si>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</si>
  <si>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</si>
  <si>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</si>
  <si>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</si>
  <si>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</si>
  <si>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</si>
  <si>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</si>
  <si>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</si>
  <si>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</si>
  <si>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</si>
  <si>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</si>
  <si>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</si>
  <si>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</si>
  <si>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</si>
  <si>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</si>
  <si>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</si>
  <si>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</si>
  <si>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</si>
  <si>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</si>
  <si>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</si>
  <si>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</si>
  <si>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</si>
  <si>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</si>
  <si>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</si>
  <si>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</si>
  <si>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</si>
  <si>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</si>
  <si>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</si>
  <si>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</si>
  <si>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</si>
  <si>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</si>
  <si>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</si>
  <si>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</si>
  <si>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</si>
  <si>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</si>
  <si>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</si>
  <si>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</si>
  <si>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</si>
  <si>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</si>
  <si>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</si>
  <si>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</si>
  <si>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</si>
  <si>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</si>
  <si>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</si>
  <si>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</si>
  <si>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</si>
  <si>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</si>
  <si>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</si>
  <si>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</si>
  <si>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</si>
  <si>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</si>
  <si>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</si>
  <si>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</si>
  <si>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</si>
  <si>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</si>
  <si>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</si>
  <si>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</si>
  <si>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</si>
  <si>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</si>
  <si>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</si>
  <si>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</si>
  <si>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</si>
  <si>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</si>
  <si>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</si>
  <si>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</si>
  <si>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</si>
  <si>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</si>
  <si>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</si>
  <si>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</si>
  <si>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</si>
  <si>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</si>
  <si>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</si>
  <si>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</si>
  <si>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</si>
  <si>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</si>
  <si>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</si>
  <si>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</si>
  <si>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</si>
  <si>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</si>
  <si>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</si>
  <si>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</si>
  <si>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</si>
  <si>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</si>
  <si>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</si>
  <si>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</si>
  <si>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</si>
  <si>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</si>
  <si>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</si>
  <si>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</si>
  <si>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</si>
  <si>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</si>
  <si>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</si>
  <si>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</si>
  <si>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</si>
  <si>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</si>
  <si>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</si>
  <si>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</si>
  <si>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</si>
  <si>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</si>
  <si>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</si>
  <si>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</si>
  <si>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</si>
  <si>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</si>
  <si>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</si>
  <si>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</si>
  <si>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</si>
  <si>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</si>
  <si>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</si>
  <si>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</si>
  <si>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</si>
  <si>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</si>
  <si>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</si>
  <si>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</si>
  <si>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</si>
  <si>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</si>
  <si>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</si>
  <si>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</si>
  <si>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</si>
  <si>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</si>
  <si>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</si>
  <si>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</si>
  <si>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</si>
  <si>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</si>
  <si>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</si>
  <si>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</si>
  <si>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</si>
  <si>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</si>
  <si>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</si>
  <si>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</si>
  <si>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</si>
  <si>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</si>
  <si>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</si>
  <si>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</si>
  <si>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</si>
  <si>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</si>
  <si>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</si>
  <si>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</si>
  <si>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</si>
  <si>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</si>
  <si>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</si>
  <si>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</si>
  <si>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</si>
  <si>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</si>
  <si>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</si>
  <si>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</si>
  <si>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</si>
  <si>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</si>
  <si>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</si>
  <si>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</si>
  <si>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</si>
  <si>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</si>
  <si>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</si>
  <si>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</si>
  <si>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</si>
  <si>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</si>
  <si>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</si>
  <si>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</si>
  <si>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</si>
  <si>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</si>
  <si>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</si>
  <si>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</si>
  <si>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</si>
  <si>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</si>
  <si>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</si>
  <si>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</si>
  <si>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</si>
  <si>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</si>
  <si>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</si>
  <si>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</si>
  <si>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</si>
  <si>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</si>
  <si>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</si>
  <si>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</si>
  <si>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</si>
  <si>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</si>
  <si>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</si>
  <si>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</si>
  <si>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</si>
  <si>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</si>
  <si>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</si>
  <si>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</si>
  <si>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</si>
  <si>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</si>
  <si>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</si>
  <si>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</si>
  <si>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</si>
  <si>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</si>
  <si>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</si>
  <si>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</si>
  <si>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</si>
  <si>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</si>
  <si>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</si>
  <si>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</si>
  <si>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</si>
  <si>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</si>
  <si>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</si>
  <si>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</si>
  <si>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</si>
  <si>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</si>
  <si>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</si>
  <si>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</si>
  <si>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</si>
  <si>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</si>
  <si>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</si>
  <si>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</si>
  <si>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</si>
  <si>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</si>
  <si>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</si>
  <si>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</si>
  <si>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</si>
  <si>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</si>
  <si>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</si>
  <si>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</si>
  <si>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</si>
  <si>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</si>
  <si>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</si>
  <si>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</si>
  <si>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</si>
  <si>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</si>
  <si>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</si>
  <si>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</si>
  <si>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</si>
  <si>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</si>
  <si>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</si>
  <si>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</si>
  <si>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</si>
  <si>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</si>
  <si>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</si>
  <si>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</si>
  <si>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</si>
  <si>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</si>
  <si>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</si>
  <si>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</si>
  <si>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</si>
  <si>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</si>
  <si>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</si>
  <si>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</si>
  <si>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</si>
  <si>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</si>
  <si>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</si>
  <si>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</si>
  <si>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</si>
  <si>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</si>
  <si>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</si>
  <si>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</si>
  <si>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</si>
  <si>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</si>
  <si>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</si>
  <si>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</si>
  <si>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</si>
  <si>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</si>
  <si>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</si>
  <si>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</si>
  <si>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</si>
  <si>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</si>
  <si>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</si>
  <si>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</si>
  <si>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</si>
  <si>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</si>
  <si>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</si>
  <si>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</si>
  <si>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</si>
  <si>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</si>
  <si>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</si>
  <si>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</si>
  <si>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</si>
  <si>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</si>
  <si>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</si>
  <si>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</si>
  <si>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</si>
  <si>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</si>
  <si>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</si>
  <si>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</si>
  <si>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</si>
  <si>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</si>
  <si>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</si>
  <si>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</si>
  <si>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</si>
  <si>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</si>
  <si>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</si>
  <si>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</si>
  <si>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</si>
  <si>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</si>
  <si>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</si>
  <si>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</si>
  <si>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</si>
  <si>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</si>
  <si>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</si>
  <si>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</si>
  <si>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</si>
  <si>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</si>
  <si>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</si>
  <si>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</si>
  <si>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</si>
  <si>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</si>
  <si>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</si>
  <si>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</si>
  <si>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</si>
  <si>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</si>
  <si>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</si>
  <si>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</si>
  <si>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</si>
  <si>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</si>
  <si>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</si>
  <si>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</si>
  <si>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</si>
  <si>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</si>
  <si>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</si>
  <si>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</si>
  <si>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</si>
  <si>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</si>
  <si>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</si>
  <si>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</si>
  <si>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</si>
  <si>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</si>
  <si>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</si>
  <si>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</si>
  <si>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</si>
  <si>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</si>
  <si>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</si>
  <si>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</si>
  <si>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</si>
  <si>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</si>
  <si>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</si>
  <si>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</si>
  <si>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</si>
  <si>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</si>
  <si>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</si>
  <si>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</si>
  <si>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</si>
  <si>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</si>
  <si>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</si>
  <si>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</si>
  <si>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</si>
  <si>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</si>
  <si>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</si>
  <si>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</si>
  <si>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</si>
  <si>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</si>
  <si>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</si>
  <si>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</si>
  <si>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</si>
  <si>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</si>
  <si>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</si>
  <si>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</si>
  <si>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</si>
  <si>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</si>
  <si>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</si>
  <si>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</si>
  <si>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</si>
  <si>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</si>
  <si>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</si>
  <si>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</si>
  <si>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</si>
  <si>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</si>
  <si>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</si>
  <si>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</si>
  <si>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</si>
  <si>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</si>
  <si>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</si>
  <si>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</si>
  <si>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</si>
  <si>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</si>
  <si>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</si>
  <si>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</si>
  <si>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</si>
  <si>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</si>
  <si>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</si>
  <si>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</si>
  <si>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</si>
  <si>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</si>
  <si>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</si>
  <si>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</si>
  <si>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</si>
  <si>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</si>
  <si>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</si>
  <si>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</si>
  <si>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</si>
  <si>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</si>
  <si>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</si>
  <si>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</si>
  <si>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</si>
  <si>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</si>
  <si>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</si>
  <si>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</si>
  <si>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</si>
  <si>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</si>
  <si>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</si>
  <si>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</si>
  <si>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</si>
  <si>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</si>
  <si>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</si>
  <si>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</si>
  <si>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</si>
  <si>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</si>
  <si>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</si>
  <si>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</si>
  <si>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</si>
  <si>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</si>
  <si>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</si>
  <si>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</si>
  <si>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</si>
  <si>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</si>
  <si>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</si>
  <si>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</si>
  <si>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</si>
  <si>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</si>
  <si>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</si>
  <si>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</si>
  <si>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</si>
  <si>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</si>
  <si>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</si>
  <si>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</si>
  <si>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</si>
  <si>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</si>
  <si>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</si>
  <si>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</si>
  <si>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</si>
  <si>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</si>
  <si>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</si>
  <si>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</si>
  <si>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</si>
  <si>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</si>
  <si>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</si>
  <si>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</si>
  <si>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</si>
  <si>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</si>
  <si>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</si>
  <si>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</si>
  <si>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</si>
  <si>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</si>
  <si>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</si>
  <si>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</si>
  <si>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</si>
  <si>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</si>
  <si>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</si>
  <si>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</si>
  <si>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</si>
  <si>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</si>
  <si>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</si>
  <si>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</si>
  <si>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</si>
  <si>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</si>
  <si>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</si>
  <si>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</si>
  <si>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</si>
  <si>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</si>
  <si>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</si>
  <si>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</si>
  <si>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</si>
  <si>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</si>
  <si>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</si>
  <si>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</si>
  <si>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</si>
  <si>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</si>
  <si>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</si>
  <si>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</si>
  <si>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</si>
  <si>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</si>
  <si>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</si>
  <si>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</si>
  <si>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</si>
  <si>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</si>
  <si>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</si>
  <si>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</si>
  <si>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</si>
  <si>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</si>
  <si>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</si>
  <si>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</si>
  <si>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</si>
  <si>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</si>
  <si>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</si>
  <si>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</si>
  <si>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</si>
  <si>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</si>
  <si>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</si>
  <si>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</si>
  <si>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</si>
  <si>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</si>
  <si>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</si>
  <si>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</si>
  <si>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</si>
  <si>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</si>
  <si>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</si>
  <si>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</si>
  <si>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</si>
  <si>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</si>
  <si>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</si>
  <si>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</si>
  <si>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</si>
  <si>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</si>
  <si>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</si>
  <si>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</si>
  <si>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</si>
  <si>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</si>
  <si>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</si>
  <si>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</si>
  <si>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</si>
  <si>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</si>
  <si>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</si>
  <si>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</si>
  <si>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</si>
  <si>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</si>
  <si>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</si>
  <si>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</si>
  <si>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</si>
  <si>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</si>
  <si>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</si>
  <si>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</si>
  <si>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</si>
  <si>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</si>
  <si>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</si>
  <si>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</si>
  <si>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</si>
  <si>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</si>
  <si>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</si>
  <si>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</si>
  <si>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</si>
  <si>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</si>
  <si>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</si>
  <si>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</si>
  <si>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</si>
  <si>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</si>
  <si>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</si>
  <si>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</si>
  <si>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</si>
  <si>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</si>
  <si>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</si>
  <si>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</si>
  <si>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</si>
  <si>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</si>
  <si>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</si>
  <si>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</si>
  <si>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</si>
  <si>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</si>
  <si>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</si>
  <si>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</si>
  <si>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</si>
  <si>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</si>
  <si>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</si>
  <si>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</si>
  <si>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</si>
  <si>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</si>
  <si>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</si>
  <si>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</si>
  <si>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</si>
  <si>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</si>
  <si>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</si>
  <si>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</si>
  <si>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</si>
  <si>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</si>
  <si>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</si>
  <si>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</si>
  <si>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</si>
  <si>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</si>
  <si>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</si>
  <si>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</si>
  <si>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</si>
  <si>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</si>
  <si>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</si>
  <si>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</si>
  <si>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</si>
  <si>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</si>
  <si>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</si>
  <si>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</si>
  <si>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</si>
  <si>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</si>
  <si>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</si>
  <si>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</si>
  <si>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</si>
  <si>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</si>
  <si>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</si>
  <si>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</si>
  <si>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</si>
  <si>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</si>
  <si>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</si>
  <si>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</si>
  <si>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</si>
  <si>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</si>
  <si>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</si>
  <si>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</si>
  <si>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</si>
  <si>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</si>
  <si>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</si>
  <si>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</si>
  <si>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</si>
  <si>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</si>
  <si>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</si>
  <si>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</si>
  <si>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</si>
  <si>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</si>
  <si>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</si>
  <si>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</si>
  <si>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</si>
  <si>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</si>
  <si>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</si>
  <si>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</si>
  <si>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</si>
  <si>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</si>
  <si>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</si>
  <si>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</si>
  <si>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</si>
  <si>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</si>
  <si>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</si>
  <si>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</si>
  <si>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</si>
  <si>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</si>
  <si>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</si>
  <si>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</si>
  <si>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</si>
  <si>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</si>
  <si>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</si>
  <si>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</si>
  <si>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</si>
  <si>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</si>
  <si>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</si>
  <si>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</si>
  <si>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</si>
  <si>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</si>
  <si>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</si>
  <si>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</si>
  <si>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</si>
  <si>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</si>
  <si>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</si>
  <si>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</si>
  <si>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</si>
  <si>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</si>
  <si>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</si>
  <si>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</si>
  <si>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</si>
  <si>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</si>
  <si>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</si>
  <si>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</si>
  <si>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</si>
  <si>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</si>
  <si>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</si>
  <si>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</si>
  <si>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</si>
  <si>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</si>
  <si>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</si>
  <si>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</si>
  <si>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</si>
  <si>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</si>
  <si>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</si>
  <si>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</si>
  <si>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</si>
  <si>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</si>
  <si>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</si>
  <si>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</si>
  <si>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</si>
  <si>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</si>
  <si>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</si>
  <si>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</si>
  <si>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</si>
  <si>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</si>
  <si>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</si>
  <si>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</si>
  <si>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</si>
  <si>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</si>
  <si>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</si>
  <si>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</si>
  <si>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</si>
  <si>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</si>
  <si>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</si>
  <si>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</si>
  <si>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</si>
  <si>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</si>
  <si>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</si>
  <si>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</si>
  <si>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</si>
  <si>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</si>
  <si>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</si>
  <si>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</si>
  <si>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</si>
  <si>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</si>
  <si>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</si>
  <si>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</si>
  <si>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</si>
  <si>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</si>
  <si>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</si>
  <si>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</si>
  <si>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</si>
  <si>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</si>
  <si>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</si>
  <si>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</si>
  <si>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</si>
  <si>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</si>
  <si>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</si>
  <si>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</si>
  <si>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</si>
  <si>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</si>
  <si>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</si>
  <si>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</si>
  <si>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</si>
  <si>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</si>
  <si>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</si>
  <si>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</si>
  <si>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</si>
  <si>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</si>
  <si>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</si>
  <si>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</si>
  <si>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</si>
  <si>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</si>
  <si>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</si>
  <si>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</si>
  <si>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</si>
  <si>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</si>
  <si>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</si>
  <si>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</si>
  <si>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</si>
  <si>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</si>
  <si>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</si>
  <si>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</si>
  <si>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</si>
  <si>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</si>
  <si>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</si>
  <si>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</si>
  <si>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</si>
  <si>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</si>
  <si>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</si>
  <si>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</si>
  <si>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</si>
  <si>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</si>
  <si>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</si>
  <si>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</si>
  <si>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</si>
  <si>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</si>
  <si>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</si>
  <si>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</si>
  <si>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</si>
  <si>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</si>
  <si>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</si>
  <si>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</si>
  <si>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</si>
  <si>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</si>
  <si>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</si>
  <si>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</si>
  <si>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</si>
  <si>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</si>
  <si>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</si>
  <si>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</si>
  <si>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</si>
  <si>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</si>
  <si>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</si>
  <si>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</si>
  <si>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</si>
  <si>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</si>
  <si>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</si>
  <si>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</si>
  <si>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</si>
  <si>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</si>
  <si>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</si>
  <si>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</si>
  <si>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</si>
  <si>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</si>
  <si>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</si>
  <si>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</si>
  <si>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</si>
  <si>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</si>
  <si>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</si>
  <si>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</si>
  <si>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</si>
  <si>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</si>
  <si>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</si>
  <si>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</si>
  <si>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</si>
  <si>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</si>
  <si>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</si>
  <si>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</si>
  <si>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</si>
  <si>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</si>
  <si>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</si>
  <si>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</si>
  <si>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</si>
  <si>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</si>
  <si>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</si>
  <si>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</si>
  <si>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</si>
  <si>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</si>
  <si>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</si>
  <si>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</si>
  <si>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</si>
  <si>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</si>
  <si>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</si>
  <si>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</si>
  <si>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</si>
  <si>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</si>
  <si>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</si>
  <si>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</si>
  <si>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</si>
  <si>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</si>
  <si>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</si>
  <si>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</si>
  <si>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</si>
  <si>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</si>
  <si>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</si>
  <si>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</si>
  <si>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</si>
  <si>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</si>
  <si>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</si>
  <si>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</si>
  <si>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</si>
  <si>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</si>
  <si>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</si>
  <si>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</si>
  <si>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</si>
  <si>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</si>
  <si>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</si>
  <si>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</si>
  <si>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</si>
  <si>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</si>
  <si>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</si>
  <si>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</si>
  <si>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</si>
  <si>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</si>
  <si>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</si>
  <si>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</si>
  <si>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</si>
  <si>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</si>
  <si>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</si>
  <si>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</si>
  <si>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</si>
  <si>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</si>
  <si>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</si>
  <si>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</si>
  <si>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</si>
  <si>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</si>
  <si>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</si>
  <si>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</si>
  <si>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</si>
  <si>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</si>
  <si>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</si>
  <si>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</si>
  <si>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</si>
  <si>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</si>
  <si>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</si>
  <si>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</si>
  <si>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</si>
  <si>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</si>
  <si>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</si>
  <si>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</si>
  <si>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</si>
  <si>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</si>
  <si>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</si>
  <si>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</si>
  <si>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</si>
  <si>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</si>
  <si>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</si>
  <si>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</si>
  <si>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</si>
  <si>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</si>
  <si>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</si>
  <si>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</si>
  <si>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</si>
  <si>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</si>
  <si>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</si>
  <si>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</si>
  <si>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</si>
  <si>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</si>
  <si>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</si>
  <si>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</si>
  <si>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</si>
  <si>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</si>
  <si>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</si>
  <si>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</si>
  <si>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</si>
  <si>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</si>
  <si>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</si>
  <si>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</si>
  <si>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</si>
  <si>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</si>
  <si>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</si>
  <si>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</si>
  <si>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</si>
  <si>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</si>
  <si>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</si>
  <si>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</si>
  <si>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</si>
  <si>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</si>
  <si>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</si>
  <si>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</si>
  <si>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</si>
  <si>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</si>
  <si>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</si>
  <si>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</si>
  <si>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</si>
  <si>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</si>
  <si>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</si>
  <si>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</si>
  <si>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</si>
  <si>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</si>
  <si>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</si>
  <si>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</si>
  <si>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</si>
  <si>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</si>
  <si>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</si>
  <si>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</si>
  <si>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</si>
  <si>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</si>
  <si>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</si>
  <si>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</si>
  <si>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</si>
  <si>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</si>
  <si>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</si>
  <si>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</si>
  <si>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</si>
  <si>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</si>
  <si>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</si>
  <si>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</si>
  <si>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</si>
  <si>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</si>
  <si>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</si>
  <si>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</si>
  <si>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</si>
  <si>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</si>
  <si>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</si>
  <si>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</si>
  <si>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</si>
  <si>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</si>
  <si>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</si>
  <si>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</si>
  <si>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</si>
  <si>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</si>
  <si>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</si>
  <si>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</si>
  <si>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</si>
  <si>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</si>
  <si>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</si>
  <si>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</si>
  <si>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</si>
  <si>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</si>
  <si>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</si>
  <si>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</si>
  <si>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</si>
  <si>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</si>
  <si>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</si>
  <si>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</si>
  <si>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</si>
  <si>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</si>
  <si>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</si>
  <si>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</si>
  <si>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</si>
  <si>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</si>
  <si>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</si>
  <si>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</si>
  <si>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</si>
  <si>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</si>
  <si>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</si>
  <si>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</si>
  <si>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</si>
  <si>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</si>
  <si>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</si>
  <si>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</si>
  <si>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</si>
  <si>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</si>
  <si>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</si>
  <si>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</si>
  <si>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</si>
  <si>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</si>
  <si>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</si>
  <si>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</si>
  <si>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</si>
  <si>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</si>
  <si>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</si>
  <si>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</si>
  <si>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</si>
  <si>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</si>
  <si>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</si>
  <si>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</si>
  <si>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</si>
  <si>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</si>
  <si>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</si>
  <si>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</si>
  <si>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</si>
  <si>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</si>
  <si>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</si>
  <si>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</si>
  <si>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</si>
  <si>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</si>
  <si>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</si>
  <si>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</si>
  <si>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</si>
  <si>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</si>
  <si>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</si>
  <si>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</si>
  <si>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</si>
  <si>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</si>
  <si>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</si>
  <si>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</si>
  <si>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</si>
  <si>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</si>
  <si>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</si>
  <si>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</si>
  <si>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</si>
  <si>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</si>
  <si>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</si>
  <si>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</si>
  <si>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</si>
  <si>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</si>
  <si>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</si>
  <si>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</si>
  <si>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</si>
  <si>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</si>
  <si>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</si>
  <si>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</si>
  <si>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</si>
  <si>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</si>
  <si>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</si>
  <si>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</si>
  <si>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</si>
  <si>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</si>
  <si>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</si>
  <si>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</si>
  <si>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</si>
  <si>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</si>
  <si>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</si>
  <si>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</si>
  <si>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</si>
  <si>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</si>
  <si>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</si>
  <si>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</si>
  <si>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</si>
  <si>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</si>
  <si>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</si>
  <si>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</si>
  <si>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</si>
  <si>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</si>
  <si>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</si>
  <si>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</si>
  <si>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</si>
  <si>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</si>
  <si>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</si>
  <si>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</si>
  <si>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</si>
  <si>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</si>
  <si>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</si>
  <si>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</si>
  <si>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</si>
  <si>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</si>
  <si>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</si>
  <si>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</si>
  <si>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</si>
  <si>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</si>
  <si>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</si>
  <si>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</si>
  <si>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</si>
  <si>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</si>
  <si>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</si>
  <si>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</si>
  <si>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</si>
  <si>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</si>
  <si>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</si>
  <si>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</si>
  <si>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</si>
  <si>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</si>
  <si>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</si>
  <si>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</si>
  <si>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</si>
  <si>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</si>
  <si>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</si>
  <si>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</si>
  <si>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</si>
  <si>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</si>
  <si>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</si>
  <si>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</si>
  <si>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</si>
  <si>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</si>
  <si>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</si>
  <si>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</si>
  <si>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</si>
  <si>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</si>
  <si>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</si>
  <si>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</si>
  <si>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</si>
  <si>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</si>
  <si>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</si>
  <si>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</si>
  <si>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</si>
  <si>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</si>
  <si>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</si>
  <si>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</si>
  <si>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</si>
  <si>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</si>
  <si>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</si>
  <si>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</si>
  <si>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</si>
  <si>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</si>
  <si>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</si>
  <si>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</si>
  <si>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</si>
  <si>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</si>
  <si>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</si>
  <si>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</si>
  <si>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</si>
  <si>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</si>
  <si>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</si>
  <si>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</si>
  <si>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</si>
  <si>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</si>
  <si>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</si>
  <si>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</si>
  <si>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</si>
  <si>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</si>
  <si>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</si>
  <si>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</si>
  <si>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</si>
  <si>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</si>
  <si>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</si>
  <si>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</si>
  <si>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</si>
  <si>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</si>
  <si>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</si>
  <si>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</si>
  <si>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</si>
  <si>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</si>
  <si>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</si>
  <si>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</si>
  <si>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</si>
  <si>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</si>
  <si>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</si>
  <si>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</si>
  <si>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</si>
  <si>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</si>
  <si>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</si>
  <si>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</si>
  <si>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</si>
  <si>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</si>
  <si>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</si>
  <si>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</si>
  <si>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</si>
  <si>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</si>
  <si>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</si>
  <si>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</si>
  <si>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</si>
  <si>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</si>
  <si>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</si>
  <si>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</si>
  <si>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</si>
  <si>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</si>
  <si>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</si>
  <si>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</si>
  <si>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</si>
  <si>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</si>
  <si>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</si>
  <si>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</si>
  <si>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</si>
  <si>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</si>
  <si>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</si>
  <si>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</si>
  <si>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</si>
  <si>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</si>
  <si>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</si>
  <si>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</si>
  <si>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</si>
  <si>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</si>
  <si>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</si>
  <si>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</si>
  <si>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</si>
  <si>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</si>
  <si>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</si>
  <si>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</si>
  <si>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</si>
  <si>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</si>
  <si>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</si>
  <si>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</si>
  <si>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</si>
  <si>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</si>
  <si>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</si>
  <si>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</si>
  <si>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</si>
  <si>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</si>
  <si>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</si>
  <si>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</si>
  <si>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</si>
  <si>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</si>
  <si>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</si>
  <si>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</si>
  <si>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</si>
  <si>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</si>
  <si>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</si>
  <si>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</si>
  <si>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</si>
  <si>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</si>
  <si>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</si>
  <si>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</si>
  <si>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</si>
  <si>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</si>
  <si>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</si>
  <si>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</si>
  <si>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</si>
  <si>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</si>
  <si>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</si>
  <si>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</si>
  <si>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</si>
  <si>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</si>
  <si>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</si>
  <si>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</si>
  <si>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</si>
  <si>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</si>
  <si>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</si>
  <si>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</si>
  <si>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</si>
  <si>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</si>
  <si>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</si>
  <si>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</si>
  <si>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</si>
  <si>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</si>
  <si>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</si>
  <si>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</si>
  <si>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</si>
  <si>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</si>
  <si>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</si>
  <si>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</si>
  <si>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</si>
  <si>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</si>
  <si>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</si>
  <si>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</si>
  <si>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</si>
  <si>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</si>
  <si>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</si>
  <si>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</si>
  <si>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</si>
  <si>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</si>
  <si>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</si>
  <si>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</si>
  <si>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</si>
  <si>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</si>
  <si>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</si>
  <si>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</si>
  <si>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</si>
  <si>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</si>
  <si>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</si>
  <si>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</si>
  <si>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</si>
  <si>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</si>
  <si>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</si>
  <si>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</si>
  <si>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</si>
  <si>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</si>
  <si>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</si>
  <si>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</si>
  <si>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</si>
  <si>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</si>
  <si>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</si>
  <si>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</si>
  <si>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</si>
  <si>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</si>
  <si>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</si>
  <si>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</si>
  <si>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</si>
  <si>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</si>
  <si>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</si>
  <si>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</si>
  <si>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</si>
  <si>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</si>
  <si>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</si>
  <si>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</si>
  <si>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</si>
  <si>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</si>
  <si>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</si>
  <si>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</si>
  <si>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</si>
  <si>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</si>
  <si>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</si>
  <si>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</si>
  <si>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</si>
  <si>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</si>
  <si>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</si>
  <si>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</si>
  <si>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</si>
  <si>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</si>
  <si>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</si>
  <si>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</si>
  <si>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</si>
  <si>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</si>
  <si>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</si>
  <si>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</si>
  <si>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</si>
  <si>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</si>
  <si>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</si>
  <si>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</si>
  <si>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</si>
  <si>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</si>
  <si>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</si>
  <si>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</si>
  <si>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</si>
  <si>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</si>
  <si>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</si>
  <si>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</si>
  <si>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</si>
  <si>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</si>
  <si>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</si>
  <si>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</si>
  <si>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</si>
  <si>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</si>
  <si>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</si>
  <si>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</si>
  <si>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</si>
  <si>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</si>
  <si>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</si>
  <si>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</si>
  <si>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</si>
  <si>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</si>
  <si>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</si>
  <si>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</si>
  <si>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</si>
  <si>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</si>
  <si>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</si>
  <si>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</si>
  <si>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</si>
  <si>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</si>
  <si>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</si>
  <si>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</si>
  <si>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</si>
  <si>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</si>
  <si>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</si>
  <si>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</si>
  <si>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</si>
  <si>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</si>
  <si>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</si>
  <si>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</si>
  <si>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</si>
  <si>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</si>
  <si>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</si>
  <si>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</si>
  <si>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</si>
  <si>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</si>
  <si>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</si>
  <si>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</si>
  <si>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</si>
  <si>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</si>
  <si>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</si>
  <si>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</si>
  <si>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</si>
  <si>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</si>
  <si>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</si>
  <si>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</si>
  <si>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</si>
  <si>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</si>
  <si>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</si>
  <si>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</si>
  <si>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</si>
  <si>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</si>
  <si>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</si>
  <si>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</si>
  <si>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</si>
  <si>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</si>
  <si>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</si>
  <si>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</si>
  <si>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</si>
  <si>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</si>
  <si>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</si>
  <si>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</si>
  <si>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</si>
  <si>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</si>
  <si>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</si>
  <si>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</si>
  <si>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</si>
  <si>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</si>
  <si>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</si>
  <si>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</si>
  <si>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</si>
  <si>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</si>
  <si>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</si>
  <si>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</si>
  <si>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</si>
  <si>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</si>
  <si>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</si>
  <si>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</si>
  <si>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</si>
  <si>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</si>
  <si>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</si>
  <si>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</si>
  <si>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</si>
  <si>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</si>
  <si>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</si>
  <si>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</si>
  <si>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</si>
  <si>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</si>
  <si>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</si>
  <si>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</si>
  <si>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</si>
  <si>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</si>
  <si>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</si>
  <si>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</si>
  <si>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</si>
  <si>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</si>
  <si>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</si>
  <si>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</si>
  <si>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</si>
  <si>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</si>
  <si>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</si>
  <si>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</si>
  <si>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</si>
  <si>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</si>
  <si>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</si>
  <si>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</si>
  <si>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</si>
  <si>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</si>
  <si>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</si>
  <si>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</si>
  <si>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</si>
  <si>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</si>
  <si>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</si>
  <si>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</si>
  <si>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</si>
  <si>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</si>
  <si>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</si>
  <si>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</si>
  <si>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</si>
  <si>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</si>
  <si>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</si>
  <si>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</si>
  <si>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</si>
  <si>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</si>
  <si>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</si>
  <si>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</si>
  <si>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</si>
  <si>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</si>
  <si>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</si>
  <si>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</si>
  <si>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</si>
  <si>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</si>
  <si>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</si>
  <si>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</si>
  <si>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</si>
  <si>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</si>
  <si>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</si>
  <si>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</si>
  <si>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</si>
  <si>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</si>
  <si>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</si>
  <si>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</si>
  <si>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</si>
  <si>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</si>
  <si>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</si>
  <si>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</si>
  <si>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</si>
  <si>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</si>
  <si>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</si>
  <si>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</si>
  <si>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</si>
  <si>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</si>
  <si>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</si>
  <si>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</si>
  <si>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</si>
  <si>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</si>
  <si>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</si>
  <si>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</si>
  <si>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</si>
  <si>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</si>
  <si>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</si>
  <si>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</si>
  <si>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</si>
  <si>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</si>
  <si>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</si>
  <si>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</si>
  <si>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</si>
  <si>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</si>
  <si>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</si>
  <si>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</si>
  <si>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</si>
  <si>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</si>
  <si>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</si>
  <si>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</si>
  <si>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</si>
  <si>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</si>
  <si>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</si>
  <si>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</si>
  <si>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</si>
  <si>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</si>
  <si>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</si>
  <si>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</si>
  <si>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</si>
  <si>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</si>
  <si>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</si>
  <si>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</si>
  <si>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</si>
  <si>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</si>
  <si>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</si>
  <si>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</si>
  <si>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</si>
  <si>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</si>
  <si>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</si>
  <si>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</si>
  <si>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</si>
  <si>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</si>
  <si>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</si>
  <si>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</si>
  <si>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</si>
  <si>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</si>
  <si>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</si>
  <si>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</si>
  <si>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</si>
  <si>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</si>
  <si>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</si>
  <si>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</si>
  <si>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</si>
  <si>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</si>
  <si>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</si>
  <si>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</si>
  <si>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</si>
  <si>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</si>
  <si>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</si>
  <si>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</si>
  <si>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</si>
  <si>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</si>
  <si>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</si>
  <si>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</si>
  <si>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</si>
  <si>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</si>
  <si>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</si>
  <si>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</si>
  <si>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</si>
  <si>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</si>
  <si>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</si>
  <si>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</si>
  <si>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</si>
  <si>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</si>
  <si>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</si>
  <si>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</si>
  <si>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</si>
  <si>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</si>
  <si>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</si>
  <si>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</si>
  <si>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</si>
  <si>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</si>
  <si>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</si>
  <si>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</si>
  <si>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</si>
  <si>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</si>
  <si>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</si>
  <si>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</si>
  <si>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</si>
  <si>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</si>
  <si>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</si>
  <si>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</si>
  <si>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</si>
  <si>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</si>
  <si>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</si>
  <si>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</si>
  <si>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</si>
  <si>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</si>
  <si>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</si>
  <si>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</si>
  <si>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</si>
  <si>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</si>
  <si>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</si>
  <si>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</si>
  <si>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</si>
  <si>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</si>
  <si>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</si>
  <si>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</si>
  <si>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</si>
  <si>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</si>
  <si>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</si>
  <si>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</si>
  <si>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</si>
  <si>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</si>
  <si>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</si>
  <si>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</si>
  <si>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</si>
  <si>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</si>
  <si>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</si>
  <si>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</si>
  <si>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</si>
  <si>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</si>
  <si>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</si>
  <si>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</si>
  <si>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</si>
  <si>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</si>
  <si>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</si>
  <si>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</si>
  <si>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</si>
  <si>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</si>
  <si>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</si>
  <si>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</si>
  <si>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</si>
  <si>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</si>
  <si>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</si>
  <si>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</si>
  <si>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</si>
  <si>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</si>
  <si>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</si>
  <si>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</si>
  <si>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</si>
  <si>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</si>
  <si>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</si>
  <si>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</si>
  <si>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</si>
  <si>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</si>
  <si>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</si>
  <si>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</si>
  <si>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</si>
  <si>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</si>
  <si>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</si>
  <si>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</si>
  <si>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</si>
  <si>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</si>
  <si>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</si>
  <si>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</si>
  <si>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</si>
  <si>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</si>
  <si>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</si>
  <si>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</si>
  <si>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</si>
  <si>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</si>
  <si>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</si>
  <si>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</si>
  <si>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</si>
  <si>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</si>
  <si>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</si>
  <si>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</si>
  <si>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</si>
  <si>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</si>
  <si>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</si>
  <si>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</si>
  <si>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</si>
  <si>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</si>
  <si>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</si>
  <si>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</si>
  <si>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</si>
  <si>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</si>
  <si>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</si>
  <si>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</si>
  <si>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</si>
  <si>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</si>
  <si>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</si>
  <si>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</si>
  <si>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</si>
  <si>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</si>
  <si>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</si>
  <si>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</si>
  <si>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</si>
  <si>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</si>
  <si>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</si>
  <si>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</si>
  <si>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</si>
  <si>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</si>
  <si>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</si>
  <si>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</si>
  <si>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</si>
  <si>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</si>
  <si>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</si>
  <si>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</si>
  <si>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</si>
  <si>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</si>
  <si>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</si>
  <si>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</si>
  <si>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</si>
  <si>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</si>
  <si>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</si>
  <si>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</si>
  <si>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</si>
  <si>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</si>
  <si>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</si>
  <si>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</si>
  <si>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</si>
  <si>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</si>
  <si>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</si>
  <si>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</si>
  <si>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</si>
  <si>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</si>
  <si>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</si>
  <si>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</si>
  <si>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</si>
  <si>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</si>
  <si>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</si>
  <si>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</si>
  <si>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</si>
  <si>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</si>
  <si>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</si>
  <si>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</si>
  <si>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</si>
  <si>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</si>
  <si>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</si>
  <si>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</si>
  <si>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</si>
  <si>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</si>
  <si>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</si>
  <si>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</si>
  <si>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</si>
  <si>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</si>
  <si>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</si>
  <si>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</si>
  <si>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</si>
  <si>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</si>
  <si>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</si>
  <si>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</si>
  <si>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</si>
  <si>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</si>
  <si>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</si>
  <si>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</si>
  <si>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</si>
  <si>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</si>
  <si>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</si>
  <si>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</si>
  <si>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</si>
  <si>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</si>
  <si>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</si>
  <si>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</si>
  <si>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</si>
  <si>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</si>
  <si>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</si>
  <si>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CWF-6</t>
  </si>
  <si>
    <t>6-пиновый разъем с ключом</t>
  </si>
  <si>
    <t>Footprints\Connectors\CWF\CWF-6.PcbLib</t>
  </si>
  <si>
    <t>Schematic\Connectors\Conn_6pin.SchLib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</si>
</sst>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6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0" tableType="xml" totalsRowShown="0" headerRowDxfId="3" connectionId="7">
  <autoFilter ref="A1:L7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opLeftCell="E40" zoomScale="85" zoomScaleNormal="85" workbookViewId="0">
      <selection activeCell="E71" sqref="E71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">
      <c r="A15" s="59" t="s">
        <v>1742</v>
      </c>
      <c r="B15" s="59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59" t="str">
        <f>A15</f>
        <v>SMAJ5.0A-TR</v>
      </c>
      <c r="D15" s="59" t="str">
        <f>CONCATENATE("Schematic\TVS\",E15,".SchLib")</f>
        <v>Schematic\TVS\TVS_1_1dir.SchLib</v>
      </c>
      <c r="E15" t="s">
        <v>78</v>
      </c>
      <c r="F15" s="59" t="str">
        <f>CONCATENATE("Footprints\",G15,".PcbLib")</f>
        <v>Footprints\SMA.PcbLib</v>
      </c>
      <c r="G15" t="s">
        <v>128</v>
      </c>
      <c r="H15" s="59">
        <v>5</v>
      </c>
      <c r="I15" s="59">
        <v>400</v>
      </c>
      <c r="J15" s="59" t="str">
        <f xml:space="preserve"> CONCATENATE(H15," В")</f>
        <v>5 В</v>
      </c>
      <c r="K15" s="59"/>
      <c r="L15" s="59" t="s">
        <v>1743</v>
      </c>
      <c r="M15" s="59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3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70"/>
  <sheetViews>
    <sheetView tabSelected="1" topLeftCell="A43" zoomScale="70" zoomScaleNormal="70" workbookViewId="0">
      <selection activeCell="G74" sqref="G74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  <row r="69" spans="1:12" x14ac:dyDescent="0.3">
      <c r="A69" t="s">
        <v>1737</v>
      </c>
      <c r="B69" t="s">
        <v>1738</v>
      </c>
      <c r="C69" t="s">
        <v>1737</v>
      </c>
      <c r="D69" s="62" t="str">
        <f t="shared" si="11"/>
        <v>Schematic\Connectors\Conn_64pin.SchLib</v>
      </c>
      <c r="E69" t="s">
        <v>1741</v>
      </c>
      <c r="F69" s="62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3">
      <c r="A70" t="s">
        <v>1744</v>
      </c>
      <c r="B70" t="s">
        <v>1745</v>
      </c>
      <c r="C70" s="2" t="s">
        <v>1744</v>
      </c>
      <c r="D70" s="59" t="s">
        <v>1747</v>
      </c>
      <c r="E70" s="2" t="s">
        <v>1074</v>
      </c>
      <c r="F70" s="59" t="s">
        <v>1746</v>
      </c>
      <c r="G70" t="s">
        <v>1744</v>
      </c>
      <c r="K70" t="s">
        <v>978</v>
      </c>
      <c r="L70" t="s">
        <v>1694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2026-10-05T15:12:38Z</dcterms:modified>
</cp:coreProperties>
</file>