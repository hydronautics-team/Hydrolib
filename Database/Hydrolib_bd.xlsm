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37373A37-743A-4910-8732-988FDFDE5ED1}" xr6:coauthVersionLast="47" xr6:coauthVersionMax="47" xr10:uidLastSave="{00000000-0000-0000-0000-000000000000}"/>
  <bookViews>
    <workbookView xWindow="-110" yWindow="-110" windowWidth="38620" windowHeight="212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Other" sheetId="5" r:id="rId12"/>
    <sheet name="Connectors" sheetId="6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0" l="1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C11" i="10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<sst xmlns="http://schemas.openxmlformats.org/spreadsheetml/2006/main" count="2764" uniqueCount="1116">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</sst>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11" fillId="2" borderId="5" xfId="0" applyFont="1" applyFill="1" applyBorder="1"/>
    <xf numFmtId="0" fontId="11" fillId="2" borderId="1" xfId="0" applyFont="1" applyFill="1" applyBorder="1"/>
    <xf numFmtId="0" fontId="0" fillId="3" borderId="1" xfId="0" applyFont="1" applyFill="1" applyBorder="1"/>
    <xf numFmtId="49" fontId="11" fillId="2" borderId="4" xfId="0" applyNumberFormat="1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</cellXfs>
  <cellStyles count="1">
    <cellStyle name="Обычный" xfId="0" builtinId="0"/>
  </cellStyles>
  <dxfs count="10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6" tableType="xml" totalsRowShown="0" headerRowDxfId="106" connectionId="6">
  <autoFilter ref="A1:K36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0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03">
      <xmlColumnPr mapId="30" xpath="/Schottky/Part/VoltageNominal_V" xmlDataType="string"/>
    </tableColumn>
    <tableColumn id="9" xr3:uid="{431126AD-34DC-40A1-9CB6-D627B7878BEA}" uniqueName="Current_A" name="Current (A)" dataDxfId="102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9" tableType="xml" totalsRowShown="0" dataDxfId="101" connectionId="16">
  <autoFilter ref="A1:K9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89" connectionId="15">
  <autoFilter ref="A1:K10" xr:uid="{11DAD5D3-6841-4BFD-8583-65DE6E00D680}"/>
  <tableColumns count="11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5" tableType="xml" totalsRowShown="0" headerRowDxfId="82" dataDxfId="81" connectionId="13">
  <autoFilter ref="A1:K175" xr:uid="{02061886-A591-4FD8-8C5B-3D1D2DB1F417}"/>
  <tableColumns count="11">
    <tableColumn id="1" xr3:uid="{1DE1C76C-B7F9-47FB-9EB0-156A2D87FD9E}" uniqueName="PartNumber" name="Part Number" dataDxfId="80">
      <xmlColumnPr mapId="38" xpath="/Resistors/Part/PartNumber" xmlDataType="string"/>
    </tableColumn>
    <tableColumn id="2" xr3:uid="{64E60790-EB9B-4A0D-B52C-7CB5A6F82DE8}" uniqueName="Description" name="Description" dataDxfId="79"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  <tableColumn id="10" xr3:uid="{0DFE9A6B-806A-476A-90DD-58A133FB25CD}" uniqueName="10" name="Footprint Path 2" dataDxfId="71"/>
    <tableColumn id="11" xr3:uid="{5972F9B7-4E29-40F8-85A0-ADFB6C3B63D0}" uniqueName="11" name="Footprint Ref 2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69" dataDxfId="68" connectionId="1">
  <autoFilter ref="A1:T3" xr:uid="{1041C5C1-00FD-47DC-8B7C-9DEBE212D9D4}"/>
  <tableColumns count="20">
    <tableColumn id="1" xr3:uid="{55BDD111-6381-449E-BF2B-3FEC8107762D}" uniqueName="PartNumber" name="Part Number" dataDxfId="67">
      <xmlColumnPr mapId="18" xpath="/Capacitors/Part/PartNumber" xmlDataType="string"/>
    </tableColumn>
    <tableColumn id="2" xr3:uid="{0D3E1F2C-B0CC-4A36-A41B-2F2DAEC98E3B}" uniqueName="Description" name="Description" dataDxfId="66">
      <xmlColumnPr mapId="18" xpath="/Capacitors/Part/Description" xmlDataType="string"/>
    </tableColumn>
    <tableColumn id="3" xr3:uid="{16739D52-8082-4E8D-B1E1-B82F60766E2A}" uniqueName="Comment" name="Comment" dataDxfId="65">
      <xmlColumnPr mapId="18" xpath="/Capacitors/Part/Comment" xmlDataType="string"/>
    </tableColumn>
    <tableColumn id="4" xr3:uid="{AC1F3F2E-0C78-451D-9178-0A9D15C49726}" uniqueName="LibraryPath" name="Library Path" dataDxfId="64">
      <xmlColumnPr mapId="18" xpath="/Capacitors/Part/LibraryPath" xmlDataType="string"/>
    </tableColumn>
    <tableColumn id="5" xr3:uid="{9169ABA3-E41E-40E0-B785-3D3B749D70BB}" uniqueName="LibraryRef" name="Library Ref" dataDxfId="63">
      <xmlColumnPr mapId="18" xpath="/Capacitors/Part/LibraryRef" xmlDataType="string"/>
    </tableColumn>
    <tableColumn id="6" xr3:uid="{01EADD2D-36E6-41EE-B894-B537CCE6649E}" uniqueName="Value" name="Value" dataDxfId="62">
      <xmlColumnPr mapId="18" xpath="/Capacitors/Part/Value" xmlDataType="string"/>
    </tableColumn>
    <tableColumn id="7" xr3:uid="{EC779EF2-47DD-4E8F-A8D2-159E83C79180}" uniqueName="FootprintPath1" name="Footprint Path 1" dataDxfId="61">
      <xmlColumnPr mapId="18" xpath="/Capacitors/Part/FootprintPath1" xmlDataType="string"/>
    </tableColumn>
    <tableColumn id="8" xr3:uid="{C244A49A-3E6F-4B22-983D-FFA97DB3DFF6}" uniqueName="FootprintRef1" name="Footprint Ref 1" dataDxfId="60">
      <xmlColumnPr mapId="18" xpath="/Capacitors/Part/FootprintRef1" xmlDataType="string"/>
    </tableColumn>
    <tableColumn id="9" xr3:uid="{85136BD9-A68F-40E0-9A6F-E71ECA929F04}" uniqueName="FootprintPath2" name="Footprint Path 2" dataDxfId="59">
      <xmlColumnPr mapId="18" xpath="/Capacitors/Part/FootprintPath2" xmlDataType="string"/>
    </tableColumn>
    <tableColumn id="10" xr3:uid="{9FB3A5B2-04CB-44F8-A289-C2FB25F43941}" uniqueName="FootprintRef2" name="Footprint Ref 2" dataDxfId="58">
      <xmlColumnPr mapId="18" xpath="/Capacitors/Part/FootprintRef2" xmlDataType="string"/>
    </tableColumn>
    <tableColumn id="11" xr3:uid="{50FA7750-FC9E-444C-8D52-C6B51BBD63C1}" uniqueName="FootprintPath3" name="Footprint Path 3" dataDxfId="57">
      <xmlColumnPr mapId="18" xpath="/Capacitors/Part/FootprintPath3" xmlDataType="string"/>
    </tableColumn>
    <tableColumn id="12" xr3:uid="{CB4B7F73-4E19-42EF-9940-4C2907529981}" uniqueName="FootprintRef3" name="Footprint Ref 3" dataDxfId="56">
      <xmlColumnPr mapId="18" xpath="/Capacitors/Part/FootprintRef3" xmlDataType="string"/>
    </tableColumn>
    <tableColumn id="13" xr3:uid="{6B23463C-82AA-426D-ACBC-49A19C1D46FA}" uniqueName="FootprintPath4" name="Footprint Path 4" dataDxfId="55">
      <xmlColumnPr mapId="18" xpath="/Capacitors/Part/FootprintPath4" xmlDataType="string"/>
    </tableColumn>
    <tableColumn id="14" xr3:uid="{AD691620-AB1F-42E2-B1E4-053F5C2B80E9}" uniqueName="FootprintRef4" name="Footprint Ref 4" dataDxfId="54">
      <xmlColumnPr mapId="18" xpath="/Capacitors/Part/FootprintRef4" xmlDataType="string"/>
    </tableColumn>
    <tableColumn id="15" xr3:uid="{FD0F620C-73A8-49FB-B6E9-F06F81ED3185}" uniqueName="FootprintPath5" name="Footprint Path 5" dataDxfId="53">
      <xmlColumnPr mapId="18" xpath="/Capacitors/Part/FootprintPath5" xmlDataType="string"/>
    </tableColumn>
    <tableColumn id="16" xr3:uid="{F3B1D3FD-D16A-41B6-BA7D-FAFB3CCAEEC4}" uniqueName="FootprintRef5" name="Footprint Ref 5" dataDxfId="52">
      <xmlColumnPr mapId="18" xpath="/Capacitors/Part/FootprintRef5" xmlDataType="string"/>
    </tableColumn>
    <tableColumn id="17" xr3:uid="{130B1CD3-35EC-447E-93DF-ED8F8DC7A59A}" uniqueName="FootprintPath6" name="Footprint Path 6" dataDxfId="51">
      <xmlColumnPr mapId="18" xpath="/Capacitors/Part/FootprintPath6" xmlDataType="string"/>
    </tableColumn>
    <tableColumn id="18" xr3:uid="{77AF5D99-AE0B-40E5-8972-14E04BB93BB4}" uniqueName="FootprintRef6" name="Footprint Ref 6" dataDxfId="50">
      <xmlColumnPr mapId="18" xpath="/Capacitors/Part/FootprintRef6" xmlDataType="string"/>
    </tableColumn>
    <tableColumn id="19" xr3:uid="{6809872D-01AC-4EF6-B33F-6B8DA2D054C9}" uniqueName="FootprintPath7" name="Footprint Path 7" dataDxfId="49">
      <xmlColumnPr mapId="18" xpath="/Capacitors/Part/FootprintPath7" xmlDataType="string"/>
    </tableColumn>
    <tableColumn id="20" xr3:uid="{352E5BAE-89D3-4F1C-AA92-CDC22EDD2B11}" uniqueName="FootprintRef7" name="Footprint Ref 7" dataDxfId="48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M41" tableType="xml" totalsRowShown="0" headerRowDxfId="47" headerRowBorderDxfId="46" tableBorderDxfId="45" connectionId="2">
  <autoFilter ref="A1:M41" xr:uid="{327E2CF9-785D-47F4-832A-C43F8CC576C1}"/>
  <tableColumns count="13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44">
      <xmlColumnPr mapId="43" xpath="/Capacitors_ceramic/Part/LibraryPath" xmlDataType="string"/>
    </tableColumn>
    <tableColumn id="5" xr3:uid="{140603B1-BC32-4AD5-86F2-E6EF9CFD08BC}" uniqueName="LibraryRef" name="Comment" dataDxfId="43">
      <xmlColumnPr mapId="43" xpath="/Capacitors_ceramic/Part/LibraryRef" xmlDataType="string"/>
    </tableColumn>
    <tableColumn id="6" xr3:uid="{BE700CC2-03BD-4386-A2EC-27DBA3DED288}" uniqueName="Value" name="Library Path2" dataDxfId="42">
      <xmlColumnPr mapId="43" xpath="/Capacitors_ceramic/Part/Value" xmlDataType="string"/>
    </tableColumn>
    <tableColumn id="7" xr3:uid="{825A321C-E6A0-4EAF-AEC4-F451D6437D35}" uniqueName="Tolerance" name="Library Ref" dataDxfId="41">
      <xmlColumnPr mapId="43" xpath="/Capacitors_ceramic/Part/Tolerance" xmlDataType="double"/>
    </tableColumn>
    <tableColumn id="8" xr3:uid="{6BBE44D9-FFC5-457D-8041-DAABC8C7BA50}" uniqueName="Voltage" name="Value" dataDxfId="40">
      <xmlColumnPr mapId="43" xpath="/Capacitors_ceramic/Part/Voltage" xmlDataType="integer"/>
    </tableColumn>
    <tableColumn id="9" xr3:uid="{40615D5C-FAC6-4DE7-AD52-985B05512BA6}" uniqueName="Dielectric" name="Tolerance" dataDxfId="39">
      <xmlColumnPr mapId="43" xpath="/Capacitors_ceramic/Part/Dielectric" xmlDataType="string"/>
    </tableColumn>
    <tableColumn id="10" xr3:uid="{A0E5BE7F-C8F6-4C6F-887E-2AC1E17340A3}" uniqueName="FootprintPath1" name="Voltage (V)" dataDxfId="38">
      <xmlColumnPr mapId="43" xpath="/Capacitors_ceramic/Part/FootprintPath1" xmlDataType="string"/>
    </tableColumn>
    <tableColumn id="11" xr3:uid="{1125B898-8A5A-4932-9E6A-70BE1D0B17C2}" uniqueName="FootprintRef1" name="Dielectric" dataDxfId="37">
      <xmlColumnPr mapId="43" xpath="/Capacitors_ceramic/Part/FootprintRef1" xmlDataType="string"/>
    </tableColumn>
    <tableColumn id="12" xr3:uid="{A0B20E33-F9DE-4128-B3C1-A5F5EF419A6A}" uniqueName="Capacity" name="Footprint Path 1" dataDxfId="36">
      <xmlColumnPr mapId="43" xpath="/Capacitors_ceramic/Part/Capacity" xmlDataType="double"/>
    </tableColumn>
    <tableColumn id="3" xr3:uid="{3CA4A3C4-175F-4D31-8C1D-DB8BDFEC6751}" uniqueName="3" name="Footprint Ref 1" dataDxfId="35"/>
    <tableColumn id="13" xr3:uid="{AC6DF023-DF8E-4431-956C-EF5B1E686C64}" uniqueName="13" name="Capacity (nF)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4" tableType="xml" totalsRowShown="0" headerRowDxfId="33" headerRowBorderDxfId="32" tableBorderDxfId="31" connectionId="3">
  <autoFilter ref="A1:N24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3" tableType="xml" totalsRowShown="0" headerRowDxfId="30" connectionId="9">
  <autoFilter ref="A1:P13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6"/>
  <sheetViews>
    <sheetView topLeftCell="A7" zoomScaleNormal="100" workbookViewId="0">
      <selection activeCell="D40" sqref="D40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977</v>
      </c>
      <c r="I8" t="s">
        <v>976</v>
      </c>
      <c r="J8" t="s">
        <v>977</v>
      </c>
      <c r="K8" t="s">
        <v>1044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845</v>
      </c>
      <c r="B15" t="s">
        <v>846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847</v>
      </c>
      <c r="B16" t="s">
        <v>848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849</v>
      </c>
    </row>
    <row r="17" spans="1:9" x14ac:dyDescent="0.35">
      <c r="A17" t="s">
        <v>850</v>
      </c>
      <c r="B17" t="s">
        <v>851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872</v>
      </c>
      <c r="B18" t="s">
        <v>873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872</v>
      </c>
    </row>
    <row r="19" spans="1:9" x14ac:dyDescent="0.35">
      <c r="A19" t="s">
        <v>874</v>
      </c>
      <c r="B19" t="s">
        <v>875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876</v>
      </c>
    </row>
    <row r="20" spans="1:9" x14ac:dyDescent="0.35">
      <c r="A20" s="12" t="s">
        <v>877</v>
      </c>
      <c r="B20" t="s">
        <v>878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879</v>
      </c>
    </row>
    <row r="21" spans="1:9" x14ac:dyDescent="0.35">
      <c r="A21" t="s">
        <v>887</v>
      </c>
      <c r="B21" t="s">
        <v>888</v>
      </c>
      <c r="C21" s="2" t="s">
        <v>887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866</v>
      </c>
    </row>
    <row r="22" spans="1:9" x14ac:dyDescent="0.35">
      <c r="A22" t="s">
        <v>901</v>
      </c>
      <c r="B22" t="s">
        <v>902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900</v>
      </c>
    </row>
    <row r="23" spans="1:9" x14ac:dyDescent="0.35">
      <c r="A23" t="s">
        <v>905</v>
      </c>
      <c r="B23" t="s">
        <v>906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905</v>
      </c>
    </row>
    <row r="24" spans="1:9" x14ac:dyDescent="0.35">
      <c r="A24" t="s">
        <v>922</v>
      </c>
      <c r="B24" t="s">
        <v>924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923</v>
      </c>
      <c r="B25" t="s">
        <v>925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926</v>
      </c>
      <c r="B26" t="s">
        <v>927</v>
      </c>
      <c r="C26" s="2" t="s">
        <v>926</v>
      </c>
      <c r="D26" t="s">
        <v>928</v>
      </c>
      <c r="E26" t="s">
        <v>926</v>
      </c>
      <c r="F26" t="s">
        <v>929</v>
      </c>
      <c r="G26" t="s">
        <v>377</v>
      </c>
    </row>
    <row r="27" spans="1:9" x14ac:dyDescent="0.35">
      <c r="A27" t="s">
        <v>953</v>
      </c>
      <c r="B27" t="s">
        <v>954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972</v>
      </c>
      <c r="B28" t="s">
        <v>973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975</v>
      </c>
      <c r="G28" t="s">
        <v>974</v>
      </c>
      <c r="H28" t="s">
        <v>975</v>
      </c>
      <c r="I28" t="s">
        <v>1043</v>
      </c>
    </row>
    <row r="29" spans="1:9" x14ac:dyDescent="0.35">
      <c r="A29" t="s">
        <v>1028</v>
      </c>
      <c r="B29" t="s">
        <v>1029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1028</v>
      </c>
    </row>
    <row r="30" spans="1:9" x14ac:dyDescent="0.35">
      <c r="A30" t="s">
        <v>1030</v>
      </c>
      <c r="B30" t="s">
        <v>1059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1030</v>
      </c>
    </row>
    <row r="31" spans="1:9" x14ac:dyDescent="0.35">
      <c r="A31" t="s">
        <v>1031</v>
      </c>
      <c r="B31" t="s">
        <v>1058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1032</v>
      </c>
    </row>
    <row r="32" spans="1:9" x14ac:dyDescent="0.35">
      <c r="A32" t="s">
        <v>1054</v>
      </c>
      <c r="B32" t="s">
        <v>1055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1056</v>
      </c>
      <c r="B33" t="s">
        <v>1057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1074</v>
      </c>
      <c r="B34" t="s">
        <v>1075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866</v>
      </c>
    </row>
    <row r="35" spans="1:7" x14ac:dyDescent="0.35">
      <c r="A35" t="s">
        <v>1078</v>
      </c>
      <c r="B35" t="s">
        <v>1076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1077</v>
      </c>
    </row>
    <row r="36" spans="1:7" x14ac:dyDescent="0.35">
      <c r="A36" t="s">
        <v>1086</v>
      </c>
      <c r="B36" t="s">
        <v>1087</v>
      </c>
      <c r="C36" s="2" t="str">
        <f>A36</f>
        <v>LTV354T</v>
      </c>
      <c r="D36" t="str">
        <f>CONCATENATE("Schematic\",E36,".SchLib")</f>
        <v>Schematic\LTV354.SchLib</v>
      </c>
      <c r="E36" t="s">
        <v>1085</v>
      </c>
      <c r="F36" t="str">
        <f>CONCATENATE("Footprints\",G36,".PcbLib")</f>
        <v>Footprints\SOP4-2_54.PcbLib</v>
      </c>
      <c r="G36" t="s">
        <v>1088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sqref="A1:I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868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883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957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958</v>
      </c>
    </row>
    <row r="8" spans="1:9" x14ac:dyDescent="0.35">
      <c r="A8" t="s">
        <v>1033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1036</v>
      </c>
      <c r="E8" t="s">
        <v>1033</v>
      </c>
      <c r="F8" t="str">
        <f>CONCATENATE("Footprints\",G8,".PcbLib")</f>
        <v>Footprints\SOT23.PcbLib</v>
      </c>
      <c r="G8" t="s">
        <v>1034</v>
      </c>
      <c r="H8" s="16">
        <v>70</v>
      </c>
      <c r="I8" s="16" t="s">
        <v>1035</v>
      </c>
    </row>
    <row r="9" spans="1:9" x14ac:dyDescent="0.35">
      <c r="A9" t="s">
        <v>1045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1046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1050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1072</v>
      </c>
    </row>
    <row r="2" spans="1:12" ht="13" customHeight="1" x14ac:dyDescent="0.35">
      <c r="A2" s="2" t="s">
        <v>70</v>
      </c>
      <c r="B2" s="2" t="s">
        <v>776</v>
      </c>
      <c r="C2" s="2" t="s">
        <v>70</v>
      </c>
      <c r="D2" s="2" t="s">
        <v>73</v>
      </c>
      <c r="E2" s="2" t="s">
        <v>74</v>
      </c>
      <c r="F2" s="2" t="s">
        <v>777</v>
      </c>
      <c r="G2" s="2" t="s">
        <v>72</v>
      </c>
      <c r="H2" s="2" t="s">
        <v>387</v>
      </c>
      <c r="I2" s="2" t="s">
        <v>778</v>
      </c>
      <c r="J2" s="2" t="s">
        <v>779</v>
      </c>
      <c r="K2" s="2" t="s">
        <v>780</v>
      </c>
      <c r="L2" s="11">
        <v>0.05</v>
      </c>
    </row>
    <row r="3" spans="1:12" x14ac:dyDescent="0.35">
      <c r="A3" t="s">
        <v>935</v>
      </c>
      <c r="B3" s="2" t="s">
        <v>936</v>
      </c>
      <c r="C3" t="s">
        <v>935</v>
      </c>
      <c r="D3" s="2" t="s">
        <v>73</v>
      </c>
      <c r="E3" s="2" t="s">
        <v>74</v>
      </c>
      <c r="F3" s="2" t="s">
        <v>937</v>
      </c>
      <c r="G3" t="s">
        <v>938</v>
      </c>
      <c r="H3" s="2" t="s">
        <v>939</v>
      </c>
      <c r="I3" s="2">
        <v>5</v>
      </c>
      <c r="J3" s="2" t="s">
        <v>1069</v>
      </c>
      <c r="K3" s="2" t="s">
        <v>940</v>
      </c>
      <c r="L3" s="11">
        <v>0.02</v>
      </c>
    </row>
    <row r="4" spans="1:12" x14ac:dyDescent="0.35">
      <c r="A4" t="s">
        <v>1065</v>
      </c>
      <c r="B4" s="2" t="s">
        <v>1066</v>
      </c>
      <c r="C4" t="s">
        <v>1065</v>
      </c>
      <c r="D4" s="2" t="s">
        <v>1067</v>
      </c>
      <c r="E4" t="s">
        <v>1068</v>
      </c>
      <c r="F4" s="2" t="s">
        <v>1073</v>
      </c>
      <c r="G4" t="s">
        <v>18</v>
      </c>
      <c r="H4" s="2" t="s">
        <v>386</v>
      </c>
      <c r="I4" s="2">
        <v>5</v>
      </c>
      <c r="J4" s="2" t="s">
        <v>1070</v>
      </c>
      <c r="K4" s="2" t="s">
        <v>1071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9"/>
  <sheetViews>
    <sheetView workbookViewId="0">
      <selection activeCell="H15" sqref="H15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852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853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917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934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  <row r="9" spans="1:11" x14ac:dyDescent="0.35">
      <c r="A9" s="18" t="s">
        <v>1097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145" zoomScaleNormal="145" workbookViewId="0">
      <selection activeCell="H16" sqref="H16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945</v>
      </c>
      <c r="K1" s="1" t="s">
        <v>946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1094</v>
      </c>
      <c r="K2" t="s">
        <v>1095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949</v>
      </c>
      <c r="K3" t="s">
        <v>1096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839</v>
      </c>
      <c r="B7" s="3" t="s">
        <v>21</v>
      </c>
      <c r="C7" s="2" t="str">
        <f t="shared" si="0"/>
        <v>AO4411</v>
      </c>
      <c r="D7" s="3" t="s">
        <v>840</v>
      </c>
      <c r="E7" s="3" t="s">
        <v>841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842</v>
      </c>
      <c r="B8" s="1" t="s">
        <v>843</v>
      </c>
      <c r="C8" s="2" t="str">
        <f>A8</f>
        <v>AO4812</v>
      </c>
      <c r="D8" s="3" t="s">
        <v>844</v>
      </c>
      <c r="E8" s="1" t="s">
        <v>842</v>
      </c>
      <c r="F8" t="str">
        <f t="shared" si="1"/>
        <v>Footprints\SOP8.PcbLib</v>
      </c>
      <c r="G8" s="1" t="s">
        <v>866</v>
      </c>
      <c r="J8" t="s">
        <v>949</v>
      </c>
      <c r="K8" t="s">
        <v>950</v>
      </c>
    </row>
    <row r="9" spans="1:19" ht="15.5" x14ac:dyDescent="0.35">
      <c r="A9" s="1" t="s">
        <v>941</v>
      </c>
      <c r="B9" s="1" t="s">
        <v>942</v>
      </c>
      <c r="C9" s="2" t="str">
        <f>A9</f>
        <v>bc807</v>
      </c>
      <c r="D9" s="3" t="s">
        <v>944</v>
      </c>
      <c r="E9" s="1" t="s">
        <v>943</v>
      </c>
      <c r="F9" t="str">
        <f>CONCATENATE("Footprints\",G9,".PcbLib")</f>
        <v>Footprints\SOT23-3.PcbLib</v>
      </c>
      <c r="G9" s="3" t="s">
        <v>18</v>
      </c>
      <c r="J9" t="s">
        <v>947</v>
      </c>
      <c r="K9" t="s">
        <v>948</v>
      </c>
    </row>
    <row r="10" spans="1:19" ht="15.5" x14ac:dyDescent="0.35">
      <c r="A10" s="1" t="s">
        <v>968</v>
      </c>
      <c r="B10" s="1" t="s">
        <v>971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1093</v>
      </c>
      <c r="H10" s="2"/>
      <c r="I10" s="2"/>
      <c r="J10" t="s">
        <v>969</v>
      </c>
      <c r="K10" t="s">
        <v>970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5"/>
  <sheetViews>
    <sheetView topLeftCell="A145" zoomScaleNormal="100" workbookViewId="0">
      <selection activeCell="B177" sqref="B17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952</v>
      </c>
      <c r="K52" s="1" t="s">
        <v>951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899</v>
      </c>
      <c r="K67" s="1" t="s">
        <v>898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854</v>
      </c>
      <c r="B110" s="3" t="s">
        <v>856</v>
      </c>
      <c r="C110" s="3" t="s">
        <v>26</v>
      </c>
      <c r="D110" s="3" t="s">
        <v>29</v>
      </c>
      <c r="E110" s="3" t="s">
        <v>26</v>
      </c>
      <c r="F110" s="1" t="s">
        <v>855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889</v>
      </c>
      <c r="B172" s="1" t="s">
        <v>890</v>
      </c>
      <c r="C172" s="1" t="s">
        <v>889</v>
      </c>
      <c r="D172" s="3" t="s">
        <v>895</v>
      </c>
      <c r="E172" s="1" t="s">
        <v>894</v>
      </c>
      <c r="F172" s="1" t="s">
        <v>892</v>
      </c>
      <c r="G172" s="14">
        <v>0.5</v>
      </c>
      <c r="H172" s="3" t="s">
        <v>891</v>
      </c>
      <c r="I172" s="13" t="s">
        <v>893</v>
      </c>
      <c r="J172" s="1"/>
      <c r="K172" s="1"/>
    </row>
    <row r="173" spans="1:11" ht="15.5" x14ac:dyDescent="0.35">
      <c r="A173" s="15" t="s">
        <v>959</v>
      </c>
      <c r="B173" s="1" t="s">
        <v>960</v>
      </c>
      <c r="C173" s="1" t="s">
        <v>959</v>
      </c>
      <c r="D173" s="3" t="s">
        <v>895</v>
      </c>
      <c r="E173" s="1" t="s">
        <v>894</v>
      </c>
      <c r="F173" s="1">
        <v>100</v>
      </c>
      <c r="G173" s="14">
        <v>0.5</v>
      </c>
      <c r="H173" s="3" t="s">
        <v>891</v>
      </c>
      <c r="I173" s="13" t="s">
        <v>893</v>
      </c>
      <c r="J173" s="1"/>
      <c r="K173" s="1"/>
    </row>
    <row r="174" spans="1:11" ht="15.5" x14ac:dyDescent="0.35">
      <c r="A174" s="15" t="s">
        <v>963</v>
      </c>
      <c r="B174" s="1" t="s">
        <v>964</v>
      </c>
      <c r="C174" s="1" t="s">
        <v>963</v>
      </c>
      <c r="D174" s="3" t="s">
        <v>895</v>
      </c>
      <c r="E174" s="1" t="s">
        <v>894</v>
      </c>
      <c r="F174" s="1" t="s">
        <v>965</v>
      </c>
      <c r="G174" s="14">
        <v>0.5</v>
      </c>
      <c r="H174" s="3" t="s">
        <v>891</v>
      </c>
      <c r="I174" s="13" t="s">
        <v>893</v>
      </c>
      <c r="J174" s="1"/>
      <c r="K174" s="1"/>
    </row>
    <row r="175" spans="1:11" ht="15.5" x14ac:dyDescent="0.35">
      <c r="A175" s="3" t="s">
        <v>1099</v>
      </c>
      <c r="B175" s="3" t="s">
        <v>1100</v>
      </c>
      <c r="C175" s="3" t="s">
        <v>26</v>
      </c>
      <c r="D175" s="3" t="s">
        <v>29</v>
      </c>
      <c r="E175" s="3" t="s">
        <v>26</v>
      </c>
      <c r="F175" s="3" t="s">
        <v>1098</v>
      </c>
      <c r="G175" s="4">
        <v>0.01</v>
      </c>
      <c r="H175" s="3" t="s">
        <v>899</v>
      </c>
      <c r="I175" s="3" t="s">
        <v>898</v>
      </c>
      <c r="J175" s="1"/>
      <c r="K175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I2"/>
  <sheetViews>
    <sheetView workbookViewId="0">
      <selection activeCell="E20" sqref="E20"/>
    </sheetView>
  </sheetViews>
  <sheetFormatPr defaultRowHeight="14.5" x14ac:dyDescent="0.35"/>
  <cols>
    <col min="1" max="1" width="14.453125" customWidth="1"/>
    <col min="2" max="2" width="40.7265625" customWidth="1"/>
    <col min="4" max="4" width="28.6328125" customWidth="1"/>
    <col min="5" max="5" width="14.81640625" customWidth="1"/>
    <col min="6" max="6" width="19.54296875" customWidth="1"/>
    <col min="8" max="8" width="33.1796875" customWidth="1"/>
    <col min="9" max="9" width="10.1796875" customWidth="1"/>
  </cols>
  <sheetData>
    <row r="1" spans="1:9" x14ac:dyDescent="0.35">
      <c r="A1" s="21" t="s">
        <v>0</v>
      </c>
      <c r="B1" s="22" t="s">
        <v>1</v>
      </c>
      <c r="C1" s="22" t="s">
        <v>14</v>
      </c>
      <c r="D1" s="22" t="s">
        <v>2</v>
      </c>
      <c r="E1" s="22" t="s">
        <v>3</v>
      </c>
      <c r="F1" s="22" t="s">
        <v>12</v>
      </c>
      <c r="G1" s="22" t="s">
        <v>8</v>
      </c>
      <c r="H1" s="22" t="s">
        <v>1101</v>
      </c>
      <c r="I1" s="24" t="s">
        <v>84</v>
      </c>
    </row>
    <row r="2" spans="1:9" x14ac:dyDescent="0.35">
      <c r="A2" s="25" t="s">
        <v>1104</v>
      </c>
      <c r="B2" s="23" t="str">
        <f>CONCATENATE("Выпрямительный диод на ", H2," В, ном. ток ", I2," А")</f>
        <v>Выпрямительный диод на 1000 В, ном. ток 2 А</v>
      </c>
      <c r="C2" s="26" t="str">
        <f t="shared" ref="C2" si="0">A2</f>
        <v>S2M</v>
      </c>
      <c r="D2" s="26" t="s">
        <v>1103</v>
      </c>
      <c r="E2" s="26" t="s">
        <v>1102</v>
      </c>
      <c r="F2" s="26" t="str">
        <f t="shared" ref="F2" si="1">CONCATENATE("Footprints\",G2,".PcbLib")</f>
        <v>Footprints\SMB.PcbLib</v>
      </c>
      <c r="G2" s="26" t="s">
        <v>342</v>
      </c>
      <c r="H2" s="27">
        <v>1000</v>
      </c>
      <c r="I2" s="28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775</v>
      </c>
      <c r="H2" s="3" t="s">
        <v>37</v>
      </c>
      <c r="I2" s="3" t="s">
        <v>823</v>
      </c>
      <c r="J2" s="3" t="s">
        <v>38</v>
      </c>
      <c r="K2" s="10" t="s">
        <v>825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803</v>
      </c>
      <c r="E3" s="3" t="s">
        <v>39</v>
      </c>
      <c r="F3" s="3" t="s">
        <v>41</v>
      </c>
      <c r="G3" s="3" t="s">
        <v>822</v>
      </c>
      <c r="H3" s="3" t="s">
        <v>123</v>
      </c>
      <c r="I3" s="3" t="s">
        <v>824</v>
      </c>
      <c r="J3" s="3" t="s">
        <v>124</v>
      </c>
      <c r="K3" s="3" t="s">
        <v>826</v>
      </c>
      <c r="L3" s="3" t="s">
        <v>125</v>
      </c>
      <c r="M3" s="3" t="s">
        <v>827</v>
      </c>
      <c r="N3" s="3" t="s">
        <v>126</v>
      </c>
      <c r="O3" s="3" t="s">
        <v>828</v>
      </c>
      <c r="P3" s="3" t="s">
        <v>127</v>
      </c>
      <c r="Q3" s="3" t="s">
        <v>829</v>
      </c>
      <c r="R3" s="2" t="s">
        <v>131</v>
      </c>
      <c r="S3" s="3" t="s">
        <v>867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M41"/>
  <sheetViews>
    <sheetView workbookViewId="0">
      <selection activeCell="R11" sqref="R11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</cols>
  <sheetData>
    <row r="1" spans="1:13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1083</v>
      </c>
      <c r="F1" s="6" t="s">
        <v>3</v>
      </c>
      <c r="G1" s="6" t="s">
        <v>25</v>
      </c>
      <c r="H1" s="8" t="s">
        <v>321</v>
      </c>
      <c r="I1" s="8" t="s">
        <v>700</v>
      </c>
      <c r="J1" s="8" t="s">
        <v>699</v>
      </c>
      <c r="K1" s="6" t="s">
        <v>12</v>
      </c>
      <c r="L1" s="6" t="s">
        <v>8</v>
      </c>
      <c r="M1" s="8" t="s">
        <v>701</v>
      </c>
    </row>
    <row r="2" spans="1:13" x14ac:dyDescent="0.35">
      <c r="A2" s="2" t="s">
        <v>1084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738</v>
      </c>
      <c r="H2">
        <v>0.1</v>
      </c>
      <c r="I2">
        <v>50</v>
      </c>
      <c r="J2" s="2" t="s">
        <v>774</v>
      </c>
      <c r="K2" s="2" t="s">
        <v>775</v>
      </c>
      <c r="L2" s="2" t="s">
        <v>37</v>
      </c>
      <c r="M2" s="2">
        <v>1</v>
      </c>
    </row>
    <row r="3" spans="1:13" x14ac:dyDescent="0.35">
      <c r="A3" s="2" t="s">
        <v>702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739</v>
      </c>
      <c r="H3">
        <v>0.1</v>
      </c>
      <c r="I3">
        <v>50</v>
      </c>
      <c r="J3" s="2" t="s">
        <v>774</v>
      </c>
      <c r="K3" s="2" t="s">
        <v>775</v>
      </c>
      <c r="L3" s="2" t="s">
        <v>37</v>
      </c>
      <c r="M3" s="2">
        <v>1.2</v>
      </c>
    </row>
    <row r="4" spans="1:13" x14ac:dyDescent="0.35">
      <c r="A4" s="2" t="s">
        <v>703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740</v>
      </c>
      <c r="H4">
        <v>0.1</v>
      </c>
      <c r="I4">
        <v>50</v>
      </c>
      <c r="J4" s="2" t="s">
        <v>774</v>
      </c>
      <c r="K4" s="2" t="s">
        <v>775</v>
      </c>
      <c r="L4" s="2" t="s">
        <v>37</v>
      </c>
      <c r="M4" s="2">
        <v>1.5</v>
      </c>
    </row>
    <row r="5" spans="1:13" x14ac:dyDescent="0.35">
      <c r="A5" s="2" t="s">
        <v>704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741</v>
      </c>
      <c r="H5">
        <v>0.1</v>
      </c>
      <c r="I5">
        <v>50</v>
      </c>
      <c r="J5" s="2" t="s">
        <v>774</v>
      </c>
      <c r="K5" s="2" t="s">
        <v>775</v>
      </c>
      <c r="L5" s="2" t="s">
        <v>37</v>
      </c>
      <c r="M5" s="2">
        <v>1.8</v>
      </c>
    </row>
    <row r="6" spans="1:13" x14ac:dyDescent="0.35">
      <c r="A6" s="2" t="s">
        <v>705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742</v>
      </c>
      <c r="H6">
        <v>0.1</v>
      </c>
      <c r="I6">
        <v>50</v>
      </c>
      <c r="J6" s="2" t="s">
        <v>774</v>
      </c>
      <c r="K6" s="2" t="s">
        <v>775</v>
      </c>
      <c r="L6" s="2" t="s">
        <v>37</v>
      </c>
      <c r="M6" s="2">
        <v>2.2000000000000002</v>
      </c>
    </row>
    <row r="7" spans="1:13" x14ac:dyDescent="0.35">
      <c r="A7" s="2" t="s">
        <v>706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743</v>
      </c>
      <c r="H7">
        <v>0.1</v>
      </c>
      <c r="I7">
        <v>50</v>
      </c>
      <c r="J7" s="2" t="s">
        <v>774</v>
      </c>
      <c r="K7" s="2" t="s">
        <v>775</v>
      </c>
      <c r="L7" s="2" t="s">
        <v>37</v>
      </c>
      <c r="M7" s="2">
        <v>2.7</v>
      </c>
    </row>
    <row r="8" spans="1:13" x14ac:dyDescent="0.35">
      <c r="A8" s="2" t="s">
        <v>707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744</v>
      </c>
      <c r="H8">
        <v>0.1</v>
      </c>
      <c r="I8">
        <v>50</v>
      </c>
      <c r="J8" s="2" t="s">
        <v>774</v>
      </c>
      <c r="K8" s="2" t="s">
        <v>775</v>
      </c>
      <c r="L8" s="2" t="s">
        <v>37</v>
      </c>
      <c r="M8" s="2">
        <v>3.3</v>
      </c>
    </row>
    <row r="9" spans="1:13" x14ac:dyDescent="0.35">
      <c r="A9" s="2" t="s">
        <v>708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745</v>
      </c>
      <c r="H9">
        <v>0.1</v>
      </c>
      <c r="I9">
        <v>50</v>
      </c>
      <c r="J9" s="2" t="s">
        <v>774</v>
      </c>
      <c r="K9" s="2" t="s">
        <v>775</v>
      </c>
      <c r="L9" s="2" t="s">
        <v>37</v>
      </c>
      <c r="M9" s="2">
        <v>3.9</v>
      </c>
    </row>
    <row r="10" spans="1:13" x14ac:dyDescent="0.35">
      <c r="A10" s="2" t="s">
        <v>709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746</v>
      </c>
      <c r="H10">
        <v>0.1</v>
      </c>
      <c r="I10">
        <v>50</v>
      </c>
      <c r="J10" s="2" t="s">
        <v>774</v>
      </c>
      <c r="K10" s="2" t="s">
        <v>775</v>
      </c>
      <c r="L10" s="2" t="s">
        <v>37</v>
      </c>
      <c r="M10" s="2">
        <v>4.7</v>
      </c>
    </row>
    <row r="11" spans="1:13" x14ac:dyDescent="0.35">
      <c r="A11" s="2" t="s">
        <v>710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747</v>
      </c>
      <c r="H11">
        <v>0.1</v>
      </c>
      <c r="I11">
        <v>50</v>
      </c>
      <c r="J11" s="2" t="s">
        <v>774</v>
      </c>
      <c r="K11" s="2" t="s">
        <v>775</v>
      </c>
      <c r="L11" s="2" t="s">
        <v>37</v>
      </c>
      <c r="M11" s="2">
        <v>5.6</v>
      </c>
    </row>
    <row r="12" spans="1:13" x14ac:dyDescent="0.35">
      <c r="A12" s="2" t="s">
        <v>711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748</v>
      </c>
      <c r="H12">
        <v>0.1</v>
      </c>
      <c r="I12">
        <v>50</v>
      </c>
      <c r="J12" s="2" t="s">
        <v>774</v>
      </c>
      <c r="K12" s="2" t="s">
        <v>775</v>
      </c>
      <c r="L12" s="2" t="s">
        <v>37</v>
      </c>
      <c r="M12" s="2">
        <v>6.8</v>
      </c>
    </row>
    <row r="13" spans="1:13" x14ac:dyDescent="0.35">
      <c r="A13" s="2" t="s">
        <v>712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749</v>
      </c>
      <c r="H13">
        <v>0.1</v>
      </c>
      <c r="I13">
        <v>50</v>
      </c>
      <c r="J13" s="2" t="s">
        <v>774</v>
      </c>
      <c r="K13" s="2" t="s">
        <v>775</v>
      </c>
      <c r="L13" s="2" t="s">
        <v>37</v>
      </c>
      <c r="M13" s="2">
        <v>8.1999999999999993</v>
      </c>
    </row>
    <row r="14" spans="1:13" x14ac:dyDescent="0.35">
      <c r="A14" s="2" t="s">
        <v>713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750</v>
      </c>
      <c r="H14">
        <v>0.1</v>
      </c>
      <c r="I14">
        <v>50</v>
      </c>
      <c r="J14" s="2" t="s">
        <v>774</v>
      </c>
      <c r="K14" s="2" t="s">
        <v>775</v>
      </c>
      <c r="L14" s="2" t="s">
        <v>37</v>
      </c>
      <c r="M14" s="2">
        <v>10</v>
      </c>
    </row>
    <row r="15" spans="1:13" x14ac:dyDescent="0.35">
      <c r="A15" s="2" t="s">
        <v>714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751</v>
      </c>
      <c r="H15">
        <v>0.1</v>
      </c>
      <c r="I15">
        <v>50</v>
      </c>
      <c r="J15" s="2" t="s">
        <v>774</v>
      </c>
      <c r="K15" s="2" t="s">
        <v>775</v>
      </c>
      <c r="L15" s="2" t="s">
        <v>37</v>
      </c>
      <c r="M15" s="2">
        <v>12</v>
      </c>
    </row>
    <row r="16" spans="1:13" x14ac:dyDescent="0.35">
      <c r="A16" s="2" t="s">
        <v>715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752</v>
      </c>
      <c r="H16">
        <v>0.1</v>
      </c>
      <c r="I16">
        <v>50</v>
      </c>
      <c r="J16" s="2" t="s">
        <v>774</v>
      </c>
      <c r="K16" s="2" t="s">
        <v>775</v>
      </c>
      <c r="L16" s="2" t="s">
        <v>37</v>
      </c>
      <c r="M16" s="2">
        <v>15</v>
      </c>
    </row>
    <row r="17" spans="1:13" x14ac:dyDescent="0.35">
      <c r="A17" s="2" t="s">
        <v>716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753</v>
      </c>
      <c r="H17">
        <v>0.1</v>
      </c>
      <c r="I17">
        <v>50</v>
      </c>
      <c r="J17" s="2" t="s">
        <v>774</v>
      </c>
      <c r="K17" s="2" t="s">
        <v>775</v>
      </c>
      <c r="L17" s="2" t="s">
        <v>37</v>
      </c>
      <c r="M17" s="2">
        <v>18</v>
      </c>
    </row>
    <row r="18" spans="1:13" x14ac:dyDescent="0.35">
      <c r="A18" s="2" t="s">
        <v>717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754</v>
      </c>
      <c r="H18">
        <v>0.1</v>
      </c>
      <c r="I18">
        <v>50</v>
      </c>
      <c r="J18" s="2" t="s">
        <v>774</v>
      </c>
      <c r="K18" s="2" t="s">
        <v>775</v>
      </c>
      <c r="L18" s="2" t="s">
        <v>37</v>
      </c>
      <c r="M18" s="2">
        <v>22</v>
      </c>
    </row>
    <row r="19" spans="1:13" x14ac:dyDescent="0.35">
      <c r="A19" s="2" t="s">
        <v>718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755</v>
      </c>
      <c r="H19">
        <v>0.1</v>
      </c>
      <c r="I19">
        <v>50</v>
      </c>
      <c r="J19" s="2" t="s">
        <v>774</v>
      </c>
      <c r="K19" s="2" t="s">
        <v>775</v>
      </c>
      <c r="L19" s="2" t="s">
        <v>37</v>
      </c>
      <c r="M19" s="2">
        <v>27</v>
      </c>
    </row>
    <row r="20" spans="1:13" x14ac:dyDescent="0.35">
      <c r="A20" s="2" t="s">
        <v>719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756</v>
      </c>
      <c r="H20">
        <v>0.1</v>
      </c>
      <c r="I20">
        <v>50</v>
      </c>
      <c r="J20" s="2" t="s">
        <v>774</v>
      </c>
      <c r="K20" s="2" t="s">
        <v>775</v>
      </c>
      <c r="L20" s="2" t="s">
        <v>37</v>
      </c>
      <c r="M20" s="2">
        <v>33</v>
      </c>
    </row>
    <row r="21" spans="1:13" x14ac:dyDescent="0.35">
      <c r="A21" s="2" t="s">
        <v>720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757</v>
      </c>
      <c r="H21">
        <v>0.1</v>
      </c>
      <c r="I21">
        <v>50</v>
      </c>
      <c r="J21" s="2" t="s">
        <v>774</v>
      </c>
      <c r="K21" s="2" t="s">
        <v>775</v>
      </c>
      <c r="L21" s="2" t="s">
        <v>37</v>
      </c>
      <c r="M21" s="2">
        <v>39</v>
      </c>
    </row>
    <row r="22" spans="1:13" x14ac:dyDescent="0.35">
      <c r="A22" s="2" t="s">
        <v>721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758</v>
      </c>
      <c r="H22">
        <v>0.1</v>
      </c>
      <c r="I22">
        <v>50</v>
      </c>
      <c r="J22" s="2" t="s">
        <v>774</v>
      </c>
      <c r="K22" s="2" t="s">
        <v>775</v>
      </c>
      <c r="L22" s="2" t="s">
        <v>37</v>
      </c>
      <c r="M22" s="2">
        <v>47</v>
      </c>
    </row>
    <row r="23" spans="1:13" x14ac:dyDescent="0.35">
      <c r="A23" s="2" t="s">
        <v>722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759</v>
      </c>
      <c r="H23">
        <v>0.1</v>
      </c>
      <c r="I23">
        <v>50</v>
      </c>
      <c r="J23" s="2" t="s">
        <v>774</v>
      </c>
      <c r="K23" s="2" t="s">
        <v>775</v>
      </c>
      <c r="L23" s="2" t="s">
        <v>37</v>
      </c>
      <c r="M23" s="2">
        <v>56</v>
      </c>
    </row>
    <row r="24" spans="1:13" x14ac:dyDescent="0.35">
      <c r="A24" s="2" t="s">
        <v>723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760</v>
      </c>
      <c r="H24">
        <v>0.1</v>
      </c>
      <c r="I24">
        <v>50</v>
      </c>
      <c r="J24" s="2" t="s">
        <v>774</v>
      </c>
      <c r="K24" s="2" t="s">
        <v>775</v>
      </c>
      <c r="L24" s="2" t="s">
        <v>37</v>
      </c>
      <c r="M24" s="2">
        <v>68</v>
      </c>
    </row>
    <row r="25" spans="1:13" x14ac:dyDescent="0.35">
      <c r="A25" s="2" t="s">
        <v>724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761</v>
      </c>
      <c r="H25">
        <v>0.1</v>
      </c>
      <c r="I25">
        <v>50</v>
      </c>
      <c r="J25" s="2" t="s">
        <v>774</v>
      </c>
      <c r="K25" s="2" t="s">
        <v>775</v>
      </c>
      <c r="L25" s="2" t="s">
        <v>37</v>
      </c>
      <c r="M25" s="2">
        <v>82</v>
      </c>
    </row>
    <row r="26" spans="1:13" x14ac:dyDescent="0.35">
      <c r="A26" s="2" t="s">
        <v>725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774</v>
      </c>
      <c r="K26" s="2" t="s">
        <v>775</v>
      </c>
      <c r="L26" s="2" t="s">
        <v>37</v>
      </c>
      <c r="M26" s="2">
        <v>100</v>
      </c>
    </row>
    <row r="27" spans="1:13" x14ac:dyDescent="0.35">
      <c r="A27" s="2" t="s">
        <v>726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762</v>
      </c>
      <c r="H27">
        <v>0.1</v>
      </c>
      <c r="I27">
        <v>50</v>
      </c>
      <c r="J27" s="2" t="s">
        <v>774</v>
      </c>
      <c r="K27" s="2" t="s">
        <v>775</v>
      </c>
      <c r="L27" s="2" t="s">
        <v>37</v>
      </c>
      <c r="M27" s="2">
        <v>120</v>
      </c>
    </row>
    <row r="28" spans="1:13" x14ac:dyDescent="0.35">
      <c r="A28" s="2" t="s">
        <v>727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763</v>
      </c>
      <c r="H28">
        <v>0.1</v>
      </c>
      <c r="I28">
        <v>50</v>
      </c>
      <c r="J28" s="2" t="s">
        <v>774</v>
      </c>
      <c r="K28" s="2" t="s">
        <v>775</v>
      </c>
      <c r="L28" s="2" t="s">
        <v>37</v>
      </c>
      <c r="M28" s="2">
        <v>150</v>
      </c>
    </row>
    <row r="29" spans="1:13" x14ac:dyDescent="0.35">
      <c r="A29" s="2" t="s">
        <v>728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764</v>
      </c>
      <c r="H29">
        <v>0.1</v>
      </c>
      <c r="I29">
        <v>50</v>
      </c>
      <c r="J29" s="2" t="s">
        <v>774</v>
      </c>
      <c r="K29" s="2" t="s">
        <v>775</v>
      </c>
      <c r="L29" s="2" t="s">
        <v>37</v>
      </c>
      <c r="M29" s="2">
        <v>180</v>
      </c>
    </row>
    <row r="30" spans="1:13" x14ac:dyDescent="0.35">
      <c r="A30" s="2" t="s">
        <v>729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765</v>
      </c>
      <c r="H30">
        <v>0.1</v>
      </c>
      <c r="I30">
        <v>50</v>
      </c>
      <c r="J30" s="2" t="s">
        <v>774</v>
      </c>
      <c r="K30" s="2" t="s">
        <v>775</v>
      </c>
      <c r="L30" s="2" t="s">
        <v>37</v>
      </c>
      <c r="M30" s="2">
        <v>220</v>
      </c>
    </row>
    <row r="31" spans="1:13" x14ac:dyDescent="0.35">
      <c r="A31" s="2" t="s">
        <v>730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766</v>
      </c>
      <c r="H31">
        <v>0.1</v>
      </c>
      <c r="I31">
        <v>50</v>
      </c>
      <c r="J31" s="2" t="s">
        <v>774</v>
      </c>
      <c r="K31" s="2" t="s">
        <v>775</v>
      </c>
      <c r="L31" s="2" t="s">
        <v>37</v>
      </c>
      <c r="M31" s="2">
        <v>270</v>
      </c>
    </row>
    <row r="32" spans="1:13" x14ac:dyDescent="0.35">
      <c r="A32" s="2" t="s">
        <v>731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767</v>
      </c>
      <c r="H32">
        <v>0.1</v>
      </c>
      <c r="I32">
        <v>50</v>
      </c>
      <c r="J32" s="2" t="s">
        <v>774</v>
      </c>
      <c r="K32" s="2" t="s">
        <v>775</v>
      </c>
      <c r="L32" s="2" t="s">
        <v>37</v>
      </c>
      <c r="M32" s="2">
        <v>330</v>
      </c>
    </row>
    <row r="33" spans="1:13" x14ac:dyDescent="0.35">
      <c r="A33" s="2" t="s">
        <v>732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768</v>
      </c>
      <c r="H33">
        <v>0.1</v>
      </c>
      <c r="I33">
        <v>50</v>
      </c>
      <c r="J33" s="2" t="s">
        <v>774</v>
      </c>
      <c r="K33" s="2" t="s">
        <v>775</v>
      </c>
      <c r="L33" s="2" t="s">
        <v>37</v>
      </c>
      <c r="M33" s="2">
        <v>390</v>
      </c>
    </row>
    <row r="34" spans="1:13" x14ac:dyDescent="0.35">
      <c r="A34" s="2" t="s">
        <v>733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769</v>
      </c>
      <c r="H34">
        <v>0.1</v>
      </c>
      <c r="I34">
        <v>50</v>
      </c>
      <c r="J34" s="2" t="s">
        <v>774</v>
      </c>
      <c r="K34" s="2" t="s">
        <v>775</v>
      </c>
      <c r="L34" s="2" t="s">
        <v>37</v>
      </c>
      <c r="M34" s="2">
        <v>470</v>
      </c>
    </row>
    <row r="35" spans="1:13" x14ac:dyDescent="0.35">
      <c r="A35" s="2" t="s">
        <v>734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770</v>
      </c>
      <c r="H35">
        <v>0.1</v>
      </c>
      <c r="I35">
        <v>50</v>
      </c>
      <c r="J35" s="2" t="s">
        <v>774</v>
      </c>
      <c r="K35" s="2" t="s">
        <v>775</v>
      </c>
      <c r="L35" s="2" t="s">
        <v>37</v>
      </c>
      <c r="M35" s="2">
        <v>560</v>
      </c>
    </row>
    <row r="36" spans="1:13" x14ac:dyDescent="0.35">
      <c r="A36" s="2" t="s">
        <v>735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771</v>
      </c>
      <c r="H36">
        <v>0.1</v>
      </c>
      <c r="I36">
        <v>50</v>
      </c>
      <c r="J36" s="2" t="s">
        <v>774</v>
      </c>
      <c r="K36" s="2" t="s">
        <v>775</v>
      </c>
      <c r="L36" s="2" t="s">
        <v>37</v>
      </c>
      <c r="M36" s="2">
        <v>680</v>
      </c>
    </row>
    <row r="37" spans="1:13" x14ac:dyDescent="0.35">
      <c r="A37" s="2" t="s">
        <v>736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772</v>
      </c>
      <c r="H37">
        <v>0.1</v>
      </c>
      <c r="I37">
        <v>50</v>
      </c>
      <c r="J37" s="2" t="s">
        <v>774</v>
      </c>
      <c r="K37" s="2" t="s">
        <v>775</v>
      </c>
      <c r="L37" s="2" t="s">
        <v>37</v>
      </c>
      <c r="M37" s="2">
        <v>820</v>
      </c>
    </row>
    <row r="38" spans="1:13" x14ac:dyDescent="0.35">
      <c r="A38" s="2" t="s">
        <v>737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773</v>
      </c>
      <c r="H38">
        <v>0.1</v>
      </c>
      <c r="I38">
        <v>50</v>
      </c>
      <c r="J38" s="2" t="s">
        <v>774</v>
      </c>
      <c r="K38" s="2" t="s">
        <v>775</v>
      </c>
      <c r="L38" s="2" t="s">
        <v>37</v>
      </c>
      <c r="M38" s="2">
        <v>1000</v>
      </c>
    </row>
    <row r="39" spans="1:13" x14ac:dyDescent="0.35">
      <c r="A39" s="2" t="s">
        <v>884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774</v>
      </c>
      <c r="K39" s="2" t="s">
        <v>857</v>
      </c>
      <c r="L39" s="2" t="s">
        <v>858</v>
      </c>
      <c r="M39" s="2">
        <v>4700</v>
      </c>
    </row>
    <row r="40" spans="1:13" x14ac:dyDescent="0.35">
      <c r="A40" s="2" t="s">
        <v>886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808</v>
      </c>
      <c r="H40" s="11">
        <v>0.1</v>
      </c>
      <c r="I40">
        <v>35</v>
      </c>
      <c r="J40" s="2" t="s">
        <v>774</v>
      </c>
      <c r="K40" s="2" t="s">
        <v>859</v>
      </c>
      <c r="L40" s="2" t="s">
        <v>860</v>
      </c>
      <c r="M40" s="2">
        <v>10000</v>
      </c>
    </row>
    <row r="41" spans="1:13" x14ac:dyDescent="0.35">
      <c r="A41" s="2" t="s">
        <v>885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810</v>
      </c>
      <c r="H41" s="11">
        <v>0.1</v>
      </c>
      <c r="I41">
        <v>25</v>
      </c>
      <c r="J41" s="2" t="s">
        <v>774</v>
      </c>
      <c r="K41" s="2" t="s">
        <v>859</v>
      </c>
      <c r="L41" s="2" t="s">
        <v>860</v>
      </c>
      <c r="M41" s="2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4"/>
  <sheetViews>
    <sheetView tabSelected="1" zoomScaleNormal="100" workbookViewId="0">
      <selection activeCell="J27" sqref="J2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782</v>
      </c>
      <c r="J1" s="6" t="s">
        <v>12</v>
      </c>
      <c r="K1" s="6" t="s">
        <v>8</v>
      </c>
      <c r="L1" s="9" t="s">
        <v>781</v>
      </c>
      <c r="M1" s="6" t="s">
        <v>13</v>
      </c>
      <c r="N1" s="6" t="s">
        <v>9</v>
      </c>
    </row>
    <row r="2" spans="1:14" x14ac:dyDescent="0.35">
      <c r="A2" s="2" t="s">
        <v>783</v>
      </c>
      <c r="B2" s="2" t="s">
        <v>802</v>
      </c>
      <c r="C2" s="2" t="s">
        <v>27</v>
      </c>
      <c r="D2" s="2" t="s">
        <v>803</v>
      </c>
      <c r="E2" s="2" t="s">
        <v>39</v>
      </c>
      <c r="F2" s="2" t="s">
        <v>773</v>
      </c>
      <c r="G2">
        <v>0.1</v>
      </c>
      <c r="H2">
        <v>50</v>
      </c>
      <c r="I2" s="2" t="s">
        <v>821</v>
      </c>
      <c r="J2" s="2" t="s">
        <v>822</v>
      </c>
      <c r="K2" s="2" t="s">
        <v>123</v>
      </c>
      <c r="L2">
        <v>1</v>
      </c>
    </row>
    <row r="3" spans="1:14" x14ac:dyDescent="0.35">
      <c r="A3" s="2" t="s">
        <v>784</v>
      </c>
      <c r="B3" s="2" t="s">
        <v>802</v>
      </c>
      <c r="C3" s="2" t="s">
        <v>27</v>
      </c>
      <c r="D3" s="2" t="s">
        <v>803</v>
      </c>
      <c r="E3" s="2" t="s">
        <v>39</v>
      </c>
      <c r="F3" s="2" t="s">
        <v>804</v>
      </c>
      <c r="G3">
        <v>0.1</v>
      </c>
      <c r="H3">
        <v>50</v>
      </c>
      <c r="I3" s="2" t="s">
        <v>821</v>
      </c>
      <c r="J3" s="2" t="s">
        <v>822</v>
      </c>
      <c r="K3" s="2" t="s">
        <v>123</v>
      </c>
      <c r="L3">
        <v>1.5</v>
      </c>
    </row>
    <row r="4" spans="1:14" x14ac:dyDescent="0.35">
      <c r="A4" s="2" t="s">
        <v>785</v>
      </c>
      <c r="B4" s="2" t="s">
        <v>802</v>
      </c>
      <c r="C4" s="2" t="s">
        <v>27</v>
      </c>
      <c r="D4" s="2" t="s">
        <v>803</v>
      </c>
      <c r="E4" s="2" t="s">
        <v>39</v>
      </c>
      <c r="F4" s="2" t="s">
        <v>805</v>
      </c>
      <c r="G4">
        <v>0.1</v>
      </c>
      <c r="H4">
        <v>50</v>
      </c>
      <c r="I4" s="2" t="s">
        <v>821</v>
      </c>
      <c r="J4" s="2" t="s">
        <v>822</v>
      </c>
      <c r="K4" s="2" t="s">
        <v>123</v>
      </c>
      <c r="L4">
        <v>2.2000000000000002</v>
      </c>
    </row>
    <row r="5" spans="1:14" x14ac:dyDescent="0.35">
      <c r="A5" s="2" t="s">
        <v>786</v>
      </c>
      <c r="B5" s="2" t="s">
        <v>802</v>
      </c>
      <c r="C5" s="2" t="s">
        <v>27</v>
      </c>
      <c r="D5" s="2" t="s">
        <v>803</v>
      </c>
      <c r="E5" s="2" t="s">
        <v>39</v>
      </c>
      <c r="F5" s="2" t="s">
        <v>806</v>
      </c>
      <c r="G5">
        <v>0.1</v>
      </c>
      <c r="H5">
        <v>50</v>
      </c>
      <c r="I5" s="2" t="s">
        <v>821</v>
      </c>
      <c r="J5" s="2" t="s">
        <v>822</v>
      </c>
      <c r="K5" s="2" t="s">
        <v>123</v>
      </c>
      <c r="L5">
        <v>3.3</v>
      </c>
    </row>
    <row r="6" spans="1:14" x14ac:dyDescent="0.35">
      <c r="A6" s="2" t="s">
        <v>787</v>
      </c>
      <c r="B6" s="2" t="s">
        <v>802</v>
      </c>
      <c r="C6" s="2" t="s">
        <v>27</v>
      </c>
      <c r="D6" s="2" t="s">
        <v>803</v>
      </c>
      <c r="E6" s="2" t="s">
        <v>39</v>
      </c>
      <c r="F6" s="2" t="s">
        <v>41</v>
      </c>
      <c r="G6">
        <v>0.1</v>
      </c>
      <c r="H6">
        <v>50</v>
      </c>
      <c r="I6" s="2" t="s">
        <v>821</v>
      </c>
      <c r="J6" s="2" t="s">
        <v>822</v>
      </c>
      <c r="K6" s="2" t="s">
        <v>123</v>
      </c>
      <c r="L6">
        <v>4.7</v>
      </c>
    </row>
    <row r="7" spans="1:14" x14ac:dyDescent="0.35">
      <c r="A7" s="2" t="s">
        <v>788</v>
      </c>
      <c r="B7" s="2" t="s">
        <v>802</v>
      </c>
      <c r="C7" s="2" t="s">
        <v>27</v>
      </c>
      <c r="D7" s="2" t="s">
        <v>803</v>
      </c>
      <c r="E7" s="2" t="s">
        <v>39</v>
      </c>
      <c r="F7" s="2" t="s">
        <v>807</v>
      </c>
      <c r="G7">
        <v>0.1</v>
      </c>
      <c r="H7">
        <v>50</v>
      </c>
      <c r="I7" s="2" t="s">
        <v>821</v>
      </c>
      <c r="J7" s="2" t="s">
        <v>822</v>
      </c>
      <c r="K7" s="2" t="s">
        <v>123</v>
      </c>
      <c r="L7">
        <v>6.8</v>
      </c>
    </row>
    <row r="8" spans="1:14" x14ac:dyDescent="0.35">
      <c r="A8" s="2" t="s">
        <v>789</v>
      </c>
      <c r="B8" s="2" t="s">
        <v>802</v>
      </c>
      <c r="C8" s="2" t="s">
        <v>27</v>
      </c>
      <c r="D8" s="2" t="s">
        <v>803</v>
      </c>
      <c r="E8" s="2" t="s">
        <v>39</v>
      </c>
      <c r="F8" s="2" t="s">
        <v>808</v>
      </c>
      <c r="G8">
        <v>0.1</v>
      </c>
      <c r="H8">
        <v>50</v>
      </c>
      <c r="I8" s="2" t="s">
        <v>821</v>
      </c>
      <c r="J8" s="2" t="s">
        <v>822</v>
      </c>
      <c r="K8" s="2" t="s">
        <v>123</v>
      </c>
      <c r="L8">
        <v>10</v>
      </c>
    </row>
    <row r="9" spans="1:14" x14ac:dyDescent="0.35">
      <c r="A9" s="2" t="s">
        <v>790</v>
      </c>
      <c r="B9" s="2" t="s">
        <v>802</v>
      </c>
      <c r="C9" s="2" t="s">
        <v>27</v>
      </c>
      <c r="D9" s="2" t="s">
        <v>803</v>
      </c>
      <c r="E9" s="2" t="s">
        <v>39</v>
      </c>
      <c r="F9" s="2" t="s">
        <v>809</v>
      </c>
      <c r="G9">
        <v>0.1</v>
      </c>
      <c r="H9">
        <v>50</v>
      </c>
      <c r="I9" s="2" t="s">
        <v>821</v>
      </c>
      <c r="J9" s="2" t="s">
        <v>822</v>
      </c>
      <c r="K9" s="2" t="s">
        <v>123</v>
      </c>
      <c r="L9">
        <v>15</v>
      </c>
    </row>
    <row r="10" spans="1:14" x14ac:dyDescent="0.35">
      <c r="A10" s="2" t="s">
        <v>791</v>
      </c>
      <c r="B10" s="2" t="s">
        <v>802</v>
      </c>
      <c r="C10" s="2" t="s">
        <v>27</v>
      </c>
      <c r="D10" s="2" t="s">
        <v>803</v>
      </c>
      <c r="E10" s="2" t="s">
        <v>39</v>
      </c>
      <c r="F10" s="2" t="s">
        <v>810</v>
      </c>
      <c r="G10">
        <v>0.1</v>
      </c>
      <c r="H10">
        <v>50</v>
      </c>
      <c r="I10" s="2" t="s">
        <v>821</v>
      </c>
      <c r="J10" s="2" t="s">
        <v>822</v>
      </c>
      <c r="K10" s="2" t="s">
        <v>123</v>
      </c>
      <c r="L10">
        <v>22</v>
      </c>
    </row>
    <row r="11" spans="1:14" x14ac:dyDescent="0.35">
      <c r="A11" s="2" t="s">
        <v>792</v>
      </c>
      <c r="B11" s="2" t="s">
        <v>802</v>
      </c>
      <c r="C11" s="2" t="s">
        <v>27</v>
      </c>
      <c r="D11" s="2" t="s">
        <v>803</v>
      </c>
      <c r="E11" s="2" t="s">
        <v>39</v>
      </c>
      <c r="F11" s="2" t="s">
        <v>811</v>
      </c>
      <c r="G11">
        <v>0.1</v>
      </c>
      <c r="H11">
        <v>50</v>
      </c>
      <c r="I11" s="2" t="s">
        <v>821</v>
      </c>
      <c r="J11" s="2" t="s">
        <v>822</v>
      </c>
      <c r="K11" s="2" t="s">
        <v>123</v>
      </c>
      <c r="L11">
        <v>33</v>
      </c>
    </row>
    <row r="12" spans="1:14" x14ac:dyDescent="0.35">
      <c r="A12" s="2" t="s">
        <v>793</v>
      </c>
      <c r="B12" s="2" t="s">
        <v>802</v>
      </c>
      <c r="C12" s="2" t="s">
        <v>27</v>
      </c>
      <c r="D12" s="2" t="s">
        <v>803</v>
      </c>
      <c r="E12" s="2" t="s">
        <v>39</v>
      </c>
      <c r="F12" s="2" t="s">
        <v>812</v>
      </c>
      <c r="G12">
        <v>0.1</v>
      </c>
      <c r="H12">
        <v>50</v>
      </c>
      <c r="I12" s="2" t="s">
        <v>821</v>
      </c>
      <c r="J12" s="2" t="s">
        <v>822</v>
      </c>
      <c r="K12" s="2" t="s">
        <v>123</v>
      </c>
      <c r="L12">
        <v>47</v>
      </c>
    </row>
    <row r="13" spans="1:14" x14ac:dyDescent="0.35">
      <c r="A13" s="2" t="s">
        <v>794</v>
      </c>
      <c r="B13" s="2" t="s">
        <v>802</v>
      </c>
      <c r="C13" s="2" t="s">
        <v>27</v>
      </c>
      <c r="D13" s="2" t="s">
        <v>803</v>
      </c>
      <c r="E13" s="2" t="s">
        <v>39</v>
      </c>
      <c r="F13" s="2" t="s">
        <v>813</v>
      </c>
      <c r="G13">
        <v>0.1</v>
      </c>
      <c r="H13">
        <v>50</v>
      </c>
      <c r="I13" s="2" t="s">
        <v>821</v>
      </c>
      <c r="J13" s="2" t="s">
        <v>822</v>
      </c>
      <c r="K13" s="2" t="s">
        <v>123</v>
      </c>
      <c r="L13">
        <v>68</v>
      </c>
    </row>
    <row r="14" spans="1:14" x14ac:dyDescent="0.35">
      <c r="A14" s="2" t="s">
        <v>795</v>
      </c>
      <c r="B14" s="2" t="s">
        <v>802</v>
      </c>
      <c r="C14" s="2" t="s">
        <v>27</v>
      </c>
      <c r="D14" s="2" t="s">
        <v>803</v>
      </c>
      <c r="E14" s="2" t="s">
        <v>39</v>
      </c>
      <c r="F14" s="2" t="s">
        <v>814</v>
      </c>
      <c r="G14">
        <v>0.1</v>
      </c>
      <c r="H14">
        <v>50</v>
      </c>
      <c r="I14" s="2" t="s">
        <v>821</v>
      </c>
      <c r="J14" s="2" t="s">
        <v>822</v>
      </c>
      <c r="K14" s="2" t="s">
        <v>123</v>
      </c>
      <c r="L14">
        <v>100</v>
      </c>
    </row>
    <row r="15" spans="1:14" x14ac:dyDescent="0.35">
      <c r="A15" s="2" t="s">
        <v>796</v>
      </c>
      <c r="B15" s="2" t="s">
        <v>802</v>
      </c>
      <c r="C15" s="2" t="s">
        <v>27</v>
      </c>
      <c r="D15" s="2" t="s">
        <v>803</v>
      </c>
      <c r="E15" s="2" t="s">
        <v>39</v>
      </c>
      <c r="F15" s="2" t="s">
        <v>815</v>
      </c>
      <c r="G15">
        <v>0.1</v>
      </c>
      <c r="H15">
        <v>50</v>
      </c>
      <c r="I15" s="2" t="s">
        <v>821</v>
      </c>
      <c r="J15" s="2" t="s">
        <v>822</v>
      </c>
      <c r="K15" s="2" t="s">
        <v>123</v>
      </c>
      <c r="L15">
        <v>150</v>
      </c>
    </row>
    <row r="16" spans="1:14" x14ac:dyDescent="0.35">
      <c r="A16" s="2" t="s">
        <v>797</v>
      </c>
      <c r="B16" s="2" t="s">
        <v>802</v>
      </c>
      <c r="C16" s="2" t="s">
        <v>27</v>
      </c>
      <c r="D16" s="2" t="s">
        <v>803</v>
      </c>
      <c r="E16" s="2" t="s">
        <v>39</v>
      </c>
      <c r="F16" s="2" t="s">
        <v>816</v>
      </c>
      <c r="G16">
        <v>0.1</v>
      </c>
      <c r="H16">
        <v>50</v>
      </c>
      <c r="I16" s="2" t="s">
        <v>821</v>
      </c>
      <c r="J16" s="2" t="s">
        <v>822</v>
      </c>
      <c r="K16" s="2" t="s">
        <v>123</v>
      </c>
      <c r="L16">
        <v>220</v>
      </c>
    </row>
    <row r="17" spans="1:14" x14ac:dyDescent="0.35">
      <c r="A17" s="2" t="s">
        <v>798</v>
      </c>
      <c r="B17" s="2" t="s">
        <v>802</v>
      </c>
      <c r="C17" s="2" t="s">
        <v>27</v>
      </c>
      <c r="D17" s="2" t="s">
        <v>803</v>
      </c>
      <c r="E17" s="2" t="s">
        <v>39</v>
      </c>
      <c r="F17" s="2" t="s">
        <v>817</v>
      </c>
      <c r="G17">
        <v>0.1</v>
      </c>
      <c r="H17">
        <v>50</v>
      </c>
      <c r="I17" s="2" t="s">
        <v>821</v>
      </c>
      <c r="J17" s="2" t="s">
        <v>822</v>
      </c>
      <c r="K17" s="2" t="s">
        <v>123</v>
      </c>
      <c r="L17">
        <v>330</v>
      </c>
    </row>
    <row r="18" spans="1:14" x14ac:dyDescent="0.35">
      <c r="A18" s="2" t="s">
        <v>799</v>
      </c>
      <c r="B18" s="2" t="s">
        <v>802</v>
      </c>
      <c r="C18" s="2" t="s">
        <v>27</v>
      </c>
      <c r="D18" s="2" t="s">
        <v>803</v>
      </c>
      <c r="E18" s="2" t="s">
        <v>39</v>
      </c>
      <c r="F18" s="2" t="s">
        <v>818</v>
      </c>
      <c r="G18">
        <v>0.1</v>
      </c>
      <c r="H18">
        <v>50</v>
      </c>
      <c r="I18" s="2" t="s">
        <v>821</v>
      </c>
      <c r="J18" s="2" t="s">
        <v>822</v>
      </c>
      <c r="K18" s="2" t="s">
        <v>123</v>
      </c>
      <c r="L18">
        <v>470</v>
      </c>
    </row>
    <row r="19" spans="1:14" x14ac:dyDescent="0.35">
      <c r="A19" s="2" t="s">
        <v>800</v>
      </c>
      <c r="B19" s="2" t="s">
        <v>802</v>
      </c>
      <c r="C19" s="2" t="s">
        <v>27</v>
      </c>
      <c r="D19" s="2" t="s">
        <v>803</v>
      </c>
      <c r="E19" s="2" t="s">
        <v>39</v>
      </c>
      <c r="F19" s="2" t="s">
        <v>819</v>
      </c>
      <c r="G19">
        <v>0.1</v>
      </c>
      <c r="H19">
        <v>50</v>
      </c>
      <c r="I19" s="2" t="s">
        <v>821</v>
      </c>
      <c r="J19" s="2" t="s">
        <v>822</v>
      </c>
      <c r="K19" s="2" t="s">
        <v>123</v>
      </c>
      <c r="L19">
        <v>680</v>
      </c>
    </row>
    <row r="20" spans="1:14" x14ac:dyDescent="0.35">
      <c r="A20" s="2" t="s">
        <v>801</v>
      </c>
      <c r="B20" s="2" t="s">
        <v>802</v>
      </c>
      <c r="C20" s="2" t="s">
        <v>27</v>
      </c>
      <c r="D20" s="2" t="s">
        <v>803</v>
      </c>
      <c r="E20" s="2" t="s">
        <v>39</v>
      </c>
      <c r="F20" s="2" t="s">
        <v>820</v>
      </c>
      <c r="G20">
        <v>0.1</v>
      </c>
      <c r="H20">
        <v>50</v>
      </c>
      <c r="I20" s="2" t="s">
        <v>821</v>
      </c>
      <c r="J20" s="2" t="s">
        <v>822</v>
      </c>
      <c r="K20" s="2" t="s">
        <v>123</v>
      </c>
      <c r="L20">
        <v>1000</v>
      </c>
    </row>
    <row r="21" spans="1:14" x14ac:dyDescent="0.35">
      <c r="A21" s="2" t="s">
        <v>912</v>
      </c>
      <c r="B21" t="s">
        <v>908</v>
      </c>
      <c r="C21" s="2" t="s">
        <v>27</v>
      </c>
      <c r="D21" s="2" t="s">
        <v>803</v>
      </c>
      <c r="E21" s="2" t="s">
        <v>39</v>
      </c>
      <c r="F21" s="2" t="s">
        <v>909</v>
      </c>
      <c r="G21">
        <v>20</v>
      </c>
      <c r="H21">
        <v>10</v>
      </c>
      <c r="I21" t="s">
        <v>910</v>
      </c>
      <c r="J21" s="2" t="s">
        <v>911</v>
      </c>
      <c r="K21" t="s">
        <v>907</v>
      </c>
      <c r="L21">
        <v>2200</v>
      </c>
      <c r="M21" s="2" t="s">
        <v>966</v>
      </c>
      <c r="N21" t="s">
        <v>967</v>
      </c>
    </row>
    <row r="22" spans="1:14" x14ac:dyDescent="0.35">
      <c r="A22" t="s">
        <v>918</v>
      </c>
      <c r="B22" t="s">
        <v>919</v>
      </c>
      <c r="C22" s="2" t="s">
        <v>27</v>
      </c>
      <c r="D22" s="2" t="s">
        <v>803</v>
      </c>
      <c r="E22" s="2" t="s">
        <v>39</v>
      </c>
      <c r="F22" s="2" t="s">
        <v>820</v>
      </c>
      <c r="G22">
        <v>20</v>
      </c>
      <c r="H22">
        <v>25</v>
      </c>
      <c r="I22" t="s">
        <v>1081</v>
      </c>
      <c r="J22" s="2" t="s">
        <v>920</v>
      </c>
      <c r="K22" t="s">
        <v>921</v>
      </c>
      <c r="L22">
        <v>1000</v>
      </c>
    </row>
    <row r="23" spans="1:14" x14ac:dyDescent="0.35">
      <c r="A23" t="s">
        <v>1082</v>
      </c>
      <c r="B23" t="s">
        <v>919</v>
      </c>
      <c r="C23" s="2" t="s">
        <v>27</v>
      </c>
      <c r="D23" s="2" t="s">
        <v>803</v>
      </c>
      <c r="E23" s="2" t="s">
        <v>39</v>
      </c>
      <c r="F23" s="2" t="s">
        <v>820</v>
      </c>
      <c r="G23">
        <v>20</v>
      </c>
      <c r="H23">
        <v>35</v>
      </c>
      <c r="I23" t="s">
        <v>1081</v>
      </c>
      <c r="J23" s="2" t="s">
        <v>1080</v>
      </c>
      <c r="K23" t="s">
        <v>1079</v>
      </c>
      <c r="L23">
        <v>1000</v>
      </c>
    </row>
    <row r="24" spans="1:14" x14ac:dyDescent="0.35">
      <c r="A24" t="s">
        <v>1108</v>
      </c>
      <c r="B24" t="s">
        <v>1109</v>
      </c>
      <c r="C24" s="2" t="s">
        <v>27</v>
      </c>
      <c r="D24" s="2" t="s">
        <v>803</v>
      </c>
      <c r="E24" s="2" t="s">
        <v>39</v>
      </c>
      <c r="F24" t="s">
        <v>1110</v>
      </c>
      <c r="G24">
        <v>20</v>
      </c>
      <c r="H24">
        <v>400</v>
      </c>
      <c r="I24" t="s">
        <v>910</v>
      </c>
      <c r="J24" s="2" t="s">
        <v>1114</v>
      </c>
      <c r="K24" t="s">
        <v>1115</v>
      </c>
      <c r="L24">
        <v>3.3</v>
      </c>
      <c r="M24" s="2" t="s">
        <v>1113</v>
      </c>
      <c r="N24" t="s">
        <v>1112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3"/>
  <sheetViews>
    <sheetView zoomScaleNormal="100" workbookViewId="0">
      <selection activeCell="B21" sqref="B21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837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6" x14ac:dyDescent="0.35">
      <c r="A4" s="2" t="s">
        <v>836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838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869</v>
      </c>
      <c r="B5" t="s">
        <v>870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871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6" x14ac:dyDescent="0.35">
      <c r="A6" t="s">
        <v>896</v>
      </c>
      <c r="B6" t="s">
        <v>897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6" x14ac:dyDescent="0.35">
      <c r="A7" t="s">
        <v>955</v>
      </c>
      <c r="B7" t="s">
        <v>1039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1047</v>
      </c>
      <c r="P7" t="str">
        <f t="shared" si="2"/>
        <v>22 мк</v>
      </c>
    </row>
    <row r="8" spans="1:16" x14ac:dyDescent="0.35">
      <c r="A8" t="s">
        <v>1040</v>
      </c>
      <c r="B8" t="s">
        <v>1038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6" x14ac:dyDescent="0.35">
      <c r="A9" t="s">
        <v>1048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1049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1051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1052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6" x14ac:dyDescent="0.35">
      <c r="A11" t="s">
        <v>1089</v>
      </c>
      <c r="B11" t="s">
        <v>1090</v>
      </c>
      <c r="C11" t="str">
        <f>A11</f>
        <v>M20VN</v>
      </c>
      <c r="D11" s="2" t="s">
        <v>1091</v>
      </c>
      <c r="E11" s="2" t="s">
        <v>1089</v>
      </c>
      <c r="F11" s="2" t="str">
        <f>CONCATENATE("Footprints\Inductance\",G11,".PcbLib")</f>
        <v>Footprints\Inductance\M20VN.PcbLib</v>
      </c>
      <c r="G11" s="2" t="s">
        <v>1089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1092</v>
      </c>
    </row>
    <row r="12" spans="1:16" x14ac:dyDescent="0.35">
      <c r="A12" t="s">
        <v>1105</v>
      </c>
      <c r="B12" t="s">
        <v>1106</v>
      </c>
      <c r="C12" t="str">
        <f>A12</f>
        <v>IHLP4040DZER470M11</v>
      </c>
      <c r="D12" s="2" t="s">
        <v>104</v>
      </c>
      <c r="E12" s="2" t="s">
        <v>102</v>
      </c>
      <c r="F12" s="2" t="str">
        <f>CONCATENATE("Footprints\Inductance\",G12,".PcbLib")</f>
        <v>Footprints\Inductance\IHLP-4040.PcbLib</v>
      </c>
      <c r="G12" s="2" t="s">
        <v>341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6" x14ac:dyDescent="0.35">
      <c r="A13" t="s">
        <v>1107</v>
      </c>
      <c r="B13" t="s">
        <v>1111</v>
      </c>
      <c r="C13" t="str">
        <f>A13</f>
        <v>IHLP4040DZER101M11</v>
      </c>
      <c r="D13" s="2" t="s">
        <v>104</v>
      </c>
      <c r="E13" s="2" t="s">
        <v>102</v>
      </c>
      <c r="F13" s="2" t="str">
        <f>CONCATENATE("Footprints\Inductance\",G13,".PcbLib")</f>
        <v>Footprints\Inductance\IHLP-4040.PcbLib</v>
      </c>
      <c r="G13" s="2" t="s">
        <v>341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1003</v>
      </c>
      <c r="J6" s="2" t="str">
        <f t="shared" ref="J6" si="1">CONCATENATE("Footprints\",K6,".PcbLib")</f>
        <v>Footprints\0805SB_wide_gap.PcbLib</v>
      </c>
      <c r="K6" s="2" t="s">
        <v>1053</v>
      </c>
    </row>
    <row r="7" spans="1:20" x14ac:dyDescent="0.35">
      <c r="A7" s="2" t="s">
        <v>880</v>
      </c>
      <c r="B7" s="2" t="s">
        <v>881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882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904</v>
      </c>
      <c r="B8" s="2" t="s">
        <v>903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882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916</v>
      </c>
      <c r="B9" s="2" t="s">
        <v>914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915</v>
      </c>
      <c r="F9" s="2" t="str">
        <f t="shared" si="0"/>
        <v>Footprints\fuse_20x5_on_clips_FC-M.PcbLib</v>
      </c>
      <c r="G9" s="2" t="s">
        <v>913</v>
      </c>
      <c r="H9" s="2"/>
      <c r="I9" s="2"/>
      <c r="J9" s="2"/>
      <c r="K9" s="2"/>
    </row>
    <row r="10" spans="1:20" x14ac:dyDescent="0.35">
      <c r="A10" s="2" t="s">
        <v>961</v>
      </c>
      <c r="B10" s="2" t="s">
        <v>962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961</v>
      </c>
      <c r="H10" s="2"/>
      <c r="I10" s="2"/>
      <c r="J10" s="2"/>
      <c r="K10" s="2"/>
    </row>
    <row r="11" spans="1:20" x14ac:dyDescent="0.35">
      <c r="A11" s="2" t="s">
        <v>992</v>
      </c>
      <c r="B11" s="2" t="s">
        <v>993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992</v>
      </c>
      <c r="H11" s="2"/>
      <c r="I11" s="2"/>
      <c r="J11" s="2"/>
      <c r="K11" s="2"/>
    </row>
    <row r="12" spans="1:20" x14ac:dyDescent="0.35">
      <c r="A12" s="2" t="s">
        <v>1041</v>
      </c>
      <c r="B12" s="2" t="s">
        <v>1042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992</v>
      </c>
      <c r="F12" s="2" t="str">
        <f t="shared" ref="F12" si="4">CONCATENATE("Footprints\",G12,".PcbLib")</f>
        <v>Footprints\cooler3030.PcbLib</v>
      </c>
      <c r="G12" s="2" t="s">
        <v>1041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1063</v>
      </c>
      <c r="B4" t="s">
        <v>110</v>
      </c>
      <c r="C4" s="2" t="s">
        <v>1063</v>
      </c>
      <c r="D4" t="s">
        <v>354</v>
      </c>
      <c r="E4" s="2" t="s">
        <v>115</v>
      </c>
      <c r="F4" s="18" t="s">
        <v>1064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1026</v>
      </c>
      <c r="B7" t="s">
        <v>120</v>
      </c>
      <c r="C7" s="2" t="s">
        <v>1026</v>
      </c>
      <c r="D7" t="s">
        <v>835</v>
      </c>
      <c r="E7" s="2" t="s">
        <v>833</v>
      </c>
      <c r="F7" t="s">
        <v>1027</v>
      </c>
      <c r="G7" t="s">
        <v>1026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832</v>
      </c>
      <c r="C9" s="2" t="s">
        <v>337</v>
      </c>
      <c r="D9" t="s">
        <v>1025</v>
      </c>
      <c r="E9" t="s">
        <v>1024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830</v>
      </c>
      <c r="B13" t="s">
        <v>831</v>
      </c>
      <c r="C13" s="2"/>
      <c r="D13" t="s">
        <v>835</v>
      </c>
      <c r="E13" t="s">
        <v>833</v>
      </c>
      <c r="F13" t="s">
        <v>834</v>
      </c>
      <c r="G13" t="s">
        <v>830</v>
      </c>
    </row>
    <row r="14" spans="1:9" x14ac:dyDescent="0.35">
      <c r="A14" t="s">
        <v>861</v>
      </c>
      <c r="B14" t="s">
        <v>862</v>
      </c>
      <c r="C14" s="2" t="s">
        <v>863</v>
      </c>
      <c r="D14" t="s">
        <v>864</v>
      </c>
      <c r="E14" t="s">
        <v>863</v>
      </c>
      <c r="F14" t="s">
        <v>865</v>
      </c>
      <c r="G14" t="s">
        <v>863</v>
      </c>
    </row>
    <row r="15" spans="1:9" x14ac:dyDescent="0.35">
      <c r="A15" t="s">
        <v>930</v>
      </c>
      <c r="B15" t="s">
        <v>933</v>
      </c>
      <c r="C15" s="2" t="s">
        <v>930</v>
      </c>
      <c r="D15" t="s">
        <v>931</v>
      </c>
      <c r="E15" t="s">
        <v>930</v>
      </c>
      <c r="F15" t="s">
        <v>932</v>
      </c>
      <c r="G15" t="s">
        <v>930</v>
      </c>
    </row>
    <row r="16" spans="1:9" x14ac:dyDescent="0.35">
      <c r="A16" t="s">
        <v>978</v>
      </c>
      <c r="B16" t="s">
        <v>986</v>
      </c>
      <c r="C16" s="2" t="s">
        <v>979</v>
      </c>
      <c r="D16" t="s">
        <v>980</v>
      </c>
      <c r="E16" t="s">
        <v>978</v>
      </c>
      <c r="F16" t="s">
        <v>981</v>
      </c>
      <c r="G16" t="s">
        <v>978</v>
      </c>
    </row>
    <row r="17" spans="1:7" x14ac:dyDescent="0.35">
      <c r="A17" t="s">
        <v>982</v>
      </c>
      <c r="B17" t="s">
        <v>985</v>
      </c>
      <c r="C17" s="2" t="s">
        <v>983</v>
      </c>
      <c r="D17" t="s">
        <v>984</v>
      </c>
      <c r="E17" t="s">
        <v>982</v>
      </c>
      <c r="F17" t="s">
        <v>987</v>
      </c>
      <c r="G17" t="s">
        <v>988</v>
      </c>
    </row>
    <row r="18" spans="1:7" x14ac:dyDescent="0.35">
      <c r="A18" t="s">
        <v>989</v>
      </c>
      <c r="B18" t="s">
        <v>990</v>
      </c>
      <c r="C18" s="2" t="s">
        <v>989</v>
      </c>
      <c r="D18" t="s">
        <v>350</v>
      </c>
      <c r="E18" t="s">
        <v>113</v>
      </c>
      <c r="F18" t="s">
        <v>991</v>
      </c>
      <c r="G18" t="s">
        <v>989</v>
      </c>
    </row>
    <row r="19" spans="1:7" x14ac:dyDescent="0.35">
      <c r="A19" t="s">
        <v>994</v>
      </c>
      <c r="B19" t="s">
        <v>998</v>
      </c>
      <c r="C19" s="2" t="s">
        <v>995</v>
      </c>
      <c r="D19" t="s">
        <v>996</v>
      </c>
      <c r="E19" t="s">
        <v>994</v>
      </c>
      <c r="F19" t="s">
        <v>997</v>
      </c>
      <c r="G19" t="s">
        <v>994</v>
      </c>
    </row>
    <row r="20" spans="1:7" x14ac:dyDescent="0.35">
      <c r="A20" t="s">
        <v>1001</v>
      </c>
      <c r="B20" t="s">
        <v>985</v>
      </c>
      <c r="C20" s="2" t="s">
        <v>1002</v>
      </c>
      <c r="D20" t="s">
        <v>984</v>
      </c>
      <c r="E20" t="s">
        <v>982</v>
      </c>
      <c r="F20" t="s">
        <v>1000</v>
      </c>
      <c r="G20" t="s">
        <v>999</v>
      </c>
    </row>
    <row r="21" spans="1:7" x14ac:dyDescent="0.35">
      <c r="A21" t="s">
        <v>1004</v>
      </c>
      <c r="B21" t="s">
        <v>1008</v>
      </c>
      <c r="C21" s="2" t="s">
        <v>1004</v>
      </c>
      <c r="D21" t="s">
        <v>357</v>
      </c>
      <c r="E21" t="s">
        <v>119</v>
      </c>
      <c r="F21" t="s">
        <v>1005</v>
      </c>
      <c r="G21" t="s">
        <v>1004</v>
      </c>
    </row>
    <row r="22" spans="1:7" x14ac:dyDescent="0.35">
      <c r="A22" t="s">
        <v>1007</v>
      </c>
      <c r="B22" t="s">
        <v>1006</v>
      </c>
      <c r="C22" s="2" t="s">
        <v>1007</v>
      </c>
      <c r="D22" t="s">
        <v>354</v>
      </c>
      <c r="E22" t="s">
        <v>115</v>
      </c>
      <c r="F22" t="s">
        <v>1009</v>
      </c>
      <c r="G22" t="s">
        <v>1007</v>
      </c>
    </row>
    <row r="23" spans="1:7" x14ac:dyDescent="0.35">
      <c r="A23" t="s">
        <v>1010</v>
      </c>
      <c r="B23" t="s">
        <v>1011</v>
      </c>
      <c r="C23" s="2" t="s">
        <v>1010</v>
      </c>
      <c r="D23" t="s">
        <v>355</v>
      </c>
      <c r="E23" t="s">
        <v>116</v>
      </c>
      <c r="F23" t="s">
        <v>1012</v>
      </c>
      <c r="G23" t="s">
        <v>1010</v>
      </c>
    </row>
    <row r="24" spans="1:7" x14ac:dyDescent="0.35">
      <c r="A24" t="s">
        <v>1014</v>
      </c>
      <c r="B24" t="s">
        <v>1013</v>
      </c>
      <c r="C24" s="2" t="s">
        <v>1014</v>
      </c>
      <c r="D24" t="s">
        <v>357</v>
      </c>
      <c r="E24" t="s">
        <v>119</v>
      </c>
      <c r="F24" t="s">
        <v>1017</v>
      </c>
      <c r="G24" t="s">
        <v>1014</v>
      </c>
    </row>
    <row r="25" spans="1:7" x14ac:dyDescent="0.35">
      <c r="A25" t="s">
        <v>1020</v>
      </c>
      <c r="B25" t="s">
        <v>1023</v>
      </c>
      <c r="C25" s="2" t="s">
        <v>1020</v>
      </c>
      <c r="D25" t="s">
        <v>354</v>
      </c>
      <c r="E25" t="s">
        <v>115</v>
      </c>
      <c r="F25" t="s">
        <v>1018</v>
      </c>
      <c r="G25" t="s">
        <v>1020</v>
      </c>
    </row>
    <row r="26" spans="1:7" x14ac:dyDescent="0.35">
      <c r="A26" t="s">
        <v>1021</v>
      </c>
      <c r="B26" t="s">
        <v>1022</v>
      </c>
      <c r="C26" s="2" t="s">
        <v>1021</v>
      </c>
      <c r="D26" t="s">
        <v>1015</v>
      </c>
      <c r="E26" t="s">
        <v>1016</v>
      </c>
      <c r="F26" t="s">
        <v>1019</v>
      </c>
      <c r="G26" t="s">
        <v>1021</v>
      </c>
    </row>
    <row r="27" spans="1:7" x14ac:dyDescent="0.35">
      <c r="A27" t="s">
        <v>1062</v>
      </c>
      <c r="B27" t="s">
        <v>1061</v>
      </c>
      <c r="C27" s="2" t="s">
        <v>1062</v>
      </c>
      <c r="D27" s="18" t="s">
        <v>359</v>
      </c>
      <c r="E27" s="2" t="s">
        <v>121</v>
      </c>
      <c r="F27" s="18" t="s">
        <v>1064</v>
      </c>
      <c r="G27" t="s">
        <v>1060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2025-05-05T17:05:28Z</dcterms:modified>
</cp:coreProperties>
</file>