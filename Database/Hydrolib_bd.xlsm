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8E6EB48D-9336-46F0-83E2-61003A672434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Chips" sheetId="1" r:id="rId1"/>
    <sheet name="Zener" sheetId="7" r:id="rId2"/>
    <sheet name="TVS" sheetId="8" r:id="rId3"/>
    <sheet name="Transistors" sheetId="4" r:id="rId4"/>
    <sheet name="Resistors" sheetId="2" r:id="rId5"/>
    <sheet name="Capacitors" sheetId="3" r:id="rId6"/>
    <sheet name="Other" sheetId="5" r:id="rId7"/>
    <sheet name="Connectors" sheetId="6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8" l="1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F3" i="6"/>
  <c r="G2" i="6"/>
  <c r="C3" i="6"/>
  <c r="D3" i="6"/>
  <c r="E3" i="6"/>
  <c r="F2" i="6"/>
  <c r="D2" i="6"/>
  <c r="E2" i="6"/>
  <c r="C2" i="6"/>
  <c r="F5" i="5"/>
  <c r="E5" i="5"/>
  <c r="D5" i="5"/>
  <c r="C5" i="5"/>
  <c r="F3" i="5"/>
  <c r="E4" i="5"/>
  <c r="D4" i="5"/>
  <c r="C4" i="5"/>
  <c r="F2" i="5"/>
  <c r="E3" i="5"/>
  <c r="D3" i="5"/>
  <c r="C3" i="5"/>
  <c r="I6" i="4"/>
  <c r="I3" i="4"/>
  <c r="I2" i="4"/>
  <c r="G3" i="4"/>
  <c r="G4" i="4"/>
  <c r="G5" i="4"/>
  <c r="G6" i="4"/>
  <c r="G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sharedStrings.xml><?xml version="1.0" encoding="utf-8"?>
<sst xmlns="http://schemas.openxmlformats.org/spreadsheetml/2006/main" count="196" uniqueCount="101">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</sst>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4" fillId="0" borderId="0" xfId="0" applyFont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"/>
  <sheetViews>
    <sheetView tabSelected="1" workbookViewId="0">
      <selection activeCell="D7" sqref="D7"/>
    </sheetView>
  </sheetViews>
  <sheetFormatPr defaultRowHeight="14.5" x14ac:dyDescent="0.35"/>
  <cols>
    <col min="1" max="1" width="17.26953125" customWidth="1"/>
    <col min="2" max="2" width="16.36328125" customWidth="1"/>
    <col min="3" max="3" width="15.7265625" customWidth="1"/>
    <col min="4" max="4" width="44.7265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64</v>
      </c>
      <c r="B2" t="s">
        <v>65</v>
      </c>
      <c r="C2" s="2" t="str">
        <f>A2</f>
        <v>STM32F407VGT6</v>
      </c>
      <c r="D2" t="str">
        <f>CONCATENATE("Schematic\TVS\",A2,".SchLib")</f>
        <v>Schematic\TVS\STM32F407VGT6.SchLib</v>
      </c>
      <c r="E2" t="str">
        <f>A2</f>
        <v>STM32F407VGT6</v>
      </c>
      <c r="F2" t="str">
        <f>CONCATENATE("Footprints\",G2,".PcbLib")</f>
        <v>Footprints\LQFP100.PcbLib</v>
      </c>
      <c r="G2" t="s">
        <v>69</v>
      </c>
    </row>
    <row r="3" spans="1:20" x14ac:dyDescent="0.35">
      <c r="A3" t="s">
        <v>66</v>
      </c>
      <c r="B3" t="s">
        <v>67</v>
      </c>
      <c r="C3" s="2" t="str">
        <f>A3</f>
        <v>USBLC6-4</v>
      </c>
      <c r="D3" t="str">
        <f>CONCATENATE("Schematic\",A3,".SchLib")</f>
        <v>Schematic\USBLC6-4.SchLib</v>
      </c>
      <c r="E3" t="str">
        <f>A3</f>
        <v>USBLC6-4</v>
      </c>
      <c r="F3" t="str">
        <f>CONCATENATE("Footprints\",G3,".PcbLib")</f>
        <v>Footprints\SOT23-6.PcbLib</v>
      </c>
      <c r="G3" t="s">
        <v>68</v>
      </c>
    </row>
    <row r="4" spans="1:20" x14ac:dyDescent="0.35">
      <c r="A4" t="s">
        <v>93</v>
      </c>
      <c r="B4" t="s">
        <v>94</v>
      </c>
      <c r="C4" s="2" t="str">
        <f>A4</f>
        <v>MAX485CSA</v>
      </c>
      <c r="D4" t="str">
        <f>CONCATENATE("Schematic\",A4,".SchLib")</f>
        <v>Schematic\MAX485CSA.SchLib</v>
      </c>
      <c r="E4" t="str">
        <f>A4</f>
        <v>MAX485CSA</v>
      </c>
      <c r="F4" t="str">
        <f>CONCATENATE("Footprints\",G4,".PcbLib")</f>
        <v>Footprints\SOIC-8.PcbLib</v>
      </c>
      <c r="G4" t="s">
        <v>95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K3" sqref="K3"/>
    </sheetView>
  </sheetViews>
  <sheetFormatPr defaultRowHeight="14.5" x14ac:dyDescent="0.35"/>
  <cols>
    <col min="1" max="1" width="14.81640625" customWidth="1"/>
    <col min="2" max="2" width="45.90625" customWidth="1"/>
    <col min="4" max="4" width="10.81640625" customWidth="1"/>
    <col min="5" max="5" width="11.26953125" customWidth="1"/>
    <col min="6" max="6" width="23.5429687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" customHeight="1" x14ac:dyDescent="0.35">
      <c r="A2" t="s">
        <v>87</v>
      </c>
      <c r="B2" t="str">
        <f>CONCATENATE("Стабилитрон на ", H2," В, рассеиваемая мощность ", J2," Вт")</f>
        <v>Стабилитрон на 12 В, рассеиваемая мощность 0.3 Вт</v>
      </c>
      <c r="C2" t="str">
        <f>A2</f>
        <v>BZX384-C12</v>
      </c>
      <c r="D2" t="s">
        <v>90</v>
      </c>
      <c r="E2" t="s">
        <v>91</v>
      </c>
      <c r="F2" t="str">
        <f>CONCATENATE("Footprints\",G2,".PcbLib")</f>
        <v>Footprints\SOD-323.PcbLib</v>
      </c>
      <c r="G2" t="s">
        <v>89</v>
      </c>
      <c r="H2">
        <v>12</v>
      </c>
      <c r="I2">
        <v>5</v>
      </c>
      <c r="J2">
        <v>0.3</v>
      </c>
      <c r="K2" t="str">
        <f>CONCATENATE(H2," В")</f>
        <v>12 В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J6" sqref="J6"/>
    </sheetView>
  </sheetViews>
  <sheetFormatPr defaultRowHeight="14.5" x14ac:dyDescent="0.35"/>
  <cols>
    <col min="1" max="1" width="20.36328125" customWidth="1"/>
    <col min="2" max="2" width="21.1796875" customWidth="1"/>
    <col min="3" max="3" width="15.7265625" customWidth="1"/>
    <col min="4" max="4" width="26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5">
      <c r="A2" t="s">
        <v>92</v>
      </c>
      <c r="B2" t="str">
        <f>CONCATENATE("Защитный диод на ", H2," В, рассеиваемая мощность ", I2," Вт")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97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>CONCATENATE(H2," В")</f>
        <v>24 В</v>
      </c>
    </row>
    <row r="3" spans="1:11" x14ac:dyDescent="0.35">
      <c r="A3" t="s">
        <v>96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98</v>
      </c>
      <c r="F3" t="str">
        <f>CONCATENATE("Footprints\",G3,".PcbLib")</f>
        <v>Footprints\SOT23-3.PcbLib</v>
      </c>
      <c r="G3" t="s">
        <v>18</v>
      </c>
      <c r="K3" t="s">
        <v>100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T6"/>
  <sheetViews>
    <sheetView workbookViewId="0">
      <selection activeCell="I5" sqref="I5"/>
    </sheetView>
  </sheetViews>
  <sheetFormatPr defaultRowHeight="14.5" x14ac:dyDescent="0.35"/>
  <cols>
    <col min="7" max="7" width="18.81640625" customWidth="1"/>
    <col min="9" max="9" width="10.81640625" customWidth="1"/>
    <col min="10" max="10" width="15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/>
      <c r="G1" s="1" t="s">
        <v>12</v>
      </c>
      <c r="H1" s="1" t="s">
        <v>8</v>
      </c>
      <c r="I1" s="1" t="s">
        <v>13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.5" x14ac:dyDescent="0.35">
      <c r="A2" s="1" t="s">
        <v>4</v>
      </c>
      <c r="B2" s="1" t="s">
        <v>5</v>
      </c>
      <c r="C2" s="2" t="str">
        <f>A2</f>
        <v>50N06</v>
      </c>
      <c r="D2" s="1" t="s">
        <v>10</v>
      </c>
      <c r="E2" s="1" t="s">
        <v>11</v>
      </c>
      <c r="G2" t="str">
        <f>CONCATENATE("Footprints\",H2,".PcbLib")</f>
        <v>Footprints\DPAK.PcbLib</v>
      </c>
      <c r="H2" s="1" t="s">
        <v>6</v>
      </c>
      <c r="I2" t="str">
        <f>CONCATENATE("Footprints\",J2,".PcbLib")</f>
        <v>Footprints\DPAK_termopad.PcbLib</v>
      </c>
      <c r="J2" t="s">
        <v>7</v>
      </c>
    </row>
    <row r="3" spans="1:20" ht="15.5" x14ac:dyDescent="0.35">
      <c r="A3" s="1" t="s">
        <v>15</v>
      </c>
      <c r="B3" s="1" t="s">
        <v>5</v>
      </c>
      <c r="C3" s="2" t="str">
        <f>A3</f>
        <v>100N03A</v>
      </c>
      <c r="D3" s="1" t="s">
        <v>10</v>
      </c>
      <c r="E3" s="1" t="s">
        <v>11</v>
      </c>
      <c r="G3" t="str">
        <f>CONCATENATE("Footprints\",H3,".PcbLib")</f>
        <v>Footprints\DPAK.PcbLib</v>
      </c>
      <c r="H3" s="1" t="s">
        <v>6</v>
      </c>
      <c r="I3" t="str">
        <f>CONCATENATE("Footprints\",J3,".PcbLib")</f>
        <v>Footprints\DPAK_termopad.PcbLib</v>
      </c>
      <c r="J3" t="s">
        <v>7</v>
      </c>
    </row>
    <row r="4" spans="1:20" ht="15.5" x14ac:dyDescent="0.35">
      <c r="A4" s="1" t="s">
        <v>16</v>
      </c>
      <c r="B4" s="1" t="s">
        <v>5</v>
      </c>
      <c r="C4" s="2" t="str">
        <f>A4</f>
        <v>AO3400A</v>
      </c>
      <c r="D4" s="1" t="s">
        <v>10</v>
      </c>
      <c r="E4" s="1" t="s">
        <v>17</v>
      </c>
      <c r="G4" t="str">
        <f>CONCATENATE("Footprints\",H4,".PcbLib")</f>
        <v>Footprints\SOT23-3.PcbLib</v>
      </c>
      <c r="H4" s="1" t="s">
        <v>18</v>
      </c>
      <c r="I4" s="1"/>
    </row>
    <row r="5" spans="1:20" ht="15.5" x14ac:dyDescent="0.35">
      <c r="A5" s="1" t="s">
        <v>19</v>
      </c>
      <c r="B5" s="1" t="s">
        <v>21</v>
      </c>
      <c r="C5" s="2" t="str">
        <f>A5</f>
        <v>AO3401A</v>
      </c>
      <c r="D5" s="1" t="s">
        <v>20</v>
      </c>
      <c r="E5" s="1" t="s">
        <v>22</v>
      </c>
      <c r="G5" t="str">
        <f>CONCATENATE("Footprints\",H5,".PcbLib")</f>
        <v>Footprints\SOT23-3.PcbLib</v>
      </c>
      <c r="H5" s="1" t="s">
        <v>18</v>
      </c>
    </row>
    <row r="6" spans="1:20" ht="15.5" x14ac:dyDescent="0.35">
      <c r="A6" s="1" t="s">
        <v>23</v>
      </c>
      <c r="B6" s="1" t="s">
        <v>21</v>
      </c>
      <c r="C6" s="2" t="str">
        <f>A6</f>
        <v>SUD50P06-15</v>
      </c>
      <c r="D6" s="1" t="s">
        <v>20</v>
      </c>
      <c r="E6" s="1" t="s">
        <v>24</v>
      </c>
      <c r="G6" t="str">
        <f>CONCATENATE("Footprints\",H6,".PcbLib")</f>
        <v>Footprints\DPAK.PcbLib</v>
      </c>
      <c r="H6" s="1" t="s">
        <v>6</v>
      </c>
      <c r="I6" t="str">
        <f>CONCATENATE("Footprints\",J6,".PcbLib")</f>
        <v>Footprints\DPAK_termopad.PcbLib</v>
      </c>
      <c r="J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topLeftCell="L1" workbookViewId="0">
      <selection activeCell="O1" sqref="O1:T1"/>
    </sheetView>
  </sheetViews>
  <sheetFormatPr defaultRowHeight="14.5" x14ac:dyDescent="0.35"/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5" x14ac:dyDescent="0.35">
      <c r="A2" s="1" t="s">
        <v>26</v>
      </c>
      <c r="B2" s="1" t="s">
        <v>27</v>
      </c>
      <c r="C2" s="1" t="s">
        <v>26</v>
      </c>
      <c r="D2" s="1" t="s">
        <v>31</v>
      </c>
      <c r="E2" s="1" t="s">
        <v>26</v>
      </c>
      <c r="F2" s="1" t="s">
        <v>28</v>
      </c>
      <c r="G2" s="1" t="s">
        <v>34</v>
      </c>
      <c r="H2" s="1" t="s">
        <v>36</v>
      </c>
      <c r="I2" s="1" t="s">
        <v>34</v>
      </c>
      <c r="J2" s="1" t="s">
        <v>37</v>
      </c>
      <c r="K2" s="1" t="s">
        <v>34</v>
      </c>
      <c r="L2" s="1" t="s">
        <v>40</v>
      </c>
      <c r="M2" s="1" t="s">
        <v>34</v>
      </c>
      <c r="N2" s="1" t="s">
        <v>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sqref="A1:T1"/>
    </sheetView>
  </sheetViews>
  <sheetFormatPr defaultRowHeight="14.5" x14ac:dyDescent="0.35"/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5" x14ac:dyDescent="0.35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">
        <v>35</v>
      </c>
      <c r="H2" s="1" t="s">
        <v>44</v>
      </c>
      <c r="I2" s="1" t="s">
        <v>35</v>
      </c>
      <c r="J2" s="1" t="s">
        <v>45</v>
      </c>
    </row>
    <row r="3" spans="1:20" ht="15.5" x14ac:dyDescent="0.35">
      <c r="A3" s="1" t="s">
        <v>46</v>
      </c>
      <c r="B3" s="1" t="s">
        <v>47</v>
      </c>
      <c r="C3" s="1" t="s">
        <v>46</v>
      </c>
      <c r="D3" s="1" t="s">
        <v>32</v>
      </c>
      <c r="E3" s="1" t="s">
        <v>46</v>
      </c>
      <c r="F3" s="1" t="s">
        <v>49</v>
      </c>
      <c r="G3" s="1" t="s">
        <v>48</v>
      </c>
      <c r="H3" s="1" t="s">
        <v>50</v>
      </c>
      <c r="I3" s="1" t="s">
        <v>48</v>
      </c>
      <c r="J3" s="1" t="s">
        <v>51</v>
      </c>
      <c r="K3" s="1" t="s">
        <v>48</v>
      </c>
      <c r="L3" s="1" t="s">
        <v>52</v>
      </c>
      <c r="M3" s="1" t="s">
        <v>48</v>
      </c>
      <c r="N3" s="1" t="s">
        <v>53</v>
      </c>
      <c r="O3" s="1" t="s">
        <v>48</v>
      </c>
      <c r="P3" s="1" t="s">
        <v>56</v>
      </c>
      <c r="Q3" s="1" t="s">
        <v>61</v>
      </c>
      <c r="R3" t="s">
        <v>62</v>
      </c>
      <c r="S3" s="1" t="s">
        <v>61</v>
      </c>
      <c r="T3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topLeftCell="D1" workbookViewId="0">
      <selection sqref="A1:I2"/>
    </sheetView>
  </sheetViews>
  <sheetFormatPr defaultRowHeight="14.5" x14ac:dyDescent="0.35"/>
  <cols>
    <col min="1" max="1" width="11.36328125" customWidth="1"/>
    <col min="2" max="2" width="15.7265625" customWidth="1"/>
    <col min="3" max="3" width="12.54296875" customWidth="1"/>
    <col min="4" max="4" width="14.6328125" customWidth="1"/>
    <col min="5" max="5" width="11.81640625" customWidth="1"/>
    <col min="6" max="6" width="20.36328125" customWidth="1"/>
    <col min="7" max="7" width="14.81640625" customWidth="1"/>
    <col min="8" max="8" width="20.81640625" customWidth="1"/>
    <col min="9" max="9" width="14.8164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70</v>
      </c>
      <c r="B2" t="s">
        <v>71</v>
      </c>
      <c r="C2" s="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72</v>
      </c>
      <c r="H2" t="str">
        <f>CONCATENATE("Footprints\Buttons\",I2,".PcbLib")</f>
        <v>Footprints\Buttons\Button_SMD_6x6.PcbLib</v>
      </c>
      <c r="I2" t="s">
        <v>73</v>
      </c>
    </row>
    <row r="3" spans="1:20" x14ac:dyDescent="0.35">
      <c r="A3" t="s">
        <v>75</v>
      </c>
      <c r="B3" t="s">
        <v>76</v>
      </c>
      <c r="C3" s="2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Footprints\LED_SMD.PcbLib</v>
      </c>
      <c r="G3" t="s">
        <v>74</v>
      </c>
    </row>
    <row r="4" spans="1:20" x14ac:dyDescent="0.35">
      <c r="A4" t="s">
        <v>77</v>
      </c>
      <c r="B4" t="s">
        <v>78</v>
      </c>
      <c r="C4" s="2" t="str">
        <f>A4</f>
        <v>XTAL</v>
      </c>
      <c r="D4" t="str">
        <f>CONCATENATE("Schematic\",A4,".SchLib")</f>
        <v>Schematic\XTAL.SchLib</v>
      </c>
      <c r="E4" t="str">
        <f>A4</f>
        <v>XTAL</v>
      </c>
    </row>
    <row r="5" spans="1:20" x14ac:dyDescent="0.35">
      <c r="A5" t="s">
        <v>79</v>
      </c>
      <c r="B5" t="s">
        <v>80</v>
      </c>
      <c r="C5" s="2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CONCATENATE("Footprints\",G5,".PcbLib")</f>
        <v>Footprints\QSMD3.2x2.5.PcbLib</v>
      </c>
      <c r="G5" t="s">
        <v>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3"/>
  <sheetViews>
    <sheetView workbookViewId="0">
      <selection activeCell="D9" sqref="D9"/>
    </sheetView>
  </sheetViews>
  <sheetFormatPr defaultRowHeight="14.5" x14ac:dyDescent="0.35"/>
  <cols>
    <col min="1" max="1" width="13.26953125" customWidth="1"/>
    <col min="2" max="2" width="12.6328125" customWidth="1"/>
    <col min="3" max="3" width="13.26953125" customWidth="1"/>
    <col min="4" max="4" width="11.54296875" customWidth="1"/>
    <col min="5" max="5" width="12.26953125" customWidth="1"/>
    <col min="6" max="6" width="22.90625" customWidth="1"/>
    <col min="7" max="7" width="13.0898437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t="s">
        <v>82</v>
      </c>
      <c r="B2" t="s">
        <v>83</v>
      </c>
      <c r="C2" s="2" t="str">
        <f>A2</f>
        <v>IDC-10</v>
      </c>
      <c r="D2" t="str">
        <f>CONCATENATE("Schematic\Connectors\",A2,".SchLib")</f>
        <v>Schematic\Connectors\IDC-10.SchLib</v>
      </c>
      <c r="E2" t="str">
        <f>A2</f>
        <v>IDC-10</v>
      </c>
      <c r="F2" t="str">
        <f>CONCATENATE("Footprints\Connectors\",G2,".PcbLib")</f>
        <v>Footprints\Connectors\IDC-10.PcbLib</v>
      </c>
      <c r="G2" t="str">
        <f>A2</f>
        <v>IDC-10</v>
      </c>
    </row>
    <row r="3" spans="1:9" x14ac:dyDescent="0.35">
      <c r="A3" t="s">
        <v>84</v>
      </c>
      <c r="B3" t="s">
        <v>83</v>
      </c>
      <c r="C3" s="2" t="str">
        <f>A3</f>
        <v>D-SUB-26</v>
      </c>
      <c r="D3" t="str">
        <f>CONCATENATE("Schematic\Connectors\",A3,".SchLib")</f>
        <v>Schematic\Connectors\D-SUB-26.SchLib</v>
      </c>
      <c r="E3" t="str">
        <f>A3</f>
        <v>D-SUB-26</v>
      </c>
      <c r="F3" t="str">
        <f>CONCATENATE("Footprints\Connectors\",G3,".PcbLib")</f>
        <v>Footprints\Connectors\D-SUB-26.PcbLib</v>
      </c>
      <c r="G3" t="str">
        <f>A3</f>
        <v>D-SUB-26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Chips</vt:lpstr>
      <vt:lpstr>Zener</vt:lpstr>
      <vt:lpstr>TVS</vt:lpstr>
      <vt:lpstr>Transistors</vt:lpstr>
      <vt:lpstr>Resistors</vt:lpstr>
      <vt:lpstr>Capacitors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2024-10-16T20:03:58Z</dcterms:modified>
</cp:coreProperties>
</file>