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977FDEC8-1119-4AA6-AD7E-F76C4B66C4EF}" xr6:coauthVersionLast="47" xr6:coauthVersionMax="47" xr10:uidLastSave="{00000000-0000-0000-0000-000000000000}"/>
  <bookViews>
    <workbookView xWindow="-108" yWindow="-108" windowWidth="23256" windowHeight="12456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3" i="1" l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<sst xmlns="http://schemas.openxmlformats.org/spreadsheetml/2006/main" count="3714" uniqueCount="1520">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</sst>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3" tableType="xml" totalsRowShown="0" headerRowDxfId="144" connectionId="6">
  <autoFilter ref="A1:M5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4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3"/>
  <sheetViews>
    <sheetView tabSelected="1" topLeftCell="A32" zoomScale="70" zoomScaleNormal="70" workbookViewId="0">
      <selection activeCell="C57" sqref="C5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:C52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  <row r="52" spans="1:13" x14ac:dyDescent="0.3">
      <c r="A52" s="35" t="s">
        <v>1509</v>
      </c>
      <c r="B52" s="36" t="s">
        <v>1510</v>
      </c>
      <c r="C52" s="37" t="str">
        <f t="shared" si="19"/>
        <v>IRS21867</v>
      </c>
      <c r="D52" s="36" t="str">
        <f>CONCATENATE("Schematic\",A52,".SchLib")</f>
        <v>Schematic\IRS21867.SchLib</v>
      </c>
      <c r="E52" s="36" t="str">
        <f>A52</f>
        <v>IRS21867</v>
      </c>
      <c r="F52" s="36" t="str">
        <f t="shared" ref="F52" si="20">CONCATENATE("Footprints\",G52,".PcbLib")</f>
        <v>Footprints\SOIC-8.PcbLib</v>
      </c>
      <c r="G52" s="36" t="s">
        <v>76</v>
      </c>
      <c r="L52" s="52" t="s">
        <v>1511</v>
      </c>
      <c r="M52" t="s">
        <v>1455</v>
      </c>
    </row>
    <row r="53" spans="1:13" x14ac:dyDescent="0.3">
      <c r="A53" t="s">
        <v>1517</v>
      </c>
      <c r="B53" t="s">
        <v>1518</v>
      </c>
      <c r="C53" s="2" t="str">
        <f>A53</f>
        <v>CM5116000</v>
      </c>
      <c r="D53" t="str">
        <f>CONCATENATE("Schematic\",A53,".SchLib")</f>
        <v>Schematic\CM5116000.SchLib</v>
      </c>
      <c r="E53" t="str">
        <f>A53</f>
        <v>CM5116000</v>
      </c>
      <c r="F53" t="str">
        <f>CONCATENATE("Footprints\CM4.PcbLib")</f>
        <v>Footprints\CM4.PcbLib</v>
      </c>
      <c r="G53" t="s">
        <v>1188</v>
      </c>
      <c r="L53" t="s">
        <v>1519</v>
      </c>
      <c r="M53" t="s">
        <v>1430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2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1455</v>
      </c>
    </row>
    <row r="13" spans="1:13" x14ac:dyDescent="0.3">
      <c r="A13" s="53" t="s">
        <v>1516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1430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 t="shared" ref="F11:F17" si="4"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 t="shared" si="4"/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 t="shared" si="4"/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6" x14ac:dyDescent="0.3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 t="shared" si="4"/>
        <v>Footprints\SOT-363.PcbLib</v>
      </c>
      <c r="G16" s="1" t="s">
        <v>1498</v>
      </c>
      <c r="H16" t="str">
        <f>CONCATENATE("Footprints\",I16,".PcbLib")</f>
        <v>Footprints\SOT-363_35um.PcbLib</v>
      </c>
      <c r="I16" t="s">
        <v>1502</v>
      </c>
      <c r="J16" t="s">
        <v>769</v>
      </c>
      <c r="K16" t="s">
        <v>1165</v>
      </c>
      <c r="M16" t="s">
        <v>1455</v>
      </c>
    </row>
    <row r="17" spans="1:13" ht="15.6" x14ac:dyDescent="0.3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  <row r="18" spans="1:13" ht="15.6" x14ac:dyDescent="0.3">
      <c r="A18" s="1" t="s">
        <v>1512</v>
      </c>
      <c r="B18" s="1" t="s">
        <v>1515</v>
      </c>
      <c r="C18" s="2" t="str">
        <f>A18</f>
        <v>IRFH3702</v>
      </c>
      <c r="D18" s="1" t="s">
        <v>1134</v>
      </c>
      <c r="E18" s="1" t="s">
        <v>1135</v>
      </c>
      <c r="F18" t="str">
        <f>CONCATENATE("Footprints\",G18,".PcbLib")</f>
        <v>Footprints\PQFN_3x3.PcbLib</v>
      </c>
      <c r="G18" s="1" t="s">
        <v>1513</v>
      </c>
      <c r="J18" t="s">
        <v>771</v>
      </c>
      <c r="K18" t="s">
        <v>1514</v>
      </c>
      <c r="M18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opLeftCell="B1" zoomScale="70" zoomScaleNormal="70" workbookViewId="0">
      <selection activeCell="B22" sqref="B22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  <row r="21" spans="1:18" x14ac:dyDescent="0.3">
      <c r="A21" t="s">
        <v>1503</v>
      </c>
      <c r="B21" t="s">
        <v>1504</v>
      </c>
      <c r="C21" t="str">
        <f>A21</f>
        <v>GP2426SR</v>
      </c>
      <c r="D21" s="2" t="s">
        <v>1505</v>
      </c>
      <c r="E21" s="2" t="s">
        <v>1506</v>
      </c>
      <c r="F21" s="2" t="str">
        <f>CONCATENATE("Footprints\Inductance\",G21,".PcbLib")</f>
        <v>Footprints\Inductance\GP2426SR.PcbLib</v>
      </c>
      <c r="G21" t="s">
        <v>1503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t="s">
        <v>1507</v>
      </c>
      <c r="P21" t="s">
        <v>1508</v>
      </c>
      <c r="R21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11.3320312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47" zoomScaleNormal="100" workbookViewId="0">
      <selection activeCell="D62" sqref="D62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2026-02-11T18:55:55Z</dcterms:modified>
</cp:coreProperties>
</file>