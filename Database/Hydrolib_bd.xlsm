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FEBF7DD3-787A-4ED9-A66F-F548EE427FAA}" xr6:coauthVersionLast="47" xr6:coauthVersionMax="47" xr10:uidLastSave="{00000000-0000-0000-0000-000000000000}"/>
  <bookViews>
    <workbookView xWindow="-120" yWindow="-16320" windowWidth="29040" windowHeight="15720" tabRatio="896" firstSheet="8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5" l="1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<sst xmlns="http://schemas.openxmlformats.org/spreadsheetml/2006/main" count="3551" uniqueCount="1456">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</sst>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2" tableType="xml" totalsRowShown="0" headerRowDxfId="118" dataDxfId="117" connectionId="14">
  <autoFilter ref="A1:O182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9" tableType="xml" totalsRowShown="0" headerRowDxfId="64" headerRowBorderDxfId="63" tableBorderDxfId="62" connectionId="2">
  <autoFilter ref="A1:N49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9" tableType="xml" totalsRowShown="0" headerRowDxfId="19" dataDxfId="18" connectionId="11">
  <autoFilter ref="A1:N19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0" tableType="xml" totalsRowShown="0" headerRowDxfId="3" connectionId="7">
  <autoFilter ref="A1:L6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B17" sqref="B17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  <row r="12" spans="1:13" x14ac:dyDescent="0.3">
      <c r="A12" t="s">
        <v>1445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80</v>
      </c>
      <c r="F12" t="str">
        <f t="shared" ref="F12" si="9">CONCATENATE("Footprints\",G12,".PcbLib")</f>
        <v>Footprints\SMB.PcbLib</v>
      </c>
      <c r="G12" t="s">
        <v>340</v>
      </c>
      <c r="H12">
        <v>16</v>
      </c>
      <c r="I12">
        <v>600</v>
      </c>
      <c r="J12" t="str">
        <f t="shared" ref="J12" si="10" xml:space="preserve"> CONCATENATE(H12," В")</f>
        <v>16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48" zoomScale="55" zoomScaleNormal="55" workbookViewId="0">
      <selection activeCell="O183" sqref="O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5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9"/>
  <sheetViews>
    <sheetView topLeftCell="A12" zoomScale="70" zoomScaleNormal="70" workbookViewId="0">
      <selection activeCell="N1" sqref="N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9"/>
  <sheetViews>
    <sheetView topLeftCell="C1" zoomScale="70" zoomScaleNormal="70" workbookViewId="0">
      <selection activeCell="G19" sqref="G19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  <row r="19" spans="1:14" x14ac:dyDescent="0.3">
      <c r="A19" s="2" t="s">
        <v>1446</v>
      </c>
      <c r="B19" s="2" t="s">
        <v>55</v>
      </c>
      <c r="C19" s="2" t="str">
        <f>A19</f>
        <v>TSS-TD-19XA-XTR</v>
      </c>
      <c r="D19" s="50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1446</v>
      </c>
      <c r="H19" s="2"/>
      <c r="I19" s="2"/>
      <c r="J19" s="2"/>
      <c r="K19" s="2"/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0"/>
  <sheetViews>
    <sheetView tabSelected="1" topLeftCell="A20" zoomScale="85" zoomScaleNormal="85" workbookViewId="0">
      <selection activeCell="H63" sqref="H63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t="s">
        <v>989</v>
      </c>
    </row>
    <row r="58" spans="1:12" x14ac:dyDescent="0.3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t="s">
        <v>1413</v>
      </c>
      <c r="K58" s="41" t="s">
        <v>989</v>
      </c>
    </row>
    <row r="59" spans="1:12" x14ac:dyDescent="0.3">
      <c r="A59">
        <v>430450200</v>
      </c>
      <c r="B59" t="s">
        <v>1447</v>
      </c>
      <c r="C59">
        <v>430450200</v>
      </c>
      <c r="D59" t="s">
        <v>356</v>
      </c>
      <c r="E59" t="s">
        <v>121</v>
      </c>
      <c r="F59" t="s">
        <v>1448</v>
      </c>
      <c r="G59" t="s">
        <v>1449</v>
      </c>
      <c r="J59" t="s">
        <v>1450</v>
      </c>
      <c r="K59" t="s">
        <v>989</v>
      </c>
      <c r="L59" t="s">
        <v>1439</v>
      </c>
    </row>
    <row r="60" spans="1:12" x14ac:dyDescent="0.3">
      <c r="A60" t="s">
        <v>1451</v>
      </c>
      <c r="B60" t="s">
        <v>1452</v>
      </c>
      <c r="C60" t="s">
        <v>1451</v>
      </c>
      <c r="D60" t="s">
        <v>1453</v>
      </c>
      <c r="E60" t="s">
        <v>1451</v>
      </c>
      <c r="F60" t="s">
        <v>1454</v>
      </c>
      <c r="G60" t="s">
        <v>1451</v>
      </c>
      <c r="J60" t="s">
        <v>1455</v>
      </c>
      <c r="L60" t="s">
        <v>1439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2025-10-05T14:16:08Z</dcterms:modified>
</cp:coreProperties>
</file>