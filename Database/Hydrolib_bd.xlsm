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filterPrivacy="1" codeName="ЭтаКнига"/>
  <xr:revisionPtr revIDLastSave="0" documentId="13_ncr:1_{81BB29B6-D8C3-4630-8620-67D2317D4AA7}" xr6:coauthVersionLast="37" xr6:coauthVersionMax="47" xr10:uidLastSave="{00000000-0000-0000-0000-000000000000}"/>
  <bookViews>
    <workbookView xWindow="-105" yWindow="-105" windowWidth="23250" windowHeight="12570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 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externalReferences>
    <externalReference r:id="rId15"/>
  </externalReferences>
  <calcPr calcId="179021"/>
</workbook>
</file>

<file path=xl/calcChain.xml><?xml version="1.0" encoding="utf-8"?>
<calcChain xmlns="http://schemas.openxmlformats.org/spreadsheetml/2006/main">
  <c r="D44" i="1" l="1"/>
  <c r="E44" i="1"/>
  <c r="L16" i="10" l="1"/>
  <c r="J16" i="10"/>
  <c r="H16" i="10"/>
  <c r="F16" i="10"/>
  <c r="C16" i="10"/>
  <c r="B16" i="10"/>
  <c r="L15" i="10"/>
  <c r="J15" i="10"/>
  <c r="H15" i="10"/>
  <c r="F15" i="10"/>
  <c r="C15" i="10"/>
  <c r="B15" i="10"/>
  <c r="F11" i="4"/>
  <c r="C11" i="4"/>
  <c r="J10" i="8"/>
  <c r="F10" i="8"/>
  <c r="D10" i="8"/>
  <c r="C10" i="8"/>
  <c r="F12" i="9"/>
  <c r="C12" i="9"/>
  <c r="B12" i="9"/>
  <c r="F45" i="1"/>
  <c r="E45" i="1"/>
  <c r="D45" i="1"/>
  <c r="C45" i="1"/>
  <c r="F44" i="1"/>
  <c r="C44" i="1"/>
  <c r="F43" i="1"/>
  <c r="E43" i="1"/>
  <c r="D43" i="1"/>
  <c r="C43" i="1"/>
  <c r="D46" i="6" l="1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D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3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4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5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6" xr16:uid="{D8C58BCC-C573-42A7-95CA-60E0EBCAC4FF}" name="TVS" type="4" refreshedVersion="0" background="1">
    <webPr xml="1" sourceData="1" url="C:\Users\1\Desktop\testlib\Готовое\TVS.xml" htmlTables="1" htmlFormat="all"/>
  </connection>
  <connection id="17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<sst xmlns="http://schemas.openxmlformats.org/spreadsheetml/2006/main" count="3162" uniqueCount="1305">
  <si>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</si>
  <si>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</si>
  <si>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</si>
  <si>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</si>
  <si>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</si>
  <si>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</si>
  <si>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</si>
  <si>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</si>
  <si>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</si>
  <si>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</si>
  <si>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</si>
  <si>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</si>
  <si>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</si>
  <si>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</si>
  <si>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</si>
  <si>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</si>
  <si>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</si>
  <si>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</si>
  <si>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</si>
  <si>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</si>
  <si>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</si>
  <si>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</si>
  <si>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</si>
  <si>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</si>
  <si>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</si>
  <si>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</si>
  <si>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</si>
  <si>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</si>
  <si>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</si>
  <si>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</si>
  <si>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</si>
  <si>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</si>
  <si>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</si>
  <si>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</si>
  <si>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</si>
  <si>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</si>
  <si>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</si>
  <si>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</si>
  <si>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</si>
  <si>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</si>
  <si>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</si>
  <si>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</si>
  <si>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</si>
  <si>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</si>
  <si>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</si>
  <si>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</si>
  <si>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</si>
  <si>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</si>
  <si>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</si>
  <si>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</si>
  <si>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</si>
  <si>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</si>
  <si>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</si>
  <si>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</si>
  <si>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</si>
  <si>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</si>
  <si>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</si>
  <si>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</si>
  <si>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</si>
  <si>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</si>
  <si>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</si>
  <si>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</si>
  <si>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</si>
  <si>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</si>
  <si>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</si>
  <si>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</si>
  <si>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</si>
  <si>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</si>
  <si>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</si>
  <si>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</si>
  <si>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</si>
  <si>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</si>
  <si>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</si>
  <si>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</si>
  <si>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</si>
  <si>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</si>
  <si>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</si>
  <si>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</si>
  <si>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</si>
  <si>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</si>
  <si>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</si>
  <si>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</si>
  <si>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</si>
  <si>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</si>
  <si>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</si>
  <si>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</si>
  <si>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</si>
  <si>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</si>
  <si>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</si>
  <si>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</si>
  <si>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</si>
  <si>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</si>
  <si>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</si>
  <si>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</si>
  <si>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</si>
  <si>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</si>
  <si>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</si>
  <si>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</si>
  <si>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</si>
  <si>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</si>
  <si>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</si>
  <si>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</si>
  <si>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</si>
  <si>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</si>
  <si>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</si>
  <si>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</si>
  <si>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</si>
  <si>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</si>
  <si>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</si>
  <si>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</si>
  <si>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</si>
  <si>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</si>
  <si>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</si>
  <si>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</si>
  <si>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</si>
  <si>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</si>
  <si>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</si>
  <si>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</si>
  <si>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</si>
  <si>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</si>
  <si>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</si>
  <si>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</si>
  <si>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</si>
  <si>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</si>
  <si>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</si>
  <si>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</si>
  <si>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</si>
  <si>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</si>
  <si>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</si>
  <si>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</si>
  <si>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</si>
  <si>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</si>
  <si>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</si>
  <si>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</si>
  <si>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</si>
  <si>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</si>
  <si>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</si>
  <si>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</si>
  <si>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</si>
  <si>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</si>
  <si>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</si>
  <si>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</si>
  <si>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</si>
  <si>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</si>
  <si>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</si>
  <si>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</si>
  <si>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</si>
  <si>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</si>
  <si>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</si>
  <si>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</si>
  <si>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</si>
  <si>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</si>
  <si>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</si>
  <si>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</si>
  <si>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</si>
  <si>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</si>
  <si>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</si>
  <si>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</si>
  <si>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</si>
  <si>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</si>
  <si>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</si>
  <si>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</si>
  <si>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</si>
  <si>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</si>
  <si>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</si>
  <si>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</si>
  <si>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</si>
  <si>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</si>
  <si>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</si>
  <si>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</si>
  <si>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</si>
  <si>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</si>
  <si>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</si>
  <si>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</si>
  <si>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</si>
  <si>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</si>
  <si>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</si>
  <si>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</si>
  <si>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</si>
  <si>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</si>
  <si>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</si>
  <si>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</si>
  <si>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</si>
  <si>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</si>
  <si>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</si>
  <si>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</si>
  <si>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</si>
  <si>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</si>
  <si>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</si>
  <si>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</si>
  <si>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</si>
  <si>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</si>
  <si>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</si>
  <si>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</si>
  <si>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</si>
  <si>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</si>
  <si>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</si>
  <si>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</si>
  <si>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</si>
  <si>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</si>
  <si>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</si>
  <si>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</si>
  <si>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</si>
  <si>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</si>
  <si>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</si>
  <si>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</si>
  <si>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</si>
  <si>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</si>
  <si>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</si>
  <si>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</si>
  <si>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</si>
  <si>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</si>
  <si>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</si>
  <si>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</si>
  <si>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</si>
  <si>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</si>
  <si>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</si>
  <si>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</si>
  <si>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</si>
  <si>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</si>
  <si>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</si>
  <si>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</si>
  <si>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</si>
  <si>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</si>
  <si>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</si>
  <si>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</si>
  <si>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</si>
  <si>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</si>
  <si>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</si>
  <si>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</si>
  <si>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</si>
  <si>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</si>
  <si>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</si>
  <si>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</si>
  <si>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</si>
  <si>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</si>
  <si>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</si>
  <si>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</si>
  <si>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</si>
  <si>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</si>
  <si>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</si>
  <si>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</si>
  <si>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</si>
  <si>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</si>
  <si>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</si>
  <si>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</si>
  <si>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</si>
  <si>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</si>
  <si>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</si>
  <si>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</si>
  <si>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</si>
  <si>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</si>
  <si>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</si>
  <si>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</si>
  <si>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</si>
  <si>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</si>
  <si>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</si>
  <si>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</si>
  <si>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</si>
  <si>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</si>
  <si>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</si>
  <si>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</si>
  <si>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</si>
  <si>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</si>
  <si>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</si>
  <si>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</si>
  <si>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</si>
  <si>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</si>
  <si>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</si>
  <si>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</si>
  <si>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</si>
  <si>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</si>
  <si>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</si>
  <si>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</si>
  <si>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</si>
  <si>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</si>
  <si>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</si>
  <si>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</si>
  <si>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</si>
  <si>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</si>
  <si>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</si>
  <si>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</si>
  <si>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</si>
  <si>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</si>
  <si>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</si>
  <si>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</si>
  <si>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</si>
  <si>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</si>
  <si>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</si>
  <si>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</si>
  <si>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</si>
  <si>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</si>
  <si>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</si>
  <si>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</si>
  <si>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</si>
  <si>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</si>
  <si>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</si>
  <si>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</si>
  <si>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</si>
  <si>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</si>
  <si>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</si>
  <si>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</si>
  <si>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</si>
  <si>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</si>
  <si>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</si>
  <si>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</si>
  <si>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</si>
  <si>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</si>
  <si>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</si>
  <si>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</si>
  <si>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</si>
  <si>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</si>
  <si>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</si>
  <si>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</si>
  <si>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</si>
  <si>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</si>
  <si>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</si>
  <si>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</si>
  <si>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</si>
  <si>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</si>
  <si>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</si>
  <si>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</si>
  <si>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</si>
  <si>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</si>
  <si>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</si>
  <si>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</si>
  <si>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</si>
  <si>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</si>
  <si>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</si>
  <si>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</si>
  <si>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</si>
  <si>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</si>
  <si>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</si>
  <si>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</si>
  <si>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</si>
  <si>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</si>
  <si>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</si>
  <si>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</si>
  <si>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</si>
  <si>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</si>
  <si>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</si>
  <si>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</si>
  <si>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</si>
  <si>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</si>
  <si>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</si>
  <si>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</si>
  <si>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</si>
  <si>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</si>
  <si>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</si>
  <si>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</si>
  <si>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</si>
  <si>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</si>
  <si>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</si>
  <si>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</si>
  <si>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</si>
  <si>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</si>
  <si>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</si>
  <si>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</si>
  <si>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</si>
  <si>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</si>
  <si>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</si>
  <si>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</si>
  <si>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</si>
  <si>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</si>
  <si>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</si>
  <si>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</si>
  <si>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</si>
  <si>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</si>
  <si>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</si>
  <si>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</si>
  <si>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</si>
  <si>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</si>
  <si>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</si>
  <si>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</si>
  <si>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</si>
  <si>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</si>
  <si>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</si>
  <si>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</si>
  <si>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</si>
  <si>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</si>
  <si>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</si>
  <si>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</si>
  <si>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</si>
  <si>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</si>
  <si>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</si>
  <si>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</si>
  <si>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</si>
  <si>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</si>
  <si>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</si>
  <si>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</si>
  <si>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</si>
  <si>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</si>
  <si>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</si>
  <si>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</si>
  <si>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</si>
  <si>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</si>
  <si>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</si>
  <si>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</si>
  <si>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</si>
  <si>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</si>
  <si>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</si>
  <si>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</si>
  <si>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</si>
  <si>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</si>
  <si>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</si>
  <si>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</si>
  <si>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</si>
  <si>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</si>
  <si>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</si>
  <si>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</si>
  <si>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</si>
  <si>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</si>
  <si>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</si>
  <si>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</si>
  <si>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</si>
  <si>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</si>
  <si>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</si>
  <si>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</si>
  <si>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</si>
  <si>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</si>
  <si>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</si>
  <si>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</si>
  <si>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</si>
  <si>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</si>
  <si>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</si>
  <si>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</si>
  <si>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</si>
  <si>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</si>
  <si>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</si>
  <si>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</si>
  <si>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</si>
  <si>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</si>
  <si>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</si>
  <si>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</si>
  <si>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</si>
  <si>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</si>
  <si>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</si>
  <si>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</si>
  <si>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</si>
  <si>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</si>
  <si>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</si>
  <si>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</si>
  <si>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</si>
  <si>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</si>
  <si>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</si>
  <si>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</si>
  <si>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</si>
  <si>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</si>
  <si>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</si>
  <si>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</si>
  <si>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</si>
  <si>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</si>
  <si>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</si>
  <si>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</si>
  <si>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</si>
  <si>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</si>
  <si>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</si>
  <si>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</si>
  <si>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</si>
  <si>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</si>
  <si>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</si>
  <si>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</si>
  <si>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</si>
  <si>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</si>
  <si>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</si>
  <si>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</si>
  <si>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</si>
  <si>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</si>
  <si>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</si>
  <si>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</si>
  <si>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</si>
  <si>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</si>
  <si>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</si>
  <si>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</si>
  <si>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</si>
  <si>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</si>
  <si>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</si>
  <si>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</si>
  <si>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</si>
  <si>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</si>
  <si>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</si>
  <si>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</si>
  <si>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</si>
  <si>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</si>
  <si>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</si>
  <si>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</si>
  <si>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</si>
  <si>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</si>
  <si>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</si>
  <si>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</si>
  <si>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</si>
  <si>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</si>
  <si>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</si>
  <si>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</si>
  <si>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</si>
  <si>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</si>
  <si>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</si>
  <si>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</si>
  <si>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</si>
  <si>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</si>
  <si>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</si>
  <si>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</si>
  <si>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</si>
  <si>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</si>
  <si>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</si>
  <si>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</si>
  <si>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</si>
  <si>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</si>
  <si>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</si>
  <si>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</si>
  <si>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</si>
  <si>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</si>
  <si>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</si>
  <si>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</si>
  <si>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</si>
  <si>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</si>
  <si>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</si>
  <si>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</si>
  <si>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</si>
  <si>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</si>
  <si>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</si>
  <si>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</si>
  <si>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</si>
  <si>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</si>
  <si>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</si>
  <si>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</si>
  <si>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</si>
  <si>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</si>
  <si>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</si>
  <si>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</si>
  <si>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</si>
  <si>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</si>
  <si>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</si>
  <si>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</si>
  <si>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</si>
  <si>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</si>
  <si>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</si>
  <si>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</si>
  <si>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</si>
  <si>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</si>
  <si>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</si>
  <si>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</si>
  <si>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</si>
  <si>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</si>
  <si>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</si>
  <si>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</si>
  <si>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</si>
  <si>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</si>
  <si>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</si>
  <si>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</si>
  <si>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</si>
  <si>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</si>
  <si>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</si>
  <si>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</si>
  <si>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</si>
  <si>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</si>
  <si>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</si>
  <si>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</si>
  <si>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</si>
  <si>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</si>
  <si>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</si>
  <si>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</si>
  <si>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</si>
  <si>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</si>
  <si>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</si>
  <si>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</si>
  <si>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</si>
  <si>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</si>
  <si>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</si>
  <si>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</si>
  <si>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</si>
  <si>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</si>
  <si>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</si>
  <si>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</si>
  <si>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</si>
  <si>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</si>
  <si>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</si>
  <si>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</si>
  <si>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</si>
  <si>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</si>
  <si>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</si>
  <si>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</si>
  <si>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</si>
  <si>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</si>
  <si>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</si>
  <si>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</si>
  <si>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</si>
  <si>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</si>
  <si>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</si>
  <si>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</si>
  <si>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</si>
  <si>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</si>
  <si>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</si>
  <si>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</si>
  <si>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</si>
  <si>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</si>
  <si>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</si>
  <si>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</si>
  <si>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</si>
  <si>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</si>
  <si>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</si>
  <si>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</si>
  <si>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</si>
  <si>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</si>
  <si>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</si>
  <si>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</si>
  <si>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</si>
  <si>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</si>
  <si>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</si>
  <si>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</si>
  <si>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</si>
  <si>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</si>
  <si>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</si>
  <si>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</si>
  <si>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</si>
  <si>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</si>
  <si>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</si>
  <si>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</si>
  <si>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</si>
  <si>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</si>
  <si>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</si>
  <si>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</si>
  <si>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</si>
  <si>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</si>
  <si>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</si>
  <si>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</si>
  <si>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</si>
  <si>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</si>
  <si>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</si>
  <si>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</si>
  <si>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</si>
  <si>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</si>
  <si>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</si>
  <si>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</si>
  <si>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</si>
  <si>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</si>
  <si>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</si>
  <si>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</si>
  <si>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</si>
  <si>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</si>
  <si>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</si>
  <si>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</si>
  <si>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</si>
  <si>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</si>
  <si>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</si>
  <si>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</si>
  <si>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</si>
  <si>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</si>
  <si>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</si>
  <si>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</si>
  <si>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</si>
  <si>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</si>
  <si>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</si>
  <si>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</si>
  <si>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</si>
  <si>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</si>
  <si>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</si>
  <si>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</si>
  <si>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</si>
  <si>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</si>
  <si>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</si>
  <si>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</si>
  <si>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</si>
  <si>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</si>
  <si>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</si>
  <si>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</si>
  <si>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</si>
  <si>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</si>
  <si>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</si>
  <si>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</si>
  <si>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</si>
  <si>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</si>
  <si>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</si>
  <si>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</si>
  <si>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</si>
  <si>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</si>
  <si>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</si>
  <si>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</si>
  <si>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</si>
  <si>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</si>
  <si>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</si>
  <si>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</si>
  <si>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</si>
  <si>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</si>
  <si>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</si>
  <si>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</si>
  <si>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</si>
  <si>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</si>
  <si>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</si>
  <si>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</si>
  <si>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</si>
  <si>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</si>
  <si>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</si>
  <si>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</si>
  <si>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</si>
  <si>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</si>
  <si>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</si>
  <si>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</si>
  <si>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</si>
  <si>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</si>
  <si>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</si>
  <si>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</si>
  <si>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</si>
  <si>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</si>
  <si>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</si>
  <si>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</si>
  <si>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</si>
  <si>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</si>
  <si>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</si>
  <si>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</si>
  <si>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</si>
  <si>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</si>
  <si>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</si>
  <si>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</si>
  <si>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</si>
  <si>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</si>
  <si>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</si>
  <si>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</si>
  <si>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</si>
  <si>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</si>
  <si>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</si>
  <si>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</si>
  <si>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</si>
  <si>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</si>
  <si>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</si>
  <si>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</si>
  <si>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</si>
  <si>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</si>
  <si>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</si>
  <si>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</si>
  <si>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</si>
  <si>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</si>
  <si>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</si>
  <si>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</si>
  <si>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</si>
  <si>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</si>
  <si>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</si>
  <si>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</si>
  <si>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</si>
  <si>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</si>
  <si>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</si>
  <si>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</si>
  <si>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</si>
  <si>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</si>
  <si>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</si>
  <si>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</si>
  <si>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</si>
  <si>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</si>
  <si>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</si>
  <si>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</si>
  <si>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</si>
  <si>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</si>
  <si>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</si>
  <si>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</si>
  <si>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</si>
  <si>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</si>
  <si>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</si>
  <si>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</si>
  <si>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</si>
  <si>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</si>
  <si>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</si>
  <si>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</si>
  <si>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</si>
  <si>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</si>
  <si>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</si>
  <si>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</si>
  <si>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</si>
  <si>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</si>
  <si>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</si>
  <si>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</si>
  <si>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</si>
  <si>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</si>
  <si>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</si>
  <si>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</si>
  <si>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</si>
  <si>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</si>
  <si>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</si>
  <si>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</si>
  <si>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</si>
  <si>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</si>
  <si>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</si>
  <si>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</si>
  <si>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</si>
  <si>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</si>
  <si>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</si>
  <si>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</si>
  <si>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</si>
  <si>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</si>
  <si>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</si>
  <si>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</si>
  <si>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</si>
  <si>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</si>
  <si>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</si>
  <si>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</si>
  <si>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</si>
  <si>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</si>
  <si>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</si>
  <si>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</si>
  <si>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</si>
  <si>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</si>
  <si>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</si>
  <si>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</si>
  <si>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</si>
  <si>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</si>
  <si>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</si>
  <si>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</si>
  <si>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</si>
  <si>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</si>
  <si>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</si>
  <si>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</si>
  <si>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</si>
  <si>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</si>
  <si>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</si>
  <si>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</si>
  <si>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</si>
  <si>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</si>
  <si>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</si>
  <si>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</si>
  <si>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</si>
  <si>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</si>
  <si>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</si>
  <si>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</si>
  <si>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</si>
  <si>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</si>
  <si>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</si>
  <si>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</si>
  <si>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</si>
  <si>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</si>
  <si>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</si>
  <si>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</si>
  <si>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</si>
  <si>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</si>
  <si>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</si>
  <si>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</si>
  <si>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</si>
  <si>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</si>
  <si>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</si>
  <si>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</si>
  <si>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</si>
  <si>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</si>
  <si>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</si>
  <si>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</si>
  <si>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</si>
  <si>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</si>
  <si>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</si>
  <si>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</si>
  <si>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</si>
  <si>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</si>
  <si>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</si>
  <si>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</si>
  <si>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</si>
  <si>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</si>
  <si>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</si>
  <si>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</si>
  <si>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</si>
  <si>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</si>
  <si>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</si>
  <si>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</si>
  <si>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</si>
  <si>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</si>
  <si>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</si>
  <si>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</si>
  <si>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</si>
  <si>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</si>
  <si>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</si>
  <si>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</si>
  <si>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</si>
  <si>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</si>
  <si>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</si>
  <si>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</si>
  <si>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</si>
  <si>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</si>
  <si>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</si>
  <si>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</si>
  <si>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</si>
  <si>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</si>
  <si>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</si>
  <si>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</si>
  <si>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</si>
  <si>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</si>
  <si>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</si>
  <si>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</si>
  <si>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</si>
  <si>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</si>
  <si>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</si>
  <si>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</si>
  <si>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</si>
  <si>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</si>
  <si>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</si>
  <si>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</si>
  <si>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</si>
  <si>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</si>
  <si>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</si>
  <si>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</si>
  <si>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</si>
  <si>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</si>
  <si>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</si>
  <si>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</si>
  <si>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</si>
  <si>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</si>
  <si>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</si>
  <si>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</si>
  <si>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</si>
  <si>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</si>
  <si>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</si>
  <si>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</si>
  <si>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</si>
  <si>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</si>
  <si>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</si>
  <si>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</si>
  <si>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</si>
  <si>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</si>
  <si>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</si>
  <si>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</si>
  <si>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</si>
  <si>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</si>
  <si>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</si>
  <si>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</si>
  <si>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</si>
  <si>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</si>
  <si>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</si>
  <si>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</si>
  <si>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</si>
  <si>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</si>
  <si>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</si>
  <si>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</si>
  <si>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</si>
  <si>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</si>
  <si>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</si>
  <si>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</si>
  <si>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</si>
  <si>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</si>
  <si>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</si>
  <si>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</si>
  <si>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</si>
  <si>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</si>
  <si>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</si>
  <si>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</si>
  <si>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</si>
  <si>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</si>
  <si>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</si>
  <si>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</si>
  <si>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</si>
  <si>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</si>
  <si>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</si>
  <si>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</si>
  <si>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</si>
  <si>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</si>
  <si>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</si>
  <si>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</si>
  <si>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</si>
  <si>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</si>
  <si>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</si>
  <si>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</si>
  <si>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</si>
  <si>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</si>
  <si>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</si>
  <si>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2.1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</si>
  <si>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</si>
  <si>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</si>
  <si>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</si>
  <si>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</si>
  <si>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</si>
  <si>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</si>
  <si>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</si>
  <si>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</si>
  <si>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</si>
  <si>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</si>
  <si>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</si>
  <si>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</si>
  <si>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</si>
  <si>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</si>
  <si>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</si>
  <si>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</si>
  <si>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</si>
  <si>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</si>
  <si>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</si>
  <si>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</si>
  <si>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</si>
  <si>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</si>
  <si>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</si>
  <si>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</si>
  <si>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</si>
  <si>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</si>
  <si>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</si>
  <si>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</si>
  <si>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</si>
  <si>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</si>
  <si>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</si>
  <si>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</si>
  <si>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</si>
  <si>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</si>
  <si>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</si>
  <si>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</si>
  <si>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</si>
  <si>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</si>
  <si>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</si>
  <si>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</si>
  <si>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</si>
  <si>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</si>
  <si>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</si>
  <si>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</si>
  <si>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</si>
  <si>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</si>
  <si>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</si>
  <si>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</si>
  <si>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</si>
  <si>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</si>
  <si>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</si>
  <si>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</si>
  <si>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</si>
  <si>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</si>
  <si>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</si>
  <si>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</si>
  <si>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</si>
  <si>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</si>
  <si>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</si>
  <si>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</si>
  <si>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</si>
  <si>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</si>
  <si>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</si>
  <si>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</si>
  <si>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</si>
  <si>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</si>
  <si>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</si>
  <si>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</si>
  <si>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</si>
  <si>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</si>
  <si>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</si>
  <si>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</si>
  <si>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</si>
  <si>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</si>
  <si>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</si>
  <si>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</si>
  <si>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0,7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</si>
  <si>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</si>
  <si>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</si>
  <si>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</si>
  <si>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</si>
  <si>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</si>
  <si>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</si>
  <si>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</si>
  <si>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</si>
  <si>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</si>
  <si>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</si>
  <si>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</si>
  <si>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</si>
  <si>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</si>
  <si>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</si>
  <si>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</si>
  <si>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</si>
  <si>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</si>
  <si>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</si>
  <si>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</si>
  <si>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</si>
  <si>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</si>
  <si>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</si>
  <si>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</si>
  <si>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</si>
  <si>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</si>
  <si>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</si>
  <si>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</si>
  <si>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</si>
  <si>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</si>
  <si>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</si>
  <si>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</si>
  <si>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</si>
  <si>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</si>
  <si>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</si>
  <si>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</si>
  <si>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</si>
  <si>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</si>
  <si>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</si>
  <si>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</si>
  <si>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</si>
  <si>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</si>
  <si>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</si>
  <si>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</si>
  <si>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</si>
  <si>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</si>
  <si>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</si>
  <si>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</si>
  <si>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</si>
  <si>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</si>
  <si>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</si>
  <si>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</si>
  <si>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</si>
  <si>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</si>
  <si>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</si>
  <si>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</si>
  <si>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</si>
  <si>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</si>
  <si>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</si>
  <si>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</si>
  <si>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</si>
  <si>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</si>
  <si>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</si>
  <si>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</si>
  <si>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</si>
  <si>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</si>
  <si>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</si>
  <si>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</si>
  <si>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</si>
  <si>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</si>
  <si>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</si>
  <si>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</si>
  <si>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</si>
  <si>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</si>
  <si>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</si>
  <si>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</si>
  <si>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</si>
  <si>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</si>
  <si>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</si>
  <si>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</si>
  <si>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</si>
  <si>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</si>
  <si>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</si>
  <si>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</si>
  <si>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</si>
  <si>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</si>
  <si>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</si>
  <si>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</si>
  <si>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</si>
  <si>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</si>
  <si>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</si>
  <si>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</si>
  <si>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</si>
  <si>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</si>
  <si>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</si>
  <si>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</si>
  <si>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</si>
  <si>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</si>
  <si>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</si>
  <si>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</si>
  <si>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</si>
  <si>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</si>
  <si>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</si>
  <si>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</si>
  <si>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</si>
  <si>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</si>
  <si>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</si>
  <si>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</si>
  <si>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</si>
  <si>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</si>
  <si>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</si>
  <si>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</si>
  <si>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</si>
  <si>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</si>
  <si>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</si>
  <si>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</si>
  <si>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</si>
  <si>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</si>
  <si>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</si>
  <si>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</si>
  <si>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</si>
  <si>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</si>
  <si>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</si>
  <si>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</si>
  <si>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</si>
  <si>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</si>
  <si>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</si>
  <si>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</si>
  <si>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</si>
  <si>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</si>
  <si>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</si>
  <si>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</si>
  <si>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</si>
  <si>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</si>
  <si>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</si>
  <si>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</si>
  <si>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</si>
  <si>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</si>
  <si>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</si>
  <si>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</si>
  <si>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</si>
  <si>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</si>
  <si>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</si>
  <si>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</si>
  <si>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</si>
  <si>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</si>
  <si>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</si>
  <si>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</si>
  <si>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</si>
  <si>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</si>
  <si>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</si>
  <si>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</si>
  <si>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</si>
  <si>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</si>
  <si>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</si>
  <si>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</si>
  <si>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</si>
  <si>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</si>
  <si>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</si>
  <si>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</si>
  <si>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</si>
  <si>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</si>
  <si>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</si>
  <si>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</si>
  <si>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</si>
  <si>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</si>
  <si>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</si>
  <si>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</si>
  <si>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</si>
  <si>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</si>
  <si>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</si>
  <si>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</si>
  <si>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</si>
  <si>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</si>
  <si>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</si>
  <si>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</si>
  <si>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</si>
  <si>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</si>
  <si>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</si>
  <si>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</si>
  <si>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</si>
  <si>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</si>
  <si>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</si>
  <si>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</si>
  <si>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</si>
  <si>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</si>
  <si>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</si>
  <si>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</si>
  <si>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</si>
  <si>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</si>
  <si>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</si>
  <si>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</si>
  <si>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</si>
  <si>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</si>
  <si>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</si>
  <si>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</si>
  <si>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</si>
  <si>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</si>
  <si>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</si>
  <si>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</si>
  <si>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</si>
  <si>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</si>
  <si>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</si>
  <si>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</si>
  <si>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</si>
  <si>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</si>
  <si>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</si>
  <si>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</si>
  <si>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</si>
  <si>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</si>
  <si>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</si>
  <si>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</si>
  <si>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</si>
  <si>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</si>
  <si>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</si>
  <si>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</si>
  <si>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</si>
  <si>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</si>
  <si>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</si>
  <si>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</si>
  <si>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</si>
  <si>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</si>
  <si>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</si>
  <si>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</si>
  <si>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</si>
  <si>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</si>
  <si>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</si>
  <si>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</si>
  <si>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</si>
  <si>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</si>
  <si>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</si>
  <si>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</si>
  <si>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</si>
  <si>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</si>
  <si>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DC-DC понижающий/повышающий преобразователь, вход: 3 - 40 В, выход: 1,25 - 40 В 1,5 А</t>
  </si>
  <si>
    <t>MC3306A</t>
  </si>
  <si>
    <t>Таймер интегральный прецизионный КМОП</t>
  </si>
  <si>
    <t>LMC555</t>
  </si>
  <si>
    <t>Двухканальный драйвер затвора для mosfet и igbt транзисторов</t>
  </si>
  <si>
    <t>IXDN602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</si>
  <si>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</si>
  <si>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</si>
  <si>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</si>
  <si>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</si>
  <si>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</si>
  <si>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</si>
  <si>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</si>
  <si>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40 В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</si>
  <si>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</si>
  <si>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</si>
  <si>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</si>
  <si>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</si>
  <si>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</si>
  <si>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</si>
  <si>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</si>
  <si>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</si>
  <si>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</si>
  <si>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</si>
  <si>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</si>
  <si>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</si>
  <si>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</si>
  <si>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</si>
  <si>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XT90PB-M</t>
  </si>
  <si>
    <t>90 А (60 продолжительно), 2 контакта, прямой отец</t>
  </si>
  <si>
    <t>IDC_40_Male conector</t>
  </si>
  <si>
    <t>IDC 40-пиновый разъём прямая вилка</t>
  </si>
  <si>
    <t>Footprints\Connectors\IDC_40_Male conector.PcbLib</t>
  </si>
  <si>
    <t>Schematic\Connectors\IDC_40pin.SchLib</t>
  </si>
  <si>
    <t>IDC_40pin</t>
  </si>
  <si>
    <t>Footprints\Connectors\XT90PB-M.PcbLib</t>
  </si>
  <si>
    <t>Footprints\Connectors\MR60PB-M.PcbLib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</si>
</sst>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sz val="12"/>
      <color rgb="FF1F1F1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6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8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0" fontId="10" fillId="0" borderId="0" xfId="0" applyFont="1"/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0" fontId="0" fillId="3" borderId="1" xfId="0" applyFill="1" applyBorder="1"/>
    <xf numFmtId="49" fontId="0" fillId="3" borderId="5" xfId="0" applyNumberFormat="1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1" fontId="0" fillId="3" borderId="4" xfId="0" applyNumberFormat="1" applyFill="1" applyBorder="1"/>
    <xf numFmtId="0" fontId="0" fillId="3" borderId="4" xfId="0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1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0" fontId="0" fillId="3" borderId="1" xfId="0" applyFont="1" applyFill="1" applyBorder="1"/>
    <xf numFmtId="49" fontId="0" fillId="3" borderId="1" xfId="0" applyNumberFormat="1" applyFont="1" applyFill="1" applyBorder="1"/>
    <xf numFmtId="0" fontId="0" fillId="0" borderId="5" xfId="0" applyFont="1" applyBorder="1"/>
    <xf numFmtId="0" fontId="0" fillId="0" borderId="1" xfId="0" applyFont="1" applyBorder="1"/>
    <xf numFmtId="49" fontId="0" fillId="0" borderId="1" xfId="0" applyNumberFormat="1" applyFont="1" applyBorder="1"/>
    <xf numFmtId="0" fontId="0" fillId="3" borderId="5" xfId="0" applyFont="1" applyFill="1" applyBorder="1"/>
    <xf numFmtId="0" fontId="0" fillId="0" borderId="0" xfId="0" applyNumberFormat="1"/>
  </cellXfs>
  <cellStyles count="2">
    <cellStyle name="Гиперссылка" xfId="1" builtinId="8"/>
    <cellStyle name="Обычный" xfId="0" builtinId="0"/>
  </cellStyles>
  <dxfs count="124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3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4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5" DataBindingLoadMode="1"/>
  </Map>
  <Map ID="6" Name="TVS" RootElement="TVS" SchemaID="Schema6" ShowImportExportValidationErrors="false" AutoFit="true" Append="false" PreserveSortAFLayout="true" PreserveFormat="true">
    <DataBinding FileBinding="true" ConnectionID="16" DataBindingLoadMode="1"/>
  </Map>
  <Map ID="5" Name="Zener" RootElement="Zener" SchemaID="Schema5" ShowImportExportValidationErrors="false" AutoFit="true" Append="false" PreserveSortAFLayout="true" PreserveFormat="true">
    <DataBinding FileBinding="true" ConnectionID="1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xmlMaps" Target="xmlMap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ublic/Documents/Altium/AD24/Library/Hydrolib_1/Database/Hydrolib_bd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ips"/>
      <sheetName val="Schottky"/>
      <sheetName val="Zener"/>
      <sheetName val="TVS"/>
      <sheetName val="Transistors"/>
      <sheetName val="Resistors"/>
      <sheetName val="Capacitors"/>
      <sheetName val="Capacitors_ceramic"/>
      <sheetName val="Capacitors_electrolytic"/>
      <sheetName val="Inductance"/>
      <sheetName val="Other"/>
      <sheetName val="Connectors"/>
      <sheetName val="Hydrolib_bd_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37" tableType="xml" totalsRowShown="0" headerRowDxfId="123" connectionId="6">
  <autoFilter ref="A1:L37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22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4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21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20">
      <xmlColumnPr mapId="30" xpath="/Schottky/Part/VoltageNominal_V" xmlDataType="string"/>
    </tableColumn>
    <tableColumn id="9" xr3:uid="{431126AD-34DC-40A1-9CB6-D627B7878BEA}" uniqueName="Current_A" name="Current (A)" dataDxfId="119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17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0" tableType="xml" totalsRowShown="0" dataDxfId="118" connectionId="16">
  <autoFilter ref="A1:L10" xr:uid="{35EAFB53-5120-48E8-B7CF-F527619EF3EB}"/>
  <tableColumns count="12">
    <tableColumn id="1" xr3:uid="{8FF51BCB-1CBC-41C4-B0E3-6994AEB249EF}" uniqueName="PartNumber" name="Part Number" dataDxfId="117">
      <xmlColumnPr mapId="6" xpath="/TVS/Part/PartNumber" xmlDataType="string"/>
    </tableColumn>
    <tableColumn id="2" xr3:uid="{254709FF-71DC-4C18-A11E-3F482A74905F}" uniqueName="Description" name="Description" dataDxfId="116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15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14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13">
      <xmlColumnPr mapId="6" xpath="/TVS/Part/LibraryRef" xmlDataType="string"/>
    </tableColumn>
    <tableColumn id="6" xr3:uid="{C5C7E783-B9B8-469C-B255-FC24F12E71DC}" uniqueName="FootprintPath1" name="Footprint Path 1" dataDxfId="112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11">
      <xmlColumnPr mapId="6" xpath="/TVS/Part/FootprintRef1" xmlDataType="string"/>
    </tableColumn>
    <tableColumn id="8" xr3:uid="{16B3AEE3-BEA7-4870-9494-F8A0EC5E9CCD}" uniqueName="VoltageNominal" name="Voltage nominal (V)" dataDxfId="110">
      <xmlColumnPr mapId="6" xpath="/TVS/Part/VoltageNominal" xmlDataType="string"/>
    </tableColumn>
    <tableColumn id="9" xr3:uid="{7DDE345A-D145-4A55-B781-91F88095B1FE}" uniqueName="Power" name="Power (W)" dataDxfId="109">
      <xmlColumnPr mapId="6" xpath="/TVS/Part/Power" xmlDataType="string"/>
    </tableColumn>
    <tableColumn id="10" xr3:uid="{EBB777BC-3BC6-4EF4-AC63-F94C7CFCFC0E}" uniqueName="Value" name="Value" dataDxfId="108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07">
      <xmlColumnPr mapId="6" xpath="/TVS/Part/Inteface" xmlDataType="string"/>
    </tableColumn>
    <tableColumn id="12" xr3:uid="{2FC69434-3445-47B6-BAFF-5BDCB5CA78D9}" uniqueName="12" name="Datasheet" dataDxfId="10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1" tableType="xml" totalsRowShown="0" headerRowDxfId="105" connectionId="15">
  <autoFilter ref="A1:L11" xr:uid="{11DAD5D3-6841-4BFD-8583-65DE6E00D680}"/>
  <tableColumns count="12">
    <tableColumn id="1" xr3:uid="{59488B22-9EFD-4960-9418-72616CC8F6CC}" uniqueName="PartNumber" name="Part Number" dataDxfId="104">
      <xmlColumnPr mapId="8" xpath="/Transistors/Part/PartNumber" xmlDataType="string"/>
    </tableColumn>
    <tableColumn id="2" xr3:uid="{B6051881-2BC5-4D5F-9AEE-A86DF4412A4C}" uniqueName="Description" name="Description" dataDxfId="103">
      <xmlColumnPr mapId="8" xpath="/Transistors/Part/Description" xmlDataType="string"/>
    </tableColumn>
    <tableColumn id="3" xr3:uid="{377CEA9C-B3A1-4F57-920A-BA1AC9164370}" uniqueName="Comment" name="Comment" dataDxfId="102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01">
      <xmlColumnPr mapId="8" xpath="/Transistors/Part/LibraryPath" xmlDataType="string"/>
    </tableColumn>
    <tableColumn id="5" xr3:uid="{02693066-D721-4B47-BEE5-D678B96A10FB}" uniqueName="LibraryRef" name="Library Ref" dataDxfId="100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99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M176" tableType="xml" totalsRowShown="0" headerRowDxfId="98" dataDxfId="97" connectionId="13">
  <autoFilter ref="A1:M176" xr:uid="{02061886-A591-4FD8-8C5B-3D1D2DB1F417}"/>
  <tableColumns count="13">
    <tableColumn id="1" xr3:uid="{1DE1C76C-B7F9-47FB-9EB0-156A2D87FD9E}" uniqueName="PartNumber" name="Part Number" dataDxfId="96">
      <xmlColumnPr mapId="38" xpath="/Resistors/Part/PartNumber" xmlDataType="string"/>
    </tableColumn>
    <tableColumn id="2" xr3:uid="{64E60790-EB9B-4A0D-B52C-7CB5A6F82DE8}" uniqueName="Description" name="Description" dataDxfId="95">
      <xmlColumnPr mapId="38" xpath="/Resistors/Part/Description" xmlDataType="string"/>
    </tableColumn>
    <tableColumn id="3" xr3:uid="{497E7478-3EE2-4F8D-A572-C738B7321387}" uniqueName="Comment" name="Comment" dataDxfId="94">
      <xmlColumnPr mapId="38" xpath="/Resistors/Part/Comment" xmlDataType="string"/>
    </tableColumn>
    <tableColumn id="4" xr3:uid="{255B034D-70D9-458C-8FA7-FEB8317A497F}" uniqueName="LibraryPath" name="Library Path" dataDxfId="93">
      <xmlColumnPr mapId="38" xpath="/Resistors/Part/LibraryPath" xmlDataType="string"/>
    </tableColumn>
    <tableColumn id="5" xr3:uid="{A3865419-9EA5-4AAA-B07F-FF52D437DC02}" uniqueName="LibraryRef" name="Library Ref" dataDxfId="92">
      <xmlColumnPr mapId="38" xpath="/Resistors/Part/LibraryRef" xmlDataType="string"/>
    </tableColumn>
    <tableColumn id="6" xr3:uid="{CE64E0F7-2F9E-477F-8D1B-040D90CB5685}" uniqueName="Value" name="Value" dataDxfId="91">
      <xmlColumnPr mapId="38" xpath="/Resistors/Part/Value" xmlDataType="string"/>
    </tableColumn>
    <tableColumn id="7" xr3:uid="{41F7703B-5A2D-47F6-B9C9-B9D386FC3CF8}" uniqueName="Tolerance" name="Tolerance" dataDxfId="90">
      <xmlColumnPr mapId="38" xpath="/Resistors/Part/Tolerance" xmlDataType="double"/>
    </tableColumn>
    <tableColumn id="8" xr3:uid="{429E7452-DB30-417B-B5E7-8F2AA238A5A4}" uniqueName="FootprintPath1" name="Footprint Path 1" dataDxfId="89">
      <xmlColumnPr mapId="38" xpath="/Resistors/Part/FootprintPath1" xmlDataType="string"/>
    </tableColumn>
    <tableColumn id="9" xr3:uid="{298A4272-57F5-45C2-AFCD-965909B2DD40}" uniqueName="FootprintRef1" name="Footprint Ref 1" dataDxfId="88">
      <xmlColumnPr mapId="38" xpath="/Resistors/Part/FootprintRef1" xmlDataType="string"/>
    </tableColumn>
    <tableColumn id="10" xr3:uid="{0DFE9A6B-806A-476A-90DD-58A133FB25CD}" uniqueName="10" name="Footprint Path 2" dataDxfId="87"/>
    <tableColumn id="11" xr3:uid="{5972F9B7-4E29-40F8-85A0-ADFB6C3B63D0}" uniqueName="11" name="Footprint Ref 2" dataDxfId="86"/>
    <tableColumn id="12" xr3:uid="{2BA89A40-2C66-4CDA-B275-A463CA193B24}" uniqueName="12" name="Footprint Path 3" dataDxfId="85"/>
    <tableColumn id="13" xr3:uid="{EB6CB4D4-35E1-4CE3-A4E3-74A449E2B85B}" uniqueName="13" name="Footprint Ref 3" dataDxfId="8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2" totalsRowShown="0">
  <autoFilter ref="A1:K2" xr:uid="{A29CC993-9C97-4A73-9D5A-85F4F6169F0D}"/>
  <tableColumns count="11">
    <tableColumn id="1" xr3:uid="{E7E6BB90-3474-4E90-9662-90728792951F}" name="Part Number"/>
    <tableColumn id="2" xr3:uid="{98A92000-AA1B-456E-BA64-C1F29B956DE5}" name="Description"/>
    <tableColumn id="3" xr3:uid="{B4AB4090-17C1-4AE7-9CAE-97918340114E}" name="Comment"/>
    <tableColumn id="4" xr3:uid="{37B831E9-0546-4F3D-869B-DCA849A60D6D}" name="Library Path"/>
    <tableColumn id="5" xr3:uid="{D6CB281C-3F3F-4F98-A962-C06645057757}" name="Library Ref"/>
    <tableColumn id="6" xr3:uid="{A8BCEECB-ED11-4B88-BF6F-96CF63D897BC}" name="Footprint Path 1"/>
    <tableColumn id="7" xr3:uid="{7B9CD19C-2EC8-4C56-940C-1504C11DD55E}" name="Footprint Ref 1"/>
    <tableColumn id="8" xr3:uid="{1881FA4C-96EB-4255-BF42-6B45DFA2BB91}" name="Repetitive peak reverse voltage (Vrrm)"/>
    <tableColumn id="9" xr3:uid="{EB5ACFA6-079B-4694-9B63-C1A08D4A6545}" name="Current (A)"/>
    <tableColumn id="10" xr3:uid="{A56E2E46-8996-40FE-9125-8C74FA00102E}" name="Power (W)"/>
    <tableColumn id="14" xr3:uid="{97A2782D-2BBA-490A-A60F-15D84AFDCD53}" name="Datasheet" dataDxfId="8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2" dataDxfId="81" connectionId="1">
  <autoFilter ref="A1:U3" xr:uid="{1041C5C1-00FD-47DC-8B7C-9DEBE212D9D4}"/>
  <tableColumns count="21">
    <tableColumn id="1" xr3:uid="{55BDD111-6381-449E-BF2B-3FEC8107762D}" uniqueName="PartNumber" name="Part Number" dataDxfId="80">
      <xmlColumnPr mapId="18" xpath="/Capacitors/Part/PartNumber" xmlDataType="string"/>
    </tableColumn>
    <tableColumn id="2" xr3:uid="{0D3E1F2C-B0CC-4A36-A41B-2F2DAEC98E3B}" uniqueName="Description" name="Description" dataDxfId="79">
      <xmlColumnPr mapId="18" xpath="/Capacitors/Part/Description" xmlDataType="string"/>
    </tableColumn>
    <tableColumn id="3" xr3:uid="{16739D52-8082-4E8D-B1E1-B82F60766E2A}" uniqueName="Comment" name="Comment" dataDxfId="78">
      <xmlColumnPr mapId="18" xpath="/Capacitors/Part/Comment" xmlDataType="string"/>
    </tableColumn>
    <tableColumn id="4" xr3:uid="{AC1F3F2E-0C78-451D-9178-0A9D15C49726}" uniqueName="LibraryPath" name="Library Path" dataDxfId="77">
      <xmlColumnPr mapId="18" xpath="/Capacitors/Part/LibraryPath" xmlDataType="string"/>
    </tableColumn>
    <tableColumn id="5" xr3:uid="{9169ABA3-E41E-40E0-B785-3D3B749D70BB}" uniqueName="LibraryRef" name="Library Ref" dataDxfId="76">
      <xmlColumnPr mapId="18" xpath="/Capacitors/Part/LibraryRef" xmlDataType="string"/>
    </tableColumn>
    <tableColumn id="6" xr3:uid="{01EADD2D-36E6-41EE-B894-B537CCE6649E}" uniqueName="Value" name="Value" dataDxfId="75">
      <xmlColumnPr mapId="18" xpath="/Capacitors/Part/Value" xmlDataType="string"/>
    </tableColumn>
    <tableColumn id="7" xr3:uid="{EC779EF2-47DD-4E8F-A8D2-159E83C79180}" uniqueName="FootprintPath1" name="Footprint Path 1" dataDxfId="74">
      <xmlColumnPr mapId="18" xpath="/Capacitors/Part/FootprintPath1" xmlDataType="string"/>
    </tableColumn>
    <tableColumn id="8" xr3:uid="{C244A49A-3E6F-4B22-983D-FFA97DB3DFF6}" uniqueName="FootprintRef1" name="Footprint Ref 1" dataDxfId="73">
      <xmlColumnPr mapId="18" xpath="/Capacitors/Part/FootprintRef1" xmlDataType="string"/>
    </tableColumn>
    <tableColumn id="9" xr3:uid="{85136BD9-A68F-40E0-9A6F-E71ECA929F04}" uniqueName="FootprintPath2" name="Footprint Path 2" dataDxfId="72">
      <xmlColumnPr mapId="18" xpath="/Capacitors/Part/FootprintPath2" xmlDataType="string"/>
    </tableColumn>
    <tableColumn id="10" xr3:uid="{9FB3A5B2-04CB-44F8-A289-C2FB25F43941}" uniqueName="FootprintRef2" name="Footprint Ref 2" dataDxfId="71">
      <xmlColumnPr mapId="18" xpath="/Capacitors/Part/FootprintRef2" xmlDataType="string"/>
    </tableColumn>
    <tableColumn id="11" xr3:uid="{50FA7750-FC9E-444C-8D52-C6B51BBD63C1}" uniqueName="FootprintPath3" name="Footprint Path 3" dataDxfId="70">
      <xmlColumnPr mapId="18" xpath="/Capacitors/Part/FootprintPath3" xmlDataType="string"/>
    </tableColumn>
    <tableColumn id="12" xr3:uid="{CB4B7F73-4E19-42EF-9940-4C2907529981}" uniqueName="FootprintRef3" name="Footprint Ref 3" dataDxfId="69">
      <xmlColumnPr mapId="18" xpath="/Capacitors/Part/FootprintRef3" xmlDataType="string"/>
    </tableColumn>
    <tableColumn id="13" xr3:uid="{6B23463C-82AA-426D-ACBC-49A19C1D46FA}" uniqueName="FootprintPath4" name="Footprint Path 4" dataDxfId="68">
      <xmlColumnPr mapId="18" xpath="/Capacitors/Part/FootprintPath4" xmlDataType="string"/>
    </tableColumn>
    <tableColumn id="14" xr3:uid="{AD691620-AB1F-42E2-B1E4-053F5C2B80E9}" uniqueName="FootprintRef4" name="Footprint Ref 4" dataDxfId="67">
      <xmlColumnPr mapId="18" xpath="/Capacitors/Part/FootprintRef4" xmlDataType="string"/>
    </tableColumn>
    <tableColumn id="15" xr3:uid="{FD0F620C-73A8-49FB-B6E9-F06F81ED3185}" uniqueName="FootprintPath5" name="Footprint Path 5" dataDxfId="66">
      <xmlColumnPr mapId="18" xpath="/Capacitors/Part/FootprintPath5" xmlDataType="string"/>
    </tableColumn>
    <tableColumn id="16" xr3:uid="{F3B1D3FD-D16A-41B6-BA7D-FAFB3CCAEEC4}" uniqueName="FootprintRef5" name="Footprint Ref 5" dataDxfId="65">
      <xmlColumnPr mapId="18" xpath="/Capacitors/Part/FootprintRef5" xmlDataType="string"/>
    </tableColumn>
    <tableColumn id="17" xr3:uid="{130B1CD3-35EC-447E-93DF-ED8F8DC7A59A}" uniqueName="FootprintPath6" name="Footprint Path 6" dataDxfId="64">
      <xmlColumnPr mapId="18" xpath="/Capacitors/Part/FootprintPath6" xmlDataType="string"/>
    </tableColumn>
    <tableColumn id="18" xr3:uid="{77AF5D99-AE0B-40E5-8972-14E04BB93BB4}" uniqueName="FootprintRef6" name="Footprint Ref 6" dataDxfId="63">
      <xmlColumnPr mapId="18" xpath="/Capacitors/Part/FootprintRef6" xmlDataType="string"/>
    </tableColumn>
    <tableColumn id="19" xr3:uid="{6809872D-01AC-4EF6-B33F-6B8DA2D054C9}" uniqueName="FootprintPath7" name="Footprint Path 7" dataDxfId="62">
      <xmlColumnPr mapId="18" xpath="/Capacitors/Part/FootprintPath7" xmlDataType="string"/>
    </tableColumn>
    <tableColumn id="20" xr3:uid="{352E5BAE-89D3-4F1C-AA92-CDC22EDD2B11}" uniqueName="FootprintRef7" name="Footprint Ref 7" dataDxfId="61">
      <xmlColumnPr mapId="18" xpath="/Capacitors/Part/FootprintRef7" xmlDataType="string"/>
    </tableColumn>
    <tableColumn id="21" xr3:uid="{A4B57C00-6D54-4DAD-902D-06A5DE02018A}" uniqueName="21" name="Datasheet" dataDxfId="6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2" tableType="xml" totalsRowShown="0" headerRowDxfId="59" headerRowBorderDxfId="58" tableBorderDxfId="57" connectionId="2">
  <autoFilter ref="A1:N42" xr:uid="{327E2CF9-785D-47F4-832A-C43F8CC576C1}"/>
  <tableColumns count="14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6" tableType="xml" totalsRowShown="0" headerRowDxfId="41" connectionId="9">
  <autoFilter ref="A1:Q16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otalsRowShown="0" headerRowDxfId="27">
  <autoFilter ref="A1:L2" xr:uid="{523FF41B-502F-41EE-9522-BC048BB41D0B}"/>
  <tableColumns count="12">
    <tableColumn id="1" xr3:uid="{2E8FD8B9-A9A7-4EE2-8B12-737F5906881B}" name="Part Number"/>
    <tableColumn id="2" xr3:uid="{81A2FB66-A866-48A0-AF62-BA15825172EE}" name="Description"/>
    <tableColumn id="3" xr3:uid="{BD3B658D-A432-477E-8803-2863DDE2C8AF}" name="Comment">
      <calculatedColumnFormula>A2</calculatedColumnFormula>
    </tableColumn>
    <tableColumn id="6" xr3:uid="{029C3C10-89D8-4F79-A0A7-B58EBC3A8DA2}" name="Library Path" dataDxfId="26"/>
    <tableColumn id="7" xr3:uid="{80B3F569-C3F5-47F7-8D7B-28E201DA2617}" name="Library Ref" dataDxfId="25"/>
    <tableColumn id="8" xr3:uid="{89EB4D75-A298-4A70-95A0-C55A38516DD5}" name="Footprint Path 1" dataDxfId="24">
      <calculatedColumnFormula>CONCATENATE("Footprints\",G2,".PcbLib")</calculatedColumnFormula>
    </tableColumn>
    <tableColumn id="9" xr3:uid="{439415E8-61F6-45EF-9A19-926E9A6CD888}" name="Footprint Ref 1" dataDxfId="23"/>
    <tableColumn id="10" xr3:uid="{9EE91FEA-9669-439B-8C30-DE7C5C8EDEAC}" name="Footprint Path 2" dataDxfId="22">
      <calculatedColumnFormula>CONCATENATE("Footprints\Inductance\",I2,".PcbLib")</calculatedColumnFormula>
    </tableColumn>
    <tableColumn id="11" xr3:uid="{A35CF89F-5150-4EF4-B739-74350667EADC}" name="Footprint Ref 2" dataDxfId="21"/>
    <tableColumn id="12" xr3:uid="{FBA8999D-4F5F-4375-B94D-80D73962B6E9}" name="Напряжение" dataDxfId="20">
      <calculatedColumnFormula>CONCATENATE("Footprints\Inductance\",K2,".PcbLib")</calculatedColumnFormula>
    </tableColumn>
    <tableColumn id="13" xr3:uid="{0950CE86-337E-4242-A1A5-09226B830B8C}" name="Ток макс" dataDxfId="19"/>
    <tableColumn id="14" xr3:uid="{DB8175AF-F0C6-47C1-8F0E-9BE83B53E316}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5" tableType="xml" totalsRowShown="0" headerRowDxfId="17" dataDxfId="16" connectionId="11">
  <autoFilter ref="A1:L15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49" tableType="xml" totalsRowShown="0" headerRowDxfId="3" connectionId="7">
  <autoFilter ref="A1:K49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5"/>
  <sheetViews>
    <sheetView topLeftCell="A16" zoomScale="107" zoomScaleNormal="145" workbookViewId="0">
      <selection activeCell="D45" sqref="D45"/>
    </sheetView>
  </sheetViews>
  <sheetFormatPr defaultRowHeight="15" x14ac:dyDescent="0.25"/>
  <cols>
    <col min="1" max="1" width="21.42578125" bestFit="1" customWidth="1"/>
    <col min="2" max="2" width="103.140625" bestFit="1" customWidth="1"/>
    <col min="3" max="3" width="21.42578125" bestFit="1" customWidth="1"/>
    <col min="4" max="4" width="38" bestFit="1" customWidth="1"/>
    <col min="5" max="5" width="21.42578125" bestFit="1" customWidth="1"/>
    <col min="6" max="6" width="38.140625" bestFit="1" customWidth="1"/>
    <col min="7" max="7" width="21.42578125" bestFit="1" customWidth="1"/>
    <col min="8" max="8" width="22.85546875" bestFit="1" customWidth="1"/>
    <col min="9" max="9" width="18.140625" bestFit="1" customWidth="1"/>
    <col min="10" max="10" width="16.42578125" customWidth="1"/>
    <col min="11" max="11" width="14.5703125" customWidth="1"/>
    <col min="12" max="12" width="13.1406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25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25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25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25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25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25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376</v>
      </c>
      <c r="H8" t="s">
        <v>976</v>
      </c>
      <c r="I8" t="s">
        <v>975</v>
      </c>
      <c r="J8" t="s">
        <v>976</v>
      </c>
      <c r="K8" t="s">
        <v>1043</v>
      </c>
    </row>
    <row r="9" spans="1:20" x14ac:dyDescent="0.25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25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25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25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1123</v>
      </c>
    </row>
    <row r="13" spans="1:20" x14ac:dyDescent="0.25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25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25">
      <c r="A15" t="s">
        <v>844</v>
      </c>
      <c r="B15" t="s">
        <v>845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25">
      <c r="A16" t="s">
        <v>846</v>
      </c>
      <c r="B16" t="s">
        <v>847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848</v>
      </c>
    </row>
    <row r="17" spans="1:9" x14ac:dyDescent="0.25">
      <c r="A17" t="s">
        <v>849</v>
      </c>
      <c r="B17" t="s">
        <v>850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25">
      <c r="A18" t="s">
        <v>871</v>
      </c>
      <c r="B18" t="s">
        <v>872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871</v>
      </c>
    </row>
    <row r="19" spans="1:9" x14ac:dyDescent="0.25">
      <c r="A19" t="s">
        <v>873</v>
      </c>
      <c r="B19" t="s">
        <v>874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875</v>
      </c>
    </row>
    <row r="20" spans="1:9" x14ac:dyDescent="0.25">
      <c r="A20" s="12" t="s">
        <v>876</v>
      </c>
      <c r="B20" t="s">
        <v>877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878</v>
      </c>
    </row>
    <row r="21" spans="1:9" x14ac:dyDescent="0.25">
      <c r="A21" t="s">
        <v>886</v>
      </c>
      <c r="B21" t="s">
        <v>887</v>
      </c>
      <c r="C21" s="2" t="s">
        <v>886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865</v>
      </c>
    </row>
    <row r="22" spans="1:9" x14ac:dyDescent="0.25">
      <c r="A22" t="s">
        <v>900</v>
      </c>
      <c r="B22" t="s">
        <v>901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899</v>
      </c>
    </row>
    <row r="23" spans="1:9" x14ac:dyDescent="0.25">
      <c r="A23" t="s">
        <v>904</v>
      </c>
      <c r="B23" t="s">
        <v>905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904</v>
      </c>
    </row>
    <row r="24" spans="1:9" x14ac:dyDescent="0.25">
      <c r="A24" t="s">
        <v>921</v>
      </c>
      <c r="B24" t="s">
        <v>923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376</v>
      </c>
    </row>
    <row r="25" spans="1:9" x14ac:dyDescent="0.25">
      <c r="A25" t="s">
        <v>922</v>
      </c>
      <c r="B25" t="s">
        <v>924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376</v>
      </c>
    </row>
    <row r="26" spans="1:9" x14ac:dyDescent="0.25">
      <c r="A26" t="s">
        <v>925</v>
      </c>
      <c r="B26" t="s">
        <v>926</v>
      </c>
      <c r="C26" s="2" t="s">
        <v>925</v>
      </c>
      <c r="D26" t="s">
        <v>927</v>
      </c>
      <c r="E26" t="s">
        <v>925</v>
      </c>
      <c r="F26" t="s">
        <v>928</v>
      </c>
      <c r="G26" t="s">
        <v>376</v>
      </c>
    </row>
    <row r="27" spans="1:9" x14ac:dyDescent="0.25">
      <c r="A27" t="s">
        <v>952</v>
      </c>
      <c r="B27" t="s">
        <v>953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25">
      <c r="A28" t="s">
        <v>971</v>
      </c>
      <c r="B28" t="s">
        <v>972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974</v>
      </c>
      <c r="G28" t="s">
        <v>973</v>
      </c>
      <c r="H28" t="s">
        <v>974</v>
      </c>
      <c r="I28" t="s">
        <v>1042</v>
      </c>
    </row>
    <row r="29" spans="1:9" x14ac:dyDescent="0.25">
      <c r="A29" t="s">
        <v>1027</v>
      </c>
      <c r="B29" t="s">
        <v>1028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1027</v>
      </c>
    </row>
    <row r="30" spans="1:9" x14ac:dyDescent="0.25">
      <c r="A30" t="s">
        <v>1029</v>
      </c>
      <c r="B30" t="s">
        <v>1058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1029</v>
      </c>
    </row>
    <row r="31" spans="1:9" x14ac:dyDescent="0.25">
      <c r="A31" t="s">
        <v>1030</v>
      </c>
      <c r="B31" t="s">
        <v>1057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1031</v>
      </c>
    </row>
    <row r="32" spans="1:9" x14ac:dyDescent="0.25">
      <c r="A32" t="s">
        <v>1053</v>
      </c>
      <c r="B32" t="s">
        <v>1054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7" x14ac:dyDescent="0.25">
      <c r="A33" t="s">
        <v>1055</v>
      </c>
      <c r="B33" t="s">
        <v>1056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7" x14ac:dyDescent="0.25">
      <c r="A34" t="s">
        <v>1072</v>
      </c>
      <c r="B34" t="s">
        <v>1073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865</v>
      </c>
    </row>
    <row r="35" spans="1:7" x14ac:dyDescent="0.25">
      <c r="A35" t="s">
        <v>1076</v>
      </c>
      <c r="B35" t="s">
        <v>1074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1075</v>
      </c>
    </row>
    <row r="36" spans="1:7" x14ac:dyDescent="0.25">
      <c r="A36" t="s">
        <v>1084</v>
      </c>
      <c r="B36" t="s">
        <v>1085</v>
      </c>
      <c r="C36" s="2" t="str">
        <f>A36</f>
        <v>LTV354T</v>
      </c>
      <c r="D36" t="str">
        <f>CONCATENATE("Schematic\",E36,".SchLib")</f>
        <v>Schematic\LTV354.SchLib</v>
      </c>
      <c r="E36" t="s">
        <v>1083</v>
      </c>
      <c r="F36" t="str">
        <f>CONCATENATE("Footprints\",G36,".PcbLib")</f>
        <v>Footprints\SOP4-2_54.PcbLib</v>
      </c>
      <c r="G36" t="s">
        <v>1086</v>
      </c>
    </row>
    <row r="37" spans="1:7" x14ac:dyDescent="0.25">
      <c r="A37" t="s">
        <v>1122</v>
      </c>
      <c r="B37" t="s">
        <v>1121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1123</v>
      </c>
    </row>
    <row r="38" spans="1:7" x14ac:dyDescent="0.25">
      <c r="A38" t="s">
        <v>1215</v>
      </c>
      <c r="B38" t="s">
        <v>1216</v>
      </c>
      <c r="C38" s="2" t="str">
        <f t="shared" ref="C38" si="15">A38</f>
        <v>USB2514BM2</v>
      </c>
      <c r="D38" t="e">
        <f>CONCATENATE("Schematic\",[1]!Таблица1[[#This Row],[Library Ref]],".SchLib")</f>
        <v>#REF!</v>
      </c>
      <c r="E38" s="2" t="s">
        <v>1215</v>
      </c>
      <c r="F38" t="str">
        <f>CONCATENATE("Footprints\",G38,".PcbLib")</f>
        <v>Footprints\VFQFN-36.PcbLib</v>
      </c>
      <c r="G38" t="s">
        <v>1217</v>
      </c>
    </row>
    <row r="39" spans="1:7" x14ac:dyDescent="0.25">
      <c r="A39" t="s">
        <v>1218</v>
      </c>
      <c r="B39" t="s">
        <v>1219</v>
      </c>
      <c r="C39" s="2" t="s">
        <v>1218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1220</v>
      </c>
    </row>
    <row r="40" spans="1:7" x14ac:dyDescent="0.25">
      <c r="A40" t="s">
        <v>1221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1222</v>
      </c>
    </row>
    <row r="41" spans="1:7" x14ac:dyDescent="0.25">
      <c r="A41" t="s">
        <v>1223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1222</v>
      </c>
    </row>
    <row r="42" spans="1:7" x14ac:dyDescent="0.25">
      <c r="A42" t="s">
        <v>1224</v>
      </c>
      <c r="B42" t="s">
        <v>1225</v>
      </c>
      <c r="C42" s="2"/>
      <c r="D42" t="str">
        <f>CONCATENATE("Schematic\",E42,".SchLib")</f>
        <v>Schematic\ADP2300.SchLib</v>
      </c>
      <c r="E42" t="s">
        <v>1226</v>
      </c>
      <c r="F42" t="str">
        <f>CONCATENATE("Footprints\",G27,".PcbLib")</f>
        <v>Footprints\SOT23-6.PcbLib</v>
      </c>
      <c r="G42" t="s">
        <v>52</v>
      </c>
    </row>
    <row r="43" spans="1:7" x14ac:dyDescent="0.25">
      <c r="A43" s="33" t="s">
        <v>1273</v>
      </c>
      <c r="B43" s="34" t="s">
        <v>1272</v>
      </c>
      <c r="C43" s="35" t="str">
        <f>A43</f>
        <v>IXDN602</v>
      </c>
      <c r="D43" s="34" t="str">
        <f>CONCATENATE("Schematic\",A43,".SchLib")</f>
        <v>Schematic\IXDN602.SchLib</v>
      </c>
      <c r="E43" s="34" t="str">
        <f>A43</f>
        <v>IXDN602</v>
      </c>
      <c r="F43" s="34" t="str">
        <f>CONCATENATE("Footprints\",G43,".PcbLib")</f>
        <v>Footprints\SOIC-8.PcbLib</v>
      </c>
      <c r="G43" s="34" t="s">
        <v>78</v>
      </c>
    </row>
    <row r="44" spans="1:7" x14ac:dyDescent="0.25">
      <c r="A44" s="36" t="s">
        <v>1271</v>
      </c>
      <c r="B44" s="31" t="s">
        <v>1270</v>
      </c>
      <c r="C44" s="32" t="str">
        <f>A44</f>
        <v>LMC555</v>
      </c>
      <c r="D44" s="31" t="str">
        <f>CONCATENATE("Schematic\",A32,".SchLib")</f>
        <v>Schematic\NE555.SchLib</v>
      </c>
      <c r="E44" s="31" t="str">
        <f>A32</f>
        <v>NE555</v>
      </c>
      <c r="F44" s="31" t="str">
        <f>CONCATENATE("Footprints\",G44,".PcbLib")</f>
        <v>Footprints\SOIC-8.PcbLib</v>
      </c>
      <c r="G44" s="31" t="s">
        <v>78</v>
      </c>
    </row>
    <row r="45" spans="1:7" x14ac:dyDescent="0.25">
      <c r="A45" s="33" t="s">
        <v>1269</v>
      </c>
      <c r="B45" s="34" t="s">
        <v>1268</v>
      </c>
      <c r="C45" s="35" t="str">
        <f>A45</f>
        <v>MC3306A</v>
      </c>
      <c r="D45" s="34" t="str">
        <f>CONCATENATE("Schematic\",A45,".SchLib")</f>
        <v>Schematic\MC3306A.SchLib</v>
      </c>
      <c r="E45" s="34" t="str">
        <f>A45</f>
        <v>MC3306A</v>
      </c>
      <c r="F45" s="34" t="str">
        <f>CONCATENATE("Footprints\",G45,".PcbLib")</f>
        <v>Footprints\SOIC-8.PcbLib</v>
      </c>
      <c r="G45" s="34" t="s">
        <v>78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J12"/>
  <sheetViews>
    <sheetView workbookViewId="0">
      <selection activeCell="A12" sqref="A12:I12"/>
    </sheetView>
  </sheetViews>
  <sheetFormatPr defaultRowHeight="15" x14ac:dyDescent="0.25"/>
  <cols>
    <col min="1" max="1" width="13.5703125" customWidth="1"/>
    <col min="2" max="2" width="33.5703125" bestFit="1" customWidth="1"/>
    <col min="3" max="3" width="11.140625" customWidth="1"/>
    <col min="4" max="4" width="31.140625" bestFit="1" customWidth="1"/>
    <col min="5" max="5" width="14.85546875" bestFit="1" customWidth="1"/>
    <col min="6" max="6" width="25.140625" bestFit="1" customWidth="1"/>
    <col min="7" max="7" width="16.5703125" bestFit="1" customWidth="1"/>
    <col min="8" max="8" width="19.5703125" customWidth="1"/>
    <col min="9" max="9" width="12.140625" style="2" customWidth="1"/>
    <col min="10" max="10" width="13.140625" customWidth="1"/>
  </cols>
  <sheetData>
    <row r="1" spans="1:10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2" t="s">
        <v>84</v>
      </c>
      <c r="J1" t="s">
        <v>1140</v>
      </c>
    </row>
    <row r="2" spans="1:10" x14ac:dyDescent="0.25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6">
        <v>30</v>
      </c>
      <c r="I2" s="16">
        <v>3</v>
      </c>
    </row>
    <row r="3" spans="1:10" x14ac:dyDescent="0.25">
      <c r="A3" s="2" t="s">
        <v>867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7" t="s">
        <v>391</v>
      </c>
      <c r="I3" s="16">
        <v>3</v>
      </c>
    </row>
    <row r="4" spans="1:10" x14ac:dyDescent="0.25">
      <c r="A4" t="s">
        <v>342</v>
      </c>
      <c r="B4" t="str">
        <f t="shared" si="0"/>
        <v>Диод шоттки на 30 В, ном. ток 0.2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6">
        <v>30</v>
      </c>
      <c r="I4" s="16" t="s">
        <v>343</v>
      </c>
    </row>
    <row r="5" spans="1:10" x14ac:dyDescent="0.25">
      <c r="A5" t="s">
        <v>344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345</v>
      </c>
      <c r="H5" s="16">
        <v>45</v>
      </c>
      <c r="I5" s="16">
        <v>10</v>
      </c>
    </row>
    <row r="6" spans="1:10" x14ac:dyDescent="0.25">
      <c r="A6" t="s">
        <v>882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6">
        <v>100</v>
      </c>
      <c r="I6" s="16">
        <v>8</v>
      </c>
    </row>
    <row r="7" spans="1:10" x14ac:dyDescent="0.25">
      <c r="A7" t="s">
        <v>956</v>
      </c>
      <c r="B7" t="str">
        <f t="shared" si="0"/>
        <v>Диод шоттки на 40 В, ном. ток 2.1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6">
        <v>40</v>
      </c>
      <c r="I7" s="16" t="s">
        <v>957</v>
      </c>
    </row>
    <row r="8" spans="1:10" x14ac:dyDescent="0.25">
      <c r="A8" t="s">
        <v>1032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1035</v>
      </c>
      <c r="E8" t="s">
        <v>1032</v>
      </c>
      <c r="F8" t="str">
        <f>CONCATENATE("Footprints\",G8,".PcbLib")</f>
        <v>Footprints\SOT23.PcbLib</v>
      </c>
      <c r="G8" t="s">
        <v>1033</v>
      </c>
      <c r="H8" s="16">
        <v>70</v>
      </c>
      <c r="I8" s="16" t="s">
        <v>1034</v>
      </c>
    </row>
    <row r="9" spans="1:10" x14ac:dyDescent="0.25">
      <c r="A9" t="s">
        <v>1044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6">
        <v>60</v>
      </c>
      <c r="I9" s="16">
        <v>5</v>
      </c>
    </row>
    <row r="10" spans="1:10" x14ac:dyDescent="0.25">
      <c r="A10" t="s">
        <v>1045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6">
        <v>40</v>
      </c>
      <c r="I10" s="16">
        <v>5</v>
      </c>
    </row>
    <row r="11" spans="1:10" x14ac:dyDescent="0.25">
      <c r="A11" t="s">
        <v>1049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6">
        <v>50</v>
      </c>
      <c r="I11" s="16">
        <v>5</v>
      </c>
    </row>
    <row r="12" spans="1:10" x14ac:dyDescent="0.25">
      <c r="A12" t="s">
        <v>1274</v>
      </c>
      <c r="B12" s="37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6">
        <v>100</v>
      </c>
      <c r="I12" s="16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5" x14ac:dyDescent="0.25"/>
  <cols>
    <col min="1" max="1" width="13.85546875" bestFit="1" customWidth="1"/>
    <col min="2" max="2" width="46.85546875" bestFit="1" customWidth="1"/>
    <col min="3" max="3" width="11.42578125" bestFit="1" customWidth="1"/>
    <col min="4" max="4" width="20.5703125" bestFit="1" customWidth="1"/>
    <col min="5" max="5" width="12" bestFit="1" customWidth="1"/>
    <col min="6" max="6" width="23.42578125" bestFit="1" customWidth="1"/>
    <col min="7" max="7" width="15.85546875" bestFit="1" customWidth="1"/>
    <col min="8" max="8" width="19.85546875" bestFit="1" customWidth="1"/>
    <col min="9" max="9" width="21.5703125" bestFit="1" customWidth="1"/>
    <col min="10" max="10" width="12" bestFit="1" customWidth="1"/>
    <col min="11" max="11" width="7.85546875" bestFit="1" customWidth="1"/>
    <col min="12" max="12" width="10.7109375" customWidth="1"/>
    <col min="13" max="13" width="15.140625" customWidth="1"/>
  </cols>
  <sheetData>
    <row r="1" spans="1:13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1070</v>
      </c>
      <c r="M1" t="s">
        <v>1140</v>
      </c>
    </row>
    <row r="2" spans="1:13" ht="12.95" customHeight="1" x14ac:dyDescent="0.25">
      <c r="A2" s="2" t="s">
        <v>70</v>
      </c>
      <c r="B2" s="2" t="s">
        <v>775</v>
      </c>
      <c r="C2" s="2" t="s">
        <v>70</v>
      </c>
      <c r="D2" s="2" t="s">
        <v>73</v>
      </c>
      <c r="E2" s="2" t="s">
        <v>74</v>
      </c>
      <c r="F2" s="2" t="s">
        <v>776</v>
      </c>
      <c r="G2" s="2" t="s">
        <v>72</v>
      </c>
      <c r="H2" s="2" t="s">
        <v>386</v>
      </c>
      <c r="I2" s="2" t="s">
        <v>777</v>
      </c>
      <c r="J2" s="2" t="s">
        <v>778</v>
      </c>
      <c r="K2" s="2" t="s">
        <v>779</v>
      </c>
      <c r="L2" s="11">
        <v>0.05</v>
      </c>
    </row>
    <row r="3" spans="1:13" x14ac:dyDescent="0.25">
      <c r="A3" t="s">
        <v>934</v>
      </c>
      <c r="B3" s="2" t="s">
        <v>935</v>
      </c>
      <c r="C3" t="s">
        <v>934</v>
      </c>
      <c r="D3" s="2" t="s">
        <v>73</v>
      </c>
      <c r="E3" s="2" t="s">
        <v>74</v>
      </c>
      <c r="F3" s="2" t="s">
        <v>936</v>
      </c>
      <c r="G3" t="s">
        <v>937</v>
      </c>
      <c r="H3" s="2" t="s">
        <v>938</v>
      </c>
      <c r="I3" s="2">
        <v>5</v>
      </c>
      <c r="J3" s="2" t="s">
        <v>1067</v>
      </c>
      <c r="K3" s="2" t="s">
        <v>939</v>
      </c>
      <c r="L3" s="11">
        <v>0.02</v>
      </c>
    </row>
    <row r="4" spans="1:13" x14ac:dyDescent="0.25">
      <c r="A4" t="s">
        <v>1063</v>
      </c>
      <c r="B4" s="2" t="s">
        <v>1064</v>
      </c>
      <c r="C4" t="s">
        <v>1063</v>
      </c>
      <c r="D4" s="2" t="s">
        <v>1065</v>
      </c>
      <c r="E4" t="s">
        <v>1066</v>
      </c>
      <c r="F4" s="2" t="s">
        <v>1071</v>
      </c>
      <c r="G4" t="s">
        <v>18</v>
      </c>
      <c r="H4" s="2" t="s">
        <v>385</v>
      </c>
      <c r="I4" s="2">
        <v>5</v>
      </c>
      <c r="J4" s="2" t="s">
        <v>1068</v>
      </c>
      <c r="K4" s="2" t="s">
        <v>1069</v>
      </c>
      <c r="L4" s="11">
        <v>0.02</v>
      </c>
    </row>
    <row r="5" spans="1:13" x14ac:dyDescent="0.25">
      <c r="A5" t="s">
        <v>1125</v>
      </c>
      <c r="B5" t="s">
        <v>1124</v>
      </c>
      <c r="C5" t="s">
        <v>1125</v>
      </c>
      <c r="D5" s="2" t="s">
        <v>73</v>
      </c>
      <c r="E5" s="2" t="s">
        <v>74</v>
      </c>
      <c r="F5" s="2" t="s">
        <v>936</v>
      </c>
      <c r="G5" t="s">
        <v>937</v>
      </c>
      <c r="H5" s="2" t="s">
        <v>386</v>
      </c>
      <c r="I5" s="2" t="s">
        <v>777</v>
      </c>
      <c r="J5" s="2" t="s">
        <v>1067</v>
      </c>
      <c r="K5" s="2" t="s">
        <v>779</v>
      </c>
      <c r="L5" s="11">
        <v>0.02</v>
      </c>
    </row>
    <row r="6" spans="1:13" x14ac:dyDescent="0.25">
      <c r="H6" s="2"/>
      <c r="I6" s="2"/>
      <c r="J6" s="2"/>
      <c r="K6" s="2"/>
    </row>
    <row r="7" spans="1:13" x14ac:dyDescent="0.25">
      <c r="H7" s="2"/>
      <c r="I7" s="2"/>
      <c r="J7" s="2"/>
      <c r="K7" s="2"/>
    </row>
    <row r="8" spans="1:13" x14ac:dyDescent="0.25">
      <c r="H8" s="2"/>
      <c r="I8" s="2"/>
      <c r="J8" s="2"/>
      <c r="K8" s="2"/>
    </row>
    <row r="9" spans="1:13" x14ac:dyDescent="0.25">
      <c r="H9" s="2"/>
      <c r="I9" s="2"/>
      <c r="J9" s="2"/>
      <c r="K9" s="2"/>
    </row>
    <row r="10" spans="1:13" x14ac:dyDescent="0.25">
      <c r="H10" s="2"/>
      <c r="I10" s="2"/>
      <c r="J10" s="2"/>
      <c r="K10" s="2"/>
    </row>
    <row r="11" spans="1:13" x14ac:dyDescent="0.25">
      <c r="H11" s="2"/>
      <c r="I11" s="2"/>
      <c r="J11" s="2"/>
      <c r="K11" s="2"/>
    </row>
    <row r="12" spans="1:13" x14ac:dyDescent="0.25">
      <c r="H12" s="2"/>
      <c r="I12" s="2"/>
      <c r="J12" s="2"/>
      <c r="K12" s="2"/>
    </row>
    <row r="13" spans="1:13" x14ac:dyDescent="0.25">
      <c r="H13" s="2"/>
      <c r="I13" s="2"/>
      <c r="J13" s="2"/>
      <c r="K13" s="2"/>
    </row>
    <row r="14" spans="1:13" x14ac:dyDescent="0.25">
      <c r="H14" s="2"/>
      <c r="I14" s="2"/>
      <c r="J14" s="2"/>
      <c r="K14" s="2"/>
    </row>
    <row r="15" spans="1:13" x14ac:dyDescent="0.25">
      <c r="H15" s="2"/>
      <c r="I15" s="2"/>
      <c r="J15" s="2"/>
      <c r="K15" s="2"/>
    </row>
    <row r="16" spans="1:13" x14ac:dyDescent="0.25">
      <c r="H16" s="2"/>
      <c r="I16" s="2"/>
      <c r="J16" s="2"/>
      <c r="K16" s="2"/>
    </row>
    <row r="17" spans="8:11" x14ac:dyDescent="0.25">
      <c r="H17" s="2"/>
      <c r="I17" s="2"/>
      <c r="J17" s="2"/>
      <c r="K17" s="2"/>
    </row>
    <row r="18" spans="8:11" x14ac:dyDescent="0.25">
      <c r="H18" s="2"/>
      <c r="I18" s="2"/>
      <c r="J18" s="2"/>
      <c r="K18" s="2"/>
    </row>
    <row r="19" spans="8:11" x14ac:dyDescent="0.25">
      <c r="H19" s="2"/>
      <c r="I19" s="2"/>
      <c r="J19" s="2"/>
      <c r="K19" s="2"/>
    </row>
    <row r="20" spans="8:11" x14ac:dyDescent="0.25">
      <c r="H20" s="2"/>
      <c r="I20" s="2"/>
      <c r="J20" s="2"/>
      <c r="K20" s="2"/>
    </row>
    <row r="21" spans="8:11" x14ac:dyDescent="0.25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0"/>
  <sheetViews>
    <sheetView workbookViewId="0">
      <selection activeCell="C10" sqref="C10"/>
    </sheetView>
  </sheetViews>
  <sheetFormatPr defaultRowHeight="15" x14ac:dyDescent="0.25"/>
  <cols>
    <col min="1" max="1" width="20.42578125" customWidth="1"/>
    <col min="2" max="2" width="49.5703125" customWidth="1"/>
    <col min="3" max="3" width="15.85546875" customWidth="1"/>
    <col min="4" max="4" width="26.42578125" customWidth="1"/>
    <col min="5" max="5" width="11.85546875" customWidth="1"/>
    <col min="6" max="6" width="16.42578125" customWidth="1"/>
    <col min="7" max="7" width="15.42578125" customWidth="1"/>
    <col min="8" max="8" width="19.5703125" customWidth="1"/>
    <col min="9" max="9" width="11.85546875" customWidth="1"/>
    <col min="10" max="10" width="8" bestFit="1" customWidth="1"/>
    <col min="11" max="11" width="10.42578125" customWidth="1"/>
    <col min="12" max="12" width="13.140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1140</v>
      </c>
    </row>
    <row r="2" spans="1:12" x14ac:dyDescent="0.25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25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25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25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25">
      <c r="A6" t="s">
        <v>851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852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25">
      <c r="A7" t="s">
        <v>916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25">
      <c r="A8" t="s">
        <v>933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25">
      <c r="A9" t="s">
        <v>1095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25">
      <c r="A10" s="37" t="s">
        <v>1275</v>
      </c>
      <c r="B10" s="37" t="s">
        <v>1276</v>
      </c>
      <c r="C10" s="37" t="str">
        <f>A10</f>
        <v>SMBJ16CA</v>
      </c>
      <c r="D10" s="37" t="str">
        <f>CONCATENATE("Schematic\TVS\",E10,".SchLib")</f>
        <v>Schematic\TVS\TVS_1_1dir.SchLib</v>
      </c>
      <c r="E10" s="37" t="s">
        <v>80</v>
      </c>
      <c r="F10" s="37" t="str">
        <f>CONCATENATE("Footprints\",G10,".PcbLib")</f>
        <v>Footprints\SMB.PcbLib</v>
      </c>
      <c r="G10" s="37" t="s">
        <v>341</v>
      </c>
      <c r="H10" s="37">
        <v>16</v>
      </c>
      <c r="I10" s="37">
        <v>600</v>
      </c>
      <c r="J10" s="37" t="str">
        <f t="shared" ref="J10" si="5" xml:space="preserve"> CONCATENATE(H10," В")</f>
        <v>16 В</v>
      </c>
      <c r="K10" s="37"/>
      <c r="L10" s="37"/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1"/>
  <sheetViews>
    <sheetView tabSelected="1" zoomScale="85" zoomScaleNormal="85" workbookViewId="0">
      <selection activeCell="G11" sqref="G11"/>
    </sheetView>
  </sheetViews>
  <sheetFormatPr defaultRowHeight="15" x14ac:dyDescent="0.25"/>
  <cols>
    <col min="1" max="1" width="14.85546875" customWidth="1"/>
    <col min="2" max="2" width="22" bestFit="1" customWidth="1"/>
    <col min="3" max="3" width="12.42578125" bestFit="1" customWidth="1"/>
    <col min="4" max="4" width="35.85546875" bestFit="1" customWidth="1"/>
    <col min="5" max="5" width="24.42578125" bestFit="1" customWidth="1"/>
    <col min="6" max="6" width="23.140625" bestFit="1" customWidth="1"/>
    <col min="7" max="7" width="16.85546875" customWidth="1"/>
    <col min="8" max="8" width="29.85546875" bestFit="1" customWidth="1"/>
    <col min="9" max="9" width="16.85546875" customWidth="1"/>
    <col min="12" max="12" width="13.85546875" customWidth="1"/>
  </cols>
  <sheetData>
    <row r="1" spans="1:19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944</v>
      </c>
      <c r="K1" s="1" t="s">
        <v>945</v>
      </c>
      <c r="L1" s="1" t="s">
        <v>1140</v>
      </c>
      <c r="M1" s="1"/>
      <c r="N1" s="1"/>
      <c r="O1" s="1"/>
      <c r="P1" s="1"/>
      <c r="Q1" s="1"/>
      <c r="R1" s="1"/>
      <c r="S1" s="1"/>
    </row>
    <row r="2" spans="1:19" ht="15.75" x14ac:dyDescent="0.25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1092</v>
      </c>
      <c r="K2" t="s">
        <v>1093</v>
      </c>
    </row>
    <row r="3" spans="1:19" ht="15.75" x14ac:dyDescent="0.25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948</v>
      </c>
      <c r="K3" t="s">
        <v>1094</v>
      </c>
    </row>
    <row r="4" spans="1:19" ht="15.75" x14ac:dyDescent="0.25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75" x14ac:dyDescent="0.25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75" x14ac:dyDescent="0.25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75" x14ac:dyDescent="0.25">
      <c r="A7" s="1" t="s">
        <v>838</v>
      </c>
      <c r="B7" s="3" t="s">
        <v>21</v>
      </c>
      <c r="C7" s="2" t="str">
        <f t="shared" si="0"/>
        <v>AO4411</v>
      </c>
      <c r="D7" s="3" t="s">
        <v>839</v>
      </c>
      <c r="E7" s="3" t="s">
        <v>840</v>
      </c>
      <c r="F7" t="str">
        <f t="shared" si="1"/>
        <v>Footprints\SOIC-8.PcbLib</v>
      </c>
      <c r="G7" s="1" t="s">
        <v>78</v>
      </c>
      <c r="H7" s="2"/>
    </row>
    <row r="8" spans="1:19" ht="15.75" x14ac:dyDescent="0.25">
      <c r="A8" s="1" t="s">
        <v>841</v>
      </c>
      <c r="B8" s="1" t="s">
        <v>842</v>
      </c>
      <c r="C8" s="2" t="str">
        <f>A8</f>
        <v>AO4812</v>
      </c>
      <c r="D8" s="3" t="s">
        <v>843</v>
      </c>
      <c r="E8" s="1" t="s">
        <v>841</v>
      </c>
      <c r="F8" t="str">
        <f t="shared" si="1"/>
        <v>Footprints\SOP8.PcbLib</v>
      </c>
      <c r="G8" s="1" t="s">
        <v>865</v>
      </c>
      <c r="J8" t="s">
        <v>948</v>
      </c>
      <c r="K8" t="s">
        <v>949</v>
      </c>
    </row>
    <row r="9" spans="1:19" ht="15.75" x14ac:dyDescent="0.25">
      <c r="A9" s="1" t="s">
        <v>940</v>
      </c>
      <c r="B9" s="1" t="s">
        <v>941</v>
      </c>
      <c r="C9" s="2" t="str">
        <f>A9</f>
        <v>bc807</v>
      </c>
      <c r="D9" s="3" t="s">
        <v>943</v>
      </c>
      <c r="E9" s="1" t="s">
        <v>942</v>
      </c>
      <c r="F9" t="str">
        <f>CONCATENATE("Footprints\",G9,".PcbLib")</f>
        <v>Footprints\SOT23-3.PcbLib</v>
      </c>
      <c r="G9" s="3" t="s">
        <v>18</v>
      </c>
      <c r="J9" t="s">
        <v>946</v>
      </c>
      <c r="K9" t="s">
        <v>947</v>
      </c>
    </row>
    <row r="10" spans="1:19" ht="15.75" x14ac:dyDescent="0.25">
      <c r="A10" s="1" t="s">
        <v>967</v>
      </c>
      <c r="B10" s="1" t="s">
        <v>970</v>
      </c>
      <c r="C10" s="2" t="str">
        <f>A10</f>
        <v>AUIRF1405ZSTRL</v>
      </c>
      <c r="D10" s="3" t="s">
        <v>10</v>
      </c>
      <c r="E10" s="3" t="s">
        <v>11</v>
      </c>
      <c r="F10" s="2" t="str">
        <f t="shared" ref="F10" si="2">CONCATENATE("Footprints\",G10,".PcbLib")</f>
        <v>Footprints\D2PAK.PcbLib</v>
      </c>
      <c r="G10" s="3" t="s">
        <v>1091</v>
      </c>
      <c r="H10" s="2"/>
      <c r="I10" s="2"/>
      <c r="J10" t="s">
        <v>968</v>
      </c>
      <c r="K10" t="s">
        <v>969</v>
      </c>
    </row>
    <row r="11" spans="1:19" ht="15.75" x14ac:dyDescent="0.25">
      <c r="A11" s="1" t="s">
        <v>1277</v>
      </c>
      <c r="B11" s="1" t="s">
        <v>5</v>
      </c>
      <c r="C11" s="2" t="str">
        <f>A11</f>
        <v>IRFH7084</v>
      </c>
      <c r="D11" s="1" t="s">
        <v>1278</v>
      </c>
      <c r="E11" s="1" t="s">
        <v>1279</v>
      </c>
      <c r="F11" t="str">
        <f>CONCATENATE("Footprints\",G11,".PcbLib")</f>
        <v>Footprints\PQFN_5x6.PcbLib</v>
      </c>
      <c r="G11" s="1" t="s">
        <v>1280</v>
      </c>
      <c r="J11" t="s">
        <v>1281</v>
      </c>
      <c r="K11" t="s">
        <v>1282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7"/>
  <sheetViews>
    <sheetView topLeftCell="A136" zoomScale="70" zoomScaleNormal="70" workbookViewId="0">
      <selection activeCell="B176" sqref="B176"/>
    </sheetView>
  </sheetViews>
  <sheetFormatPr defaultRowHeight="15" x14ac:dyDescent="0.25"/>
  <cols>
    <col min="1" max="1" width="21.5703125" bestFit="1" customWidth="1"/>
    <col min="2" max="2" width="44.5703125" bestFit="1" customWidth="1"/>
    <col min="3" max="3" width="12.140625" bestFit="1" customWidth="1"/>
    <col min="4" max="4" width="24.42578125" bestFit="1" customWidth="1"/>
    <col min="5" max="5" width="13" bestFit="1" customWidth="1"/>
    <col min="6" max="6" width="8.140625" bestFit="1" customWidth="1"/>
    <col min="7" max="7" width="12.140625" bestFit="1" customWidth="1"/>
    <col min="8" max="8" width="32" bestFit="1" customWidth="1"/>
    <col min="9" max="9" width="16.85546875" bestFit="1" customWidth="1"/>
    <col min="10" max="10" width="41.28515625" customWidth="1"/>
    <col min="11" max="11" width="18.140625" customWidth="1"/>
    <col min="12" max="12" width="41.140625" customWidth="1"/>
    <col min="13" max="13" width="18.140625" customWidth="1"/>
    <col min="14" max="14" width="16.85546875" customWidth="1"/>
  </cols>
  <sheetData>
    <row r="1" spans="1:15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9" t="s">
        <v>1140</v>
      </c>
      <c r="O1" s="1"/>
    </row>
    <row r="2" spans="1:15" ht="15.75" x14ac:dyDescent="0.25">
      <c r="A2" s="3" t="s">
        <v>133</v>
      </c>
      <c r="B2" s="3" t="s">
        <v>522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9"/>
    </row>
    <row r="3" spans="1:15" ht="15.75" x14ac:dyDescent="0.25">
      <c r="A3" s="3" t="s">
        <v>137</v>
      </c>
      <c r="B3" s="3" t="s">
        <v>523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30"/>
    </row>
    <row r="4" spans="1:15" ht="15.75" x14ac:dyDescent="0.25">
      <c r="A4" s="3" t="s">
        <v>139</v>
      </c>
      <c r="B4" s="3" t="s">
        <v>524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9"/>
    </row>
    <row r="5" spans="1:15" ht="15.75" x14ac:dyDescent="0.25">
      <c r="A5" s="3" t="s">
        <v>141</v>
      </c>
      <c r="B5" s="3" t="s">
        <v>525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30"/>
    </row>
    <row r="6" spans="1:15" ht="15.75" x14ac:dyDescent="0.25">
      <c r="A6" s="3" t="s">
        <v>143</v>
      </c>
      <c r="B6" s="3" t="s">
        <v>526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9"/>
    </row>
    <row r="7" spans="1:15" ht="15.75" x14ac:dyDescent="0.25">
      <c r="A7" s="3" t="s">
        <v>145</v>
      </c>
      <c r="B7" s="3" t="s">
        <v>527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30"/>
    </row>
    <row r="8" spans="1:15" ht="15.75" x14ac:dyDescent="0.25">
      <c r="A8" s="3" t="s">
        <v>147</v>
      </c>
      <c r="B8" s="3" t="s">
        <v>528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9"/>
    </row>
    <row r="9" spans="1:15" ht="15.75" x14ac:dyDescent="0.25">
      <c r="A9" s="3" t="s">
        <v>149</v>
      </c>
      <c r="B9" s="3" t="s">
        <v>529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30"/>
    </row>
    <row r="10" spans="1:15" ht="15.75" x14ac:dyDescent="0.25">
      <c r="A10" s="3" t="s">
        <v>151</v>
      </c>
      <c r="B10" s="3" t="s">
        <v>530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9"/>
    </row>
    <row r="11" spans="1:15" ht="15.75" x14ac:dyDescent="0.25">
      <c r="A11" s="3" t="s">
        <v>153</v>
      </c>
      <c r="B11" s="3" t="s">
        <v>531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30"/>
    </row>
    <row r="12" spans="1:15" ht="15.75" x14ac:dyDescent="0.25">
      <c r="A12" s="3" t="s">
        <v>462</v>
      </c>
      <c r="B12" s="3" t="s">
        <v>532</v>
      </c>
      <c r="C12" s="3" t="s">
        <v>26</v>
      </c>
      <c r="D12" s="3" t="s">
        <v>29</v>
      </c>
      <c r="E12" s="3" t="s">
        <v>26</v>
      </c>
      <c r="F12" s="3" t="s">
        <v>377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9"/>
    </row>
    <row r="13" spans="1:15" ht="15.75" x14ac:dyDescent="0.25">
      <c r="A13" s="3" t="s">
        <v>463</v>
      </c>
      <c r="B13" s="3" t="s">
        <v>533</v>
      </c>
      <c r="C13" s="3" t="s">
        <v>26</v>
      </c>
      <c r="D13" s="3" t="s">
        <v>29</v>
      </c>
      <c r="E13" s="3" t="s">
        <v>26</v>
      </c>
      <c r="F13" s="3" t="s">
        <v>378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30"/>
    </row>
    <row r="14" spans="1:15" ht="15.75" x14ac:dyDescent="0.25">
      <c r="A14" s="3" t="s">
        <v>464</v>
      </c>
      <c r="B14" s="3" t="s">
        <v>534</v>
      </c>
      <c r="C14" s="3" t="s">
        <v>26</v>
      </c>
      <c r="D14" s="3" t="s">
        <v>29</v>
      </c>
      <c r="E14" s="3" t="s">
        <v>26</v>
      </c>
      <c r="F14" s="3" t="s">
        <v>379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9"/>
    </row>
    <row r="15" spans="1:15" ht="15.75" x14ac:dyDescent="0.25">
      <c r="A15" s="3" t="s">
        <v>465</v>
      </c>
      <c r="B15" s="3" t="s">
        <v>535</v>
      </c>
      <c r="C15" s="3" t="s">
        <v>26</v>
      </c>
      <c r="D15" s="3" t="s">
        <v>29</v>
      </c>
      <c r="E15" s="3" t="s">
        <v>26</v>
      </c>
      <c r="F15" s="3" t="s">
        <v>380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30"/>
    </row>
    <row r="16" spans="1:15" ht="15.75" x14ac:dyDescent="0.25">
      <c r="A16" s="3" t="s">
        <v>466</v>
      </c>
      <c r="B16" s="3" t="s">
        <v>536</v>
      </c>
      <c r="C16" s="3" t="s">
        <v>26</v>
      </c>
      <c r="D16" s="3" t="s">
        <v>29</v>
      </c>
      <c r="E16" s="3" t="s">
        <v>26</v>
      </c>
      <c r="F16" s="3" t="s">
        <v>381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9"/>
    </row>
    <row r="17" spans="1:14" ht="15.75" x14ac:dyDescent="0.25">
      <c r="A17" s="3" t="s">
        <v>467</v>
      </c>
      <c r="B17" s="3" t="s">
        <v>537</v>
      </c>
      <c r="C17" s="3" t="s">
        <v>26</v>
      </c>
      <c r="D17" s="3" t="s">
        <v>29</v>
      </c>
      <c r="E17" s="3" t="s">
        <v>26</v>
      </c>
      <c r="F17" s="3" t="s">
        <v>382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30"/>
    </row>
    <row r="18" spans="1:14" ht="15.75" x14ac:dyDescent="0.25">
      <c r="A18" s="3" t="s">
        <v>468</v>
      </c>
      <c r="B18" s="3" t="s">
        <v>538</v>
      </c>
      <c r="C18" s="3" t="s">
        <v>26</v>
      </c>
      <c r="D18" s="3" t="s">
        <v>29</v>
      </c>
      <c r="E18" s="3" t="s">
        <v>26</v>
      </c>
      <c r="F18" s="3" t="s">
        <v>383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9"/>
    </row>
    <row r="19" spans="1:14" ht="15.75" x14ac:dyDescent="0.25">
      <c r="A19" s="3" t="s">
        <v>155</v>
      </c>
      <c r="B19" s="3" t="s">
        <v>539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30"/>
    </row>
    <row r="20" spans="1:14" ht="15.75" x14ac:dyDescent="0.25">
      <c r="A20" s="3" t="s">
        <v>157</v>
      </c>
      <c r="B20" s="3" t="s">
        <v>540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9"/>
    </row>
    <row r="21" spans="1:14" ht="15.75" x14ac:dyDescent="0.25">
      <c r="A21" s="3" t="s">
        <v>159</v>
      </c>
      <c r="B21" s="3" t="s">
        <v>541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30"/>
    </row>
    <row r="22" spans="1:14" ht="15.75" x14ac:dyDescent="0.25">
      <c r="A22" s="3" t="s">
        <v>161</v>
      </c>
      <c r="B22" s="3" t="s">
        <v>542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9"/>
    </row>
    <row r="23" spans="1:14" ht="15.75" x14ac:dyDescent="0.25">
      <c r="A23" s="3" t="s">
        <v>163</v>
      </c>
      <c r="B23" s="3" t="s">
        <v>543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30"/>
    </row>
    <row r="24" spans="1:14" ht="15.75" x14ac:dyDescent="0.25">
      <c r="A24" s="3" t="s">
        <v>515</v>
      </c>
      <c r="B24" s="3" t="s">
        <v>544</v>
      </c>
      <c r="C24" s="3" t="s">
        <v>26</v>
      </c>
      <c r="D24" s="3" t="s">
        <v>29</v>
      </c>
      <c r="E24" s="3" t="s">
        <v>26</v>
      </c>
      <c r="F24" s="3" t="s">
        <v>691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9"/>
    </row>
    <row r="25" spans="1:14" ht="15.75" x14ac:dyDescent="0.25">
      <c r="A25" s="3" t="s">
        <v>165</v>
      </c>
      <c r="B25" s="3" t="s">
        <v>545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30"/>
    </row>
    <row r="26" spans="1:14" ht="15.75" x14ac:dyDescent="0.25">
      <c r="A26" s="3" t="s">
        <v>167</v>
      </c>
      <c r="B26" s="3" t="s">
        <v>546</v>
      </c>
      <c r="C26" s="3" t="s">
        <v>26</v>
      </c>
      <c r="D26" s="3" t="s">
        <v>29</v>
      </c>
      <c r="E26" s="3" t="s">
        <v>26</v>
      </c>
      <c r="F26" s="3" t="s">
        <v>384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9"/>
    </row>
    <row r="27" spans="1:14" ht="15.75" x14ac:dyDescent="0.25">
      <c r="A27" s="3" t="s">
        <v>168</v>
      </c>
      <c r="B27" s="3" t="s">
        <v>547</v>
      </c>
      <c r="C27" s="3" t="s">
        <v>26</v>
      </c>
      <c r="D27" s="3" t="s">
        <v>29</v>
      </c>
      <c r="E27" s="3" t="s">
        <v>26</v>
      </c>
      <c r="F27" s="3" t="s">
        <v>385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30"/>
    </row>
    <row r="28" spans="1:14" ht="15.75" x14ac:dyDescent="0.25">
      <c r="A28" s="3" t="s">
        <v>169</v>
      </c>
      <c r="B28" s="3" t="s">
        <v>548</v>
      </c>
      <c r="C28" s="3" t="s">
        <v>26</v>
      </c>
      <c r="D28" s="3" t="s">
        <v>29</v>
      </c>
      <c r="E28" s="3" t="s">
        <v>26</v>
      </c>
      <c r="F28" s="3" t="s">
        <v>386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9"/>
    </row>
    <row r="29" spans="1:14" ht="15.75" x14ac:dyDescent="0.25">
      <c r="A29" s="3" t="s">
        <v>170</v>
      </c>
      <c r="B29" s="3" t="s">
        <v>549</v>
      </c>
      <c r="C29" s="3" t="s">
        <v>26</v>
      </c>
      <c r="D29" s="3" t="s">
        <v>29</v>
      </c>
      <c r="E29" s="3" t="s">
        <v>26</v>
      </c>
      <c r="F29" s="3" t="s">
        <v>387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30"/>
    </row>
    <row r="30" spans="1:14" ht="15.75" x14ac:dyDescent="0.25">
      <c r="A30" s="3" t="s">
        <v>171</v>
      </c>
      <c r="B30" s="3" t="s">
        <v>550</v>
      </c>
      <c r="C30" s="3" t="s">
        <v>26</v>
      </c>
      <c r="D30" s="3" t="s">
        <v>29</v>
      </c>
      <c r="E30" s="3" t="s">
        <v>26</v>
      </c>
      <c r="F30" s="3" t="s">
        <v>388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9"/>
    </row>
    <row r="31" spans="1:14" ht="15.75" x14ac:dyDescent="0.25">
      <c r="A31" s="3" t="s">
        <v>172</v>
      </c>
      <c r="B31" s="3" t="s">
        <v>551</v>
      </c>
      <c r="C31" s="3" t="s">
        <v>26</v>
      </c>
      <c r="D31" s="3" t="s">
        <v>29</v>
      </c>
      <c r="E31" s="3" t="s">
        <v>26</v>
      </c>
      <c r="F31" s="3" t="s">
        <v>389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30"/>
    </row>
    <row r="32" spans="1:14" ht="15.75" x14ac:dyDescent="0.25">
      <c r="A32" s="3" t="s">
        <v>173</v>
      </c>
      <c r="B32" s="3" t="s">
        <v>552</v>
      </c>
      <c r="C32" s="3" t="s">
        <v>26</v>
      </c>
      <c r="D32" s="3" t="s">
        <v>29</v>
      </c>
      <c r="E32" s="3" t="s">
        <v>26</v>
      </c>
      <c r="F32" s="3" t="s">
        <v>390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9"/>
    </row>
    <row r="33" spans="1:14" ht="15.75" x14ac:dyDescent="0.25">
      <c r="A33" s="3" t="s">
        <v>174</v>
      </c>
      <c r="B33" s="3" t="s">
        <v>553</v>
      </c>
      <c r="C33" s="3" t="s">
        <v>26</v>
      </c>
      <c r="D33" s="3" t="s">
        <v>29</v>
      </c>
      <c r="E33" s="3" t="s">
        <v>26</v>
      </c>
      <c r="F33" s="3" t="s">
        <v>391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30"/>
    </row>
    <row r="34" spans="1:14" ht="15.75" x14ac:dyDescent="0.25">
      <c r="A34" s="3" t="s">
        <v>175</v>
      </c>
      <c r="B34" s="3" t="s">
        <v>554</v>
      </c>
      <c r="C34" s="3" t="s">
        <v>26</v>
      </c>
      <c r="D34" s="3" t="s">
        <v>29</v>
      </c>
      <c r="E34" s="3" t="s">
        <v>26</v>
      </c>
      <c r="F34" s="3" t="s">
        <v>392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9"/>
    </row>
    <row r="35" spans="1:14" ht="15.75" x14ac:dyDescent="0.25">
      <c r="A35" s="3" t="s">
        <v>176</v>
      </c>
      <c r="B35" s="3" t="s">
        <v>555</v>
      </c>
      <c r="C35" s="3" t="s">
        <v>26</v>
      </c>
      <c r="D35" s="3" t="s">
        <v>29</v>
      </c>
      <c r="E35" s="3" t="s">
        <v>26</v>
      </c>
      <c r="F35" s="3" t="s">
        <v>393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30"/>
    </row>
    <row r="36" spans="1:14" ht="15.75" x14ac:dyDescent="0.25">
      <c r="A36" s="3" t="s">
        <v>469</v>
      </c>
      <c r="B36" s="3" t="s">
        <v>556</v>
      </c>
      <c r="C36" s="3" t="s">
        <v>26</v>
      </c>
      <c r="D36" s="3" t="s">
        <v>29</v>
      </c>
      <c r="E36" s="3" t="s">
        <v>26</v>
      </c>
      <c r="F36" s="3" t="s">
        <v>394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9"/>
    </row>
    <row r="37" spans="1:14" ht="15.75" x14ac:dyDescent="0.25">
      <c r="A37" s="3" t="s">
        <v>470</v>
      </c>
      <c r="B37" s="3" t="s">
        <v>557</v>
      </c>
      <c r="C37" s="3" t="s">
        <v>26</v>
      </c>
      <c r="D37" s="3" t="s">
        <v>29</v>
      </c>
      <c r="E37" s="3" t="s">
        <v>26</v>
      </c>
      <c r="F37" s="3" t="s">
        <v>395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30"/>
    </row>
    <row r="38" spans="1:14" ht="15.75" x14ac:dyDescent="0.25">
      <c r="A38" s="3" t="s">
        <v>471</v>
      </c>
      <c r="B38" s="3" t="s">
        <v>558</v>
      </c>
      <c r="C38" s="3" t="s">
        <v>26</v>
      </c>
      <c r="D38" s="3" t="s">
        <v>29</v>
      </c>
      <c r="E38" s="3" t="s">
        <v>26</v>
      </c>
      <c r="F38" s="3" t="s">
        <v>396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9"/>
    </row>
    <row r="39" spans="1:14" ht="15.75" x14ac:dyDescent="0.25">
      <c r="A39" s="3" t="s">
        <v>472</v>
      </c>
      <c r="B39" s="3" t="s">
        <v>559</v>
      </c>
      <c r="C39" s="3" t="s">
        <v>26</v>
      </c>
      <c r="D39" s="3" t="s">
        <v>29</v>
      </c>
      <c r="E39" s="3" t="s">
        <v>26</v>
      </c>
      <c r="F39" s="3" t="s">
        <v>397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30"/>
    </row>
    <row r="40" spans="1:14" ht="15.75" x14ac:dyDescent="0.25">
      <c r="A40" s="3" t="s">
        <v>473</v>
      </c>
      <c r="B40" s="3" t="s">
        <v>560</v>
      </c>
      <c r="C40" s="3" t="s">
        <v>26</v>
      </c>
      <c r="D40" s="3" t="s">
        <v>29</v>
      </c>
      <c r="E40" s="3" t="s">
        <v>26</v>
      </c>
      <c r="F40" s="3" t="s">
        <v>398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9"/>
    </row>
    <row r="41" spans="1:14" ht="15.75" x14ac:dyDescent="0.25">
      <c r="A41" s="3" t="s">
        <v>474</v>
      </c>
      <c r="B41" s="3" t="s">
        <v>561</v>
      </c>
      <c r="C41" s="3" t="s">
        <v>26</v>
      </c>
      <c r="D41" s="3" t="s">
        <v>29</v>
      </c>
      <c r="E41" s="3" t="s">
        <v>26</v>
      </c>
      <c r="F41" s="3" t="s">
        <v>399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30"/>
    </row>
    <row r="42" spans="1:14" ht="15.75" x14ac:dyDescent="0.25">
      <c r="A42" s="3" t="s">
        <v>475</v>
      </c>
      <c r="B42" s="3" t="s">
        <v>562</v>
      </c>
      <c r="C42" s="3" t="s">
        <v>26</v>
      </c>
      <c r="D42" s="3" t="s">
        <v>29</v>
      </c>
      <c r="E42" s="3" t="s">
        <v>26</v>
      </c>
      <c r="F42" s="3" t="s">
        <v>400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9"/>
    </row>
    <row r="43" spans="1:14" ht="15.75" x14ac:dyDescent="0.25">
      <c r="A43" s="3" t="s">
        <v>177</v>
      </c>
      <c r="B43" s="3" t="s">
        <v>563</v>
      </c>
      <c r="C43" s="3" t="s">
        <v>26</v>
      </c>
      <c r="D43" s="3" t="s">
        <v>29</v>
      </c>
      <c r="E43" s="3" t="s">
        <v>26</v>
      </c>
      <c r="F43" s="3" t="s">
        <v>401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30"/>
    </row>
    <row r="44" spans="1:14" ht="15.75" x14ac:dyDescent="0.25">
      <c r="A44" s="3" t="s">
        <v>178</v>
      </c>
      <c r="B44" s="3" t="s">
        <v>564</v>
      </c>
      <c r="C44" s="3" t="s">
        <v>26</v>
      </c>
      <c r="D44" s="3" t="s">
        <v>29</v>
      </c>
      <c r="E44" s="3" t="s">
        <v>26</v>
      </c>
      <c r="F44" s="3" t="s">
        <v>402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9"/>
    </row>
    <row r="45" spans="1:14" ht="15.75" x14ac:dyDescent="0.25">
      <c r="A45" s="3" t="s">
        <v>179</v>
      </c>
      <c r="B45" s="3" t="s">
        <v>565</v>
      </c>
      <c r="C45" s="3" t="s">
        <v>26</v>
      </c>
      <c r="D45" s="3" t="s">
        <v>29</v>
      </c>
      <c r="E45" s="3" t="s">
        <v>26</v>
      </c>
      <c r="F45" s="3" t="s">
        <v>403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30"/>
    </row>
    <row r="46" spans="1:14" ht="15.75" x14ac:dyDescent="0.25">
      <c r="A46" s="3" t="s">
        <v>180</v>
      </c>
      <c r="B46" s="3" t="s">
        <v>566</v>
      </c>
      <c r="C46" s="3" t="s">
        <v>26</v>
      </c>
      <c r="D46" s="3" t="s">
        <v>29</v>
      </c>
      <c r="E46" s="3" t="s">
        <v>26</v>
      </c>
      <c r="F46" s="3" t="s">
        <v>404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9"/>
    </row>
    <row r="47" spans="1:14" ht="15.75" x14ac:dyDescent="0.25">
      <c r="A47" s="3" t="s">
        <v>181</v>
      </c>
      <c r="B47" s="3" t="s">
        <v>567</v>
      </c>
      <c r="C47" s="3" t="s">
        <v>26</v>
      </c>
      <c r="D47" s="3" t="s">
        <v>29</v>
      </c>
      <c r="E47" s="3" t="s">
        <v>26</v>
      </c>
      <c r="F47" s="3" t="s">
        <v>405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30"/>
    </row>
    <row r="48" spans="1:14" ht="15.75" x14ac:dyDescent="0.25">
      <c r="A48" s="3" t="s">
        <v>516</v>
      </c>
      <c r="B48" s="3" t="s">
        <v>568</v>
      </c>
      <c r="C48" s="3" t="s">
        <v>26</v>
      </c>
      <c r="D48" s="3" t="s">
        <v>29</v>
      </c>
      <c r="E48" s="3" t="s">
        <v>26</v>
      </c>
      <c r="F48" s="3" t="s">
        <v>692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9"/>
    </row>
    <row r="49" spans="1:14" ht="15.75" x14ac:dyDescent="0.25">
      <c r="A49" s="3" t="s">
        <v>182</v>
      </c>
      <c r="B49" s="3" t="s">
        <v>569</v>
      </c>
      <c r="C49" s="3" t="s">
        <v>26</v>
      </c>
      <c r="D49" s="3" t="s">
        <v>29</v>
      </c>
      <c r="E49" s="3" t="s">
        <v>26</v>
      </c>
      <c r="F49" s="3" t="s">
        <v>406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30"/>
    </row>
    <row r="50" spans="1:14" ht="15.75" x14ac:dyDescent="0.25">
      <c r="A50" s="3" t="s">
        <v>183</v>
      </c>
      <c r="B50" s="3" t="s">
        <v>570</v>
      </c>
      <c r="C50" s="3" t="s">
        <v>26</v>
      </c>
      <c r="D50" s="3" t="s">
        <v>29</v>
      </c>
      <c r="E50" s="3" t="s">
        <v>26</v>
      </c>
      <c r="F50" s="3" t="s">
        <v>407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9"/>
    </row>
    <row r="51" spans="1:14" ht="15.75" x14ac:dyDescent="0.25">
      <c r="A51" s="3" t="s">
        <v>184</v>
      </c>
      <c r="B51" s="3" t="s">
        <v>571</v>
      </c>
      <c r="C51" s="3" t="s">
        <v>26</v>
      </c>
      <c r="D51" s="3" t="s">
        <v>29</v>
      </c>
      <c r="E51" s="3" t="s">
        <v>26</v>
      </c>
      <c r="F51" s="3" t="s">
        <v>408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30"/>
    </row>
    <row r="52" spans="1:14" ht="15.75" x14ac:dyDescent="0.25">
      <c r="A52" s="3" t="s">
        <v>185</v>
      </c>
      <c r="B52" s="3" t="s">
        <v>572</v>
      </c>
      <c r="C52" s="3" t="s">
        <v>26</v>
      </c>
      <c r="D52" s="3" t="s">
        <v>29</v>
      </c>
      <c r="E52" s="3" t="s">
        <v>26</v>
      </c>
      <c r="F52" s="3" t="s">
        <v>409</v>
      </c>
      <c r="G52" s="4">
        <v>0.01</v>
      </c>
      <c r="H52" s="3" t="s">
        <v>136</v>
      </c>
      <c r="I52" s="3" t="s">
        <v>32</v>
      </c>
      <c r="J52" s="3" t="s">
        <v>951</v>
      </c>
      <c r="K52" s="1" t="s">
        <v>950</v>
      </c>
      <c r="L52" s="1"/>
      <c r="M52" s="1"/>
      <c r="N52" s="29"/>
    </row>
    <row r="53" spans="1:14" ht="15.75" x14ac:dyDescent="0.25">
      <c r="A53" s="3" t="s">
        <v>186</v>
      </c>
      <c r="B53" s="3" t="s">
        <v>573</v>
      </c>
      <c r="C53" s="3" t="s">
        <v>26</v>
      </c>
      <c r="D53" s="3" t="s">
        <v>29</v>
      </c>
      <c r="E53" s="3" t="s">
        <v>26</v>
      </c>
      <c r="F53" s="3" t="s">
        <v>410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30"/>
    </row>
    <row r="54" spans="1:14" ht="15.75" x14ac:dyDescent="0.25">
      <c r="A54" s="3" t="s">
        <v>187</v>
      </c>
      <c r="B54" s="3" t="s">
        <v>574</v>
      </c>
      <c r="C54" s="3" t="s">
        <v>26</v>
      </c>
      <c r="D54" s="3" t="s">
        <v>29</v>
      </c>
      <c r="E54" s="3" t="s">
        <v>26</v>
      </c>
      <c r="F54" s="3" t="s">
        <v>411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9"/>
    </row>
    <row r="55" spans="1:14" ht="15.75" x14ac:dyDescent="0.25">
      <c r="A55" s="3" t="s">
        <v>188</v>
      </c>
      <c r="B55" s="3" t="s">
        <v>575</v>
      </c>
      <c r="C55" s="3" t="s">
        <v>26</v>
      </c>
      <c r="D55" s="3" t="s">
        <v>29</v>
      </c>
      <c r="E55" s="3" t="s">
        <v>26</v>
      </c>
      <c r="F55" s="3" t="s">
        <v>412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30"/>
    </row>
    <row r="56" spans="1:14" ht="15.75" x14ac:dyDescent="0.25">
      <c r="A56" s="3" t="s">
        <v>189</v>
      </c>
      <c r="B56" s="3" t="s">
        <v>576</v>
      </c>
      <c r="C56" s="3" t="s">
        <v>26</v>
      </c>
      <c r="D56" s="3" t="s">
        <v>29</v>
      </c>
      <c r="E56" s="3" t="s">
        <v>26</v>
      </c>
      <c r="F56" s="3" t="s">
        <v>413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9"/>
    </row>
    <row r="57" spans="1:14" ht="15.75" x14ac:dyDescent="0.25">
      <c r="A57" s="3" t="s">
        <v>190</v>
      </c>
      <c r="B57" s="3" t="s">
        <v>577</v>
      </c>
      <c r="C57" s="3" t="s">
        <v>26</v>
      </c>
      <c r="D57" s="3" t="s">
        <v>29</v>
      </c>
      <c r="E57" s="3" t="s">
        <v>26</v>
      </c>
      <c r="F57" s="3" t="s">
        <v>414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30"/>
    </row>
    <row r="58" spans="1:14" ht="15.75" x14ac:dyDescent="0.25">
      <c r="A58" s="3" t="s">
        <v>191</v>
      </c>
      <c r="B58" s="3" t="s">
        <v>578</v>
      </c>
      <c r="C58" s="3" t="s">
        <v>26</v>
      </c>
      <c r="D58" s="3" t="s">
        <v>29</v>
      </c>
      <c r="E58" s="3" t="s">
        <v>26</v>
      </c>
      <c r="F58" s="3" t="s">
        <v>415</v>
      </c>
      <c r="G58" s="4">
        <v>0.01</v>
      </c>
      <c r="H58" s="3" t="s">
        <v>136</v>
      </c>
      <c r="I58" s="3" t="s">
        <v>32</v>
      </c>
      <c r="J58" s="1" t="s">
        <v>1204</v>
      </c>
      <c r="K58" s="1" t="s">
        <v>1212</v>
      </c>
      <c r="L58" s="1"/>
      <c r="M58" s="1"/>
      <c r="N58" s="29"/>
    </row>
    <row r="59" spans="1:14" ht="15.75" x14ac:dyDescent="0.25">
      <c r="A59" s="3" t="s">
        <v>192</v>
      </c>
      <c r="B59" s="3" t="s">
        <v>579</v>
      </c>
      <c r="C59" s="3" t="s">
        <v>26</v>
      </c>
      <c r="D59" s="3" t="s">
        <v>29</v>
      </c>
      <c r="E59" s="3" t="s">
        <v>26</v>
      </c>
      <c r="F59" s="3" t="s">
        <v>416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30"/>
    </row>
    <row r="60" spans="1:14" ht="15.75" x14ac:dyDescent="0.25">
      <c r="A60" s="3" t="s">
        <v>476</v>
      </c>
      <c r="B60" s="3" t="s">
        <v>580</v>
      </c>
      <c r="C60" s="3" t="s">
        <v>26</v>
      </c>
      <c r="D60" s="3" t="s">
        <v>29</v>
      </c>
      <c r="E60" s="3" t="s">
        <v>26</v>
      </c>
      <c r="F60" s="3" t="s">
        <v>417</v>
      </c>
      <c r="G60" s="4">
        <v>0.01</v>
      </c>
      <c r="H60" s="3" t="s">
        <v>136</v>
      </c>
      <c r="I60" s="3" t="s">
        <v>32</v>
      </c>
      <c r="J60" s="1" t="s">
        <v>1204</v>
      </c>
      <c r="K60" s="1" t="s">
        <v>1213</v>
      </c>
      <c r="L60" s="1"/>
      <c r="M60" s="1"/>
      <c r="N60" s="29"/>
    </row>
    <row r="61" spans="1:14" ht="15.75" x14ac:dyDescent="0.25">
      <c r="A61" s="3" t="s">
        <v>477</v>
      </c>
      <c r="B61" s="3" t="s">
        <v>581</v>
      </c>
      <c r="C61" s="3" t="s">
        <v>26</v>
      </c>
      <c r="D61" s="3" t="s">
        <v>29</v>
      </c>
      <c r="E61" s="3" t="s">
        <v>26</v>
      </c>
      <c r="F61" s="3" t="s">
        <v>418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30"/>
    </row>
    <row r="62" spans="1:14" ht="15.75" x14ac:dyDescent="0.25">
      <c r="A62" s="3" t="s">
        <v>478</v>
      </c>
      <c r="B62" s="3" t="s">
        <v>582</v>
      </c>
      <c r="C62" s="3" t="s">
        <v>26</v>
      </c>
      <c r="D62" s="3" t="s">
        <v>29</v>
      </c>
      <c r="E62" s="3" t="s">
        <v>26</v>
      </c>
      <c r="F62" s="3" t="s">
        <v>419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9"/>
    </row>
    <row r="63" spans="1:14" ht="15.75" x14ac:dyDescent="0.25">
      <c r="A63" s="3" t="s">
        <v>479</v>
      </c>
      <c r="B63" s="3" t="s">
        <v>583</v>
      </c>
      <c r="C63" s="3" t="s">
        <v>26</v>
      </c>
      <c r="D63" s="3" t="s">
        <v>29</v>
      </c>
      <c r="E63" s="3" t="s">
        <v>26</v>
      </c>
      <c r="F63" s="3" t="s">
        <v>420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30"/>
    </row>
    <row r="64" spans="1:14" ht="15.75" x14ac:dyDescent="0.25">
      <c r="A64" s="3" t="s">
        <v>480</v>
      </c>
      <c r="B64" s="3" t="s">
        <v>584</v>
      </c>
      <c r="C64" s="3" t="s">
        <v>26</v>
      </c>
      <c r="D64" s="3" t="s">
        <v>29</v>
      </c>
      <c r="E64" s="3" t="s">
        <v>26</v>
      </c>
      <c r="F64" s="3" t="s">
        <v>421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9"/>
    </row>
    <row r="65" spans="1:14" ht="15.75" x14ac:dyDescent="0.25">
      <c r="A65" s="3" t="s">
        <v>481</v>
      </c>
      <c r="B65" s="3" t="s">
        <v>585</v>
      </c>
      <c r="C65" s="3" t="s">
        <v>26</v>
      </c>
      <c r="D65" s="3" t="s">
        <v>29</v>
      </c>
      <c r="E65" s="3" t="s">
        <v>26</v>
      </c>
      <c r="F65" s="3" t="s">
        <v>422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30"/>
    </row>
    <row r="66" spans="1:14" ht="15.75" x14ac:dyDescent="0.25">
      <c r="A66" s="3" t="s">
        <v>482</v>
      </c>
      <c r="B66" s="3" t="s">
        <v>586</v>
      </c>
      <c r="C66" s="3" t="s">
        <v>26</v>
      </c>
      <c r="D66" s="3" t="s">
        <v>29</v>
      </c>
      <c r="E66" s="3" t="s">
        <v>26</v>
      </c>
      <c r="F66" s="3" t="s">
        <v>423</v>
      </c>
      <c r="G66" s="4">
        <v>0.01</v>
      </c>
      <c r="H66" s="3" t="s">
        <v>136</v>
      </c>
      <c r="I66" s="3" t="s">
        <v>32</v>
      </c>
      <c r="J66" s="1" t="s">
        <v>1204</v>
      </c>
      <c r="K66" s="1" t="s">
        <v>1214</v>
      </c>
      <c r="L66" s="1"/>
      <c r="M66" s="1"/>
      <c r="N66" s="29"/>
    </row>
    <row r="67" spans="1:14" ht="15.75" x14ac:dyDescent="0.25">
      <c r="A67" s="3" t="s">
        <v>193</v>
      </c>
      <c r="B67" s="3" t="s">
        <v>587</v>
      </c>
      <c r="C67" s="3" t="s">
        <v>26</v>
      </c>
      <c r="D67" s="3" t="s">
        <v>29</v>
      </c>
      <c r="E67" s="3" t="s">
        <v>26</v>
      </c>
      <c r="F67" s="3" t="s">
        <v>424</v>
      </c>
      <c r="G67" s="4">
        <v>0.01</v>
      </c>
      <c r="H67" s="3" t="s">
        <v>136</v>
      </c>
      <c r="I67" s="3" t="s">
        <v>32</v>
      </c>
      <c r="J67" s="3" t="s">
        <v>898</v>
      </c>
      <c r="K67" s="1" t="s">
        <v>897</v>
      </c>
      <c r="L67" s="1"/>
      <c r="M67" s="1"/>
      <c r="N67" s="30"/>
    </row>
    <row r="68" spans="1:14" ht="15.75" x14ac:dyDescent="0.25">
      <c r="A68" s="3" t="s">
        <v>194</v>
      </c>
      <c r="B68" s="3" t="s">
        <v>588</v>
      </c>
      <c r="C68" s="3" t="s">
        <v>26</v>
      </c>
      <c r="D68" s="3" t="s">
        <v>29</v>
      </c>
      <c r="E68" s="3" t="s">
        <v>26</v>
      </c>
      <c r="F68" s="3" t="s">
        <v>425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9"/>
    </row>
    <row r="69" spans="1:14" ht="15.75" x14ac:dyDescent="0.25">
      <c r="A69" s="3" t="s">
        <v>195</v>
      </c>
      <c r="B69" s="3" t="s">
        <v>589</v>
      </c>
      <c r="C69" s="3" t="s">
        <v>26</v>
      </c>
      <c r="D69" s="3" t="s">
        <v>29</v>
      </c>
      <c r="E69" s="3" t="s">
        <v>26</v>
      </c>
      <c r="F69" s="3" t="s">
        <v>426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30"/>
    </row>
    <row r="70" spans="1:14" ht="15.75" x14ac:dyDescent="0.25">
      <c r="A70" s="3" t="s">
        <v>196</v>
      </c>
      <c r="B70" s="3" t="s">
        <v>590</v>
      </c>
      <c r="C70" s="3" t="s">
        <v>26</v>
      </c>
      <c r="D70" s="3" t="s">
        <v>29</v>
      </c>
      <c r="E70" s="3" t="s">
        <v>26</v>
      </c>
      <c r="F70" s="3" t="s">
        <v>427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9"/>
    </row>
    <row r="71" spans="1:14" ht="15.75" x14ac:dyDescent="0.25">
      <c r="A71" s="3" t="s">
        <v>197</v>
      </c>
      <c r="B71" s="3" t="s">
        <v>591</v>
      </c>
      <c r="C71" s="3" t="s">
        <v>26</v>
      </c>
      <c r="D71" s="3" t="s">
        <v>29</v>
      </c>
      <c r="E71" s="3" t="s">
        <v>26</v>
      </c>
      <c r="F71" s="3" t="s">
        <v>428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30"/>
    </row>
    <row r="72" spans="1:14" ht="15.75" x14ac:dyDescent="0.25">
      <c r="A72" s="3" t="s">
        <v>517</v>
      </c>
      <c r="B72" s="3" t="s">
        <v>592</v>
      </c>
      <c r="C72" s="3" t="s">
        <v>26</v>
      </c>
      <c r="D72" s="3" t="s">
        <v>29</v>
      </c>
      <c r="E72" s="3" t="s">
        <v>26</v>
      </c>
      <c r="F72" s="3" t="s">
        <v>693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9"/>
    </row>
    <row r="73" spans="1:14" ht="15.75" x14ac:dyDescent="0.25">
      <c r="A73" s="3" t="s">
        <v>198</v>
      </c>
      <c r="B73" s="3" t="s">
        <v>593</v>
      </c>
      <c r="C73" s="3" t="s">
        <v>26</v>
      </c>
      <c r="D73" s="3" t="s">
        <v>29</v>
      </c>
      <c r="E73" s="3" t="s">
        <v>26</v>
      </c>
      <c r="F73" s="3" t="s">
        <v>429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30"/>
    </row>
    <row r="74" spans="1:14" ht="15.75" x14ac:dyDescent="0.25">
      <c r="A74" s="3" t="s">
        <v>483</v>
      </c>
      <c r="B74" s="3" t="s">
        <v>594</v>
      </c>
      <c r="C74" s="3" t="s">
        <v>26</v>
      </c>
      <c r="D74" s="3" t="s">
        <v>29</v>
      </c>
      <c r="E74" s="3" t="s">
        <v>26</v>
      </c>
      <c r="F74" s="3" t="s">
        <v>430</v>
      </c>
      <c r="G74" s="4">
        <v>0.01</v>
      </c>
      <c r="H74" s="3" t="s">
        <v>136</v>
      </c>
      <c r="I74" s="3" t="s">
        <v>32</v>
      </c>
      <c r="J74" s="3" t="s">
        <v>1204</v>
      </c>
      <c r="K74" s="1" t="s">
        <v>1205</v>
      </c>
      <c r="L74" s="1"/>
      <c r="M74" s="1"/>
      <c r="N74" s="29"/>
    </row>
    <row r="75" spans="1:14" ht="15.75" x14ac:dyDescent="0.25">
      <c r="A75" s="3" t="s">
        <v>199</v>
      </c>
      <c r="B75" s="3" t="s">
        <v>595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30"/>
    </row>
    <row r="76" spans="1:14" ht="15.75" x14ac:dyDescent="0.25">
      <c r="A76" s="3" t="s">
        <v>201</v>
      </c>
      <c r="B76" s="3" t="s">
        <v>596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9"/>
    </row>
    <row r="77" spans="1:14" ht="15.75" x14ac:dyDescent="0.25">
      <c r="A77" s="3" t="s">
        <v>203</v>
      </c>
      <c r="B77" s="3" t="s">
        <v>597</v>
      </c>
      <c r="C77" s="3" t="s">
        <v>26</v>
      </c>
      <c r="D77" s="3" t="s">
        <v>29</v>
      </c>
      <c r="E77" s="3" t="s">
        <v>26</v>
      </c>
      <c r="F77" s="3" t="s">
        <v>204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30"/>
    </row>
    <row r="78" spans="1:14" ht="15.75" x14ac:dyDescent="0.25">
      <c r="A78" s="3" t="s">
        <v>205</v>
      </c>
      <c r="B78" s="3" t="s">
        <v>598</v>
      </c>
      <c r="C78" s="3" t="s">
        <v>26</v>
      </c>
      <c r="D78" s="3" t="s">
        <v>29</v>
      </c>
      <c r="E78" s="3" t="s">
        <v>26</v>
      </c>
      <c r="F78" s="3" t="s">
        <v>206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9"/>
    </row>
    <row r="79" spans="1:14" ht="15.75" x14ac:dyDescent="0.25">
      <c r="A79" s="3" t="s">
        <v>207</v>
      </c>
      <c r="B79" s="3" t="s">
        <v>599</v>
      </c>
      <c r="C79" s="3" t="s">
        <v>26</v>
      </c>
      <c r="D79" s="3" t="s">
        <v>29</v>
      </c>
      <c r="E79" s="3" t="s">
        <v>26</v>
      </c>
      <c r="F79" s="3" t="s">
        <v>208</v>
      </c>
      <c r="G79" s="4">
        <v>0.01</v>
      </c>
      <c r="H79" s="3" t="s">
        <v>136</v>
      </c>
      <c r="I79" s="3" t="s">
        <v>32</v>
      </c>
      <c r="J79" s="3" t="s">
        <v>898</v>
      </c>
      <c r="K79" s="1" t="s">
        <v>897</v>
      </c>
      <c r="L79" s="1"/>
      <c r="M79" s="1"/>
      <c r="N79" s="30"/>
    </row>
    <row r="80" spans="1:14" ht="15.75" x14ac:dyDescent="0.25">
      <c r="A80" s="3" t="s">
        <v>209</v>
      </c>
      <c r="B80" s="3" t="s">
        <v>600</v>
      </c>
      <c r="C80" s="3" t="s">
        <v>26</v>
      </c>
      <c r="D80" s="3" t="s">
        <v>29</v>
      </c>
      <c r="E80" s="3" t="s">
        <v>26</v>
      </c>
      <c r="F80" s="3" t="s">
        <v>210</v>
      </c>
      <c r="G80" s="4">
        <v>0.01</v>
      </c>
      <c r="H80" s="3" t="s">
        <v>136</v>
      </c>
      <c r="I80" s="3" t="s">
        <v>32</v>
      </c>
      <c r="J80" s="1"/>
      <c r="K80" s="1"/>
      <c r="L80" s="1"/>
      <c r="M80" s="1"/>
      <c r="N80" s="29"/>
    </row>
    <row r="81" spans="1:14" ht="15.75" x14ac:dyDescent="0.25">
      <c r="A81" s="3" t="s">
        <v>484</v>
      </c>
      <c r="B81" s="3" t="s">
        <v>601</v>
      </c>
      <c r="C81" s="3" t="s">
        <v>26</v>
      </c>
      <c r="D81" s="3" t="s">
        <v>29</v>
      </c>
      <c r="E81" s="3" t="s">
        <v>26</v>
      </c>
      <c r="F81" s="3" t="s">
        <v>431</v>
      </c>
      <c r="G81" s="4">
        <v>0.01</v>
      </c>
      <c r="H81" s="3" t="s">
        <v>136</v>
      </c>
      <c r="I81" s="3" t="s">
        <v>32</v>
      </c>
      <c r="J81" s="1" t="s">
        <v>1204</v>
      </c>
      <c r="K81" s="1" t="s">
        <v>1206</v>
      </c>
      <c r="L81" s="1"/>
      <c r="M81" s="1"/>
      <c r="N81" s="30"/>
    </row>
    <row r="82" spans="1:14" ht="15.75" x14ac:dyDescent="0.25">
      <c r="A82" s="3" t="s">
        <v>211</v>
      </c>
      <c r="B82" s="3" t="s">
        <v>602</v>
      </c>
      <c r="C82" s="3" t="s">
        <v>26</v>
      </c>
      <c r="D82" s="3" t="s">
        <v>29</v>
      </c>
      <c r="E82" s="3" t="s">
        <v>26</v>
      </c>
      <c r="F82" s="3" t="s">
        <v>212</v>
      </c>
      <c r="G82" s="4">
        <v>0.01</v>
      </c>
      <c r="H82" s="3" t="s">
        <v>136</v>
      </c>
      <c r="I82" s="3" t="s">
        <v>32</v>
      </c>
      <c r="J82" s="1"/>
      <c r="K82" s="1"/>
      <c r="L82" s="1"/>
      <c r="M82" s="1"/>
      <c r="N82" s="29"/>
    </row>
    <row r="83" spans="1:14" ht="15.75" x14ac:dyDescent="0.25">
      <c r="A83" s="3" t="s">
        <v>213</v>
      </c>
      <c r="B83" s="3" t="s">
        <v>603</v>
      </c>
      <c r="C83" s="3" t="s">
        <v>26</v>
      </c>
      <c r="D83" s="3" t="s">
        <v>29</v>
      </c>
      <c r="E83" s="3" t="s">
        <v>26</v>
      </c>
      <c r="F83" s="3" t="s">
        <v>214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30"/>
    </row>
    <row r="84" spans="1:14" ht="15.75" x14ac:dyDescent="0.25">
      <c r="A84" s="3" t="s">
        <v>485</v>
      </c>
      <c r="B84" s="3" t="s">
        <v>604</v>
      </c>
      <c r="C84" s="3" t="s">
        <v>26</v>
      </c>
      <c r="D84" s="3" t="s">
        <v>29</v>
      </c>
      <c r="E84" s="3" t="s">
        <v>26</v>
      </c>
      <c r="F84" s="3" t="s">
        <v>432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9"/>
    </row>
    <row r="85" spans="1:14" ht="15.75" x14ac:dyDescent="0.25">
      <c r="A85" s="3" t="s">
        <v>486</v>
      </c>
      <c r="B85" s="3" t="s">
        <v>605</v>
      </c>
      <c r="C85" s="3" t="s">
        <v>26</v>
      </c>
      <c r="D85" s="3" t="s">
        <v>29</v>
      </c>
      <c r="E85" s="3" t="s">
        <v>26</v>
      </c>
      <c r="F85" s="3" t="s">
        <v>433</v>
      </c>
      <c r="G85" s="4">
        <v>0.01</v>
      </c>
      <c r="H85" s="3" t="s">
        <v>136</v>
      </c>
      <c r="I85" s="3" t="s">
        <v>32</v>
      </c>
      <c r="J85" s="3" t="s">
        <v>898</v>
      </c>
      <c r="K85" s="1" t="s">
        <v>897</v>
      </c>
      <c r="L85" s="1"/>
      <c r="M85" s="1"/>
      <c r="N85" s="30"/>
    </row>
    <row r="86" spans="1:14" ht="15.75" x14ac:dyDescent="0.25">
      <c r="A86" s="3" t="s">
        <v>487</v>
      </c>
      <c r="B86" s="3" t="s">
        <v>606</v>
      </c>
      <c r="C86" s="3" t="s">
        <v>26</v>
      </c>
      <c r="D86" s="3" t="s">
        <v>29</v>
      </c>
      <c r="E86" s="3" t="s">
        <v>26</v>
      </c>
      <c r="F86" s="3" t="s">
        <v>434</v>
      </c>
      <c r="G86" s="4">
        <v>0.01</v>
      </c>
      <c r="H86" s="3" t="s">
        <v>136</v>
      </c>
      <c r="I86" s="3" t="s">
        <v>32</v>
      </c>
      <c r="J86" s="3" t="s">
        <v>1154</v>
      </c>
      <c r="K86" s="1" t="s">
        <v>1155</v>
      </c>
      <c r="L86" s="1"/>
      <c r="M86" s="1"/>
      <c r="N86" s="29"/>
    </row>
    <row r="87" spans="1:14" ht="15.75" x14ac:dyDescent="0.25">
      <c r="A87" s="3" t="s">
        <v>488</v>
      </c>
      <c r="B87" s="3" t="s">
        <v>607</v>
      </c>
      <c r="C87" s="3" t="s">
        <v>26</v>
      </c>
      <c r="D87" s="3" t="s">
        <v>29</v>
      </c>
      <c r="E87" s="3" t="s">
        <v>26</v>
      </c>
      <c r="F87" s="3" t="s">
        <v>435</v>
      </c>
      <c r="G87" s="4">
        <v>0.01</v>
      </c>
      <c r="H87" s="3" t="s">
        <v>136</v>
      </c>
      <c r="I87" s="3" t="s">
        <v>32</v>
      </c>
      <c r="J87" s="1"/>
      <c r="K87" s="1"/>
      <c r="L87" s="1"/>
      <c r="M87" s="1"/>
      <c r="N87" s="30"/>
    </row>
    <row r="88" spans="1:14" ht="15.75" x14ac:dyDescent="0.25">
      <c r="A88" s="3" t="s">
        <v>489</v>
      </c>
      <c r="B88" s="3" t="s">
        <v>608</v>
      </c>
      <c r="C88" s="3" t="s">
        <v>26</v>
      </c>
      <c r="D88" s="3" t="s">
        <v>29</v>
      </c>
      <c r="E88" s="3" t="s">
        <v>26</v>
      </c>
      <c r="F88" s="3" t="s">
        <v>436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9"/>
    </row>
    <row r="89" spans="1:14" ht="15.75" x14ac:dyDescent="0.25">
      <c r="A89" s="3" t="s">
        <v>490</v>
      </c>
      <c r="B89" s="3" t="s">
        <v>609</v>
      </c>
      <c r="C89" s="3" t="s">
        <v>26</v>
      </c>
      <c r="D89" s="3" t="s">
        <v>29</v>
      </c>
      <c r="E89" s="3" t="s">
        <v>26</v>
      </c>
      <c r="F89" s="3" t="s">
        <v>437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30"/>
    </row>
    <row r="90" spans="1:14" ht="15.75" x14ac:dyDescent="0.25">
      <c r="A90" s="3" t="s">
        <v>491</v>
      </c>
      <c r="B90" s="3" t="s">
        <v>610</v>
      </c>
      <c r="C90" s="3" t="s">
        <v>26</v>
      </c>
      <c r="D90" s="3" t="s">
        <v>29</v>
      </c>
      <c r="E90" s="3" t="s">
        <v>26</v>
      </c>
      <c r="F90" s="3" t="s">
        <v>438</v>
      </c>
      <c r="G90" s="4">
        <v>0.01</v>
      </c>
      <c r="H90" s="3" t="s">
        <v>136</v>
      </c>
      <c r="I90" s="3" t="s">
        <v>32</v>
      </c>
      <c r="J90" s="1" t="s">
        <v>1204</v>
      </c>
      <c r="K90" s="1" t="s">
        <v>1207</v>
      </c>
      <c r="L90" s="1"/>
      <c r="M90" s="1"/>
      <c r="N90" s="29"/>
    </row>
    <row r="91" spans="1:14" ht="15.75" x14ac:dyDescent="0.25">
      <c r="A91" s="3" t="s">
        <v>215</v>
      </c>
      <c r="B91" s="3" t="s">
        <v>611</v>
      </c>
      <c r="C91" s="3" t="s">
        <v>26</v>
      </c>
      <c r="D91" s="3" t="s">
        <v>29</v>
      </c>
      <c r="E91" s="3" t="s">
        <v>26</v>
      </c>
      <c r="F91" s="3" t="s">
        <v>216</v>
      </c>
      <c r="G91" s="4">
        <v>0.01</v>
      </c>
      <c r="H91" s="3" t="s">
        <v>136</v>
      </c>
      <c r="I91" s="3" t="s">
        <v>32</v>
      </c>
      <c r="J91" s="1"/>
      <c r="K91" s="1"/>
      <c r="L91" s="1"/>
      <c r="M91" s="1"/>
      <c r="N91" s="30"/>
    </row>
    <row r="92" spans="1:14" ht="15.75" x14ac:dyDescent="0.25">
      <c r="A92" s="3" t="s">
        <v>217</v>
      </c>
      <c r="B92" s="3" t="s">
        <v>612</v>
      </c>
      <c r="C92" s="3" t="s">
        <v>26</v>
      </c>
      <c r="D92" s="3" t="s">
        <v>29</v>
      </c>
      <c r="E92" s="3" t="s">
        <v>26</v>
      </c>
      <c r="F92" s="3" t="s">
        <v>218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9"/>
    </row>
    <row r="93" spans="1:14" ht="15.75" x14ac:dyDescent="0.25">
      <c r="A93" s="3" t="s">
        <v>219</v>
      </c>
      <c r="B93" s="3" t="s">
        <v>613</v>
      </c>
      <c r="C93" s="3" t="s">
        <v>26</v>
      </c>
      <c r="D93" s="3" t="s">
        <v>29</v>
      </c>
      <c r="E93" s="3" t="s">
        <v>26</v>
      </c>
      <c r="F93" s="3" t="s">
        <v>220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30"/>
    </row>
    <row r="94" spans="1:14" ht="15.75" x14ac:dyDescent="0.25">
      <c r="A94" s="3" t="s">
        <v>221</v>
      </c>
      <c r="B94" s="3" t="s">
        <v>614</v>
      </c>
      <c r="C94" s="3" t="s">
        <v>26</v>
      </c>
      <c r="D94" s="3" t="s">
        <v>29</v>
      </c>
      <c r="E94" s="3" t="s">
        <v>26</v>
      </c>
      <c r="F94" s="3" t="s">
        <v>222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9"/>
    </row>
    <row r="95" spans="1:14" ht="15.75" x14ac:dyDescent="0.25">
      <c r="A95" s="3" t="s">
        <v>223</v>
      </c>
      <c r="B95" s="3" t="s">
        <v>615</v>
      </c>
      <c r="C95" s="3" t="s">
        <v>26</v>
      </c>
      <c r="D95" s="3" t="s">
        <v>29</v>
      </c>
      <c r="E95" s="3" t="s">
        <v>26</v>
      </c>
      <c r="F95" s="3" t="s">
        <v>224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30"/>
    </row>
    <row r="96" spans="1:14" ht="15.75" x14ac:dyDescent="0.25">
      <c r="A96" s="3" t="s">
        <v>518</v>
      </c>
      <c r="B96" s="3" t="s">
        <v>616</v>
      </c>
      <c r="C96" s="3" t="s">
        <v>26</v>
      </c>
      <c r="D96" s="3" t="s">
        <v>29</v>
      </c>
      <c r="E96" s="3" t="s">
        <v>26</v>
      </c>
      <c r="F96" s="3" t="s">
        <v>694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9"/>
    </row>
    <row r="97" spans="1:14" ht="15.75" x14ac:dyDescent="0.25">
      <c r="A97" s="3" t="s">
        <v>225</v>
      </c>
      <c r="B97" s="3" t="s">
        <v>617</v>
      </c>
      <c r="C97" s="3" t="s">
        <v>26</v>
      </c>
      <c r="D97" s="3" t="s">
        <v>29</v>
      </c>
      <c r="E97" s="3" t="s">
        <v>26</v>
      </c>
      <c r="F97" s="3" t="s">
        <v>226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30"/>
    </row>
    <row r="98" spans="1:14" ht="15.75" x14ac:dyDescent="0.25">
      <c r="A98" s="3" t="s">
        <v>227</v>
      </c>
      <c r="B98" s="3" t="s">
        <v>618</v>
      </c>
      <c r="C98" s="3" t="s">
        <v>26</v>
      </c>
      <c r="D98" s="3" t="s">
        <v>29</v>
      </c>
      <c r="E98" s="3" t="s">
        <v>26</v>
      </c>
      <c r="F98" s="3" t="s">
        <v>228</v>
      </c>
      <c r="G98" s="4">
        <v>0.01</v>
      </c>
      <c r="H98" s="3" t="s">
        <v>136</v>
      </c>
      <c r="I98" s="3" t="s">
        <v>32</v>
      </c>
      <c r="J98" s="3" t="s">
        <v>1152</v>
      </c>
      <c r="K98" s="1" t="s">
        <v>1153</v>
      </c>
      <c r="L98" s="1" t="s">
        <v>1204</v>
      </c>
      <c r="M98" s="1" t="s">
        <v>1208</v>
      </c>
      <c r="N98" s="29"/>
    </row>
    <row r="99" spans="1:14" ht="15.75" x14ac:dyDescent="0.25">
      <c r="A99" s="3" t="s">
        <v>229</v>
      </c>
      <c r="B99" s="3" t="s">
        <v>619</v>
      </c>
      <c r="C99" s="3" t="s">
        <v>26</v>
      </c>
      <c r="D99" s="3" t="s">
        <v>29</v>
      </c>
      <c r="E99" s="3" t="s">
        <v>26</v>
      </c>
      <c r="F99" s="3" t="s">
        <v>230</v>
      </c>
      <c r="G99" s="4">
        <v>0.01</v>
      </c>
      <c r="H99" s="3" t="s">
        <v>136</v>
      </c>
      <c r="I99" s="3" t="s">
        <v>32</v>
      </c>
      <c r="J99" s="1"/>
      <c r="K99" s="1"/>
      <c r="L99" s="1"/>
      <c r="M99" s="1"/>
      <c r="N99" s="30"/>
    </row>
    <row r="100" spans="1:14" ht="15.75" x14ac:dyDescent="0.25">
      <c r="A100" s="3" t="s">
        <v>492</v>
      </c>
      <c r="B100" s="3" t="s">
        <v>620</v>
      </c>
      <c r="C100" s="3" t="s">
        <v>26</v>
      </c>
      <c r="D100" s="3" t="s">
        <v>29</v>
      </c>
      <c r="E100" s="3" t="s">
        <v>26</v>
      </c>
      <c r="F100" s="3" t="s">
        <v>439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9"/>
    </row>
    <row r="101" spans="1:14" ht="15.75" x14ac:dyDescent="0.25">
      <c r="A101" s="3" t="s">
        <v>231</v>
      </c>
      <c r="B101" s="3" t="s">
        <v>621</v>
      </c>
      <c r="C101" s="3" t="s">
        <v>26</v>
      </c>
      <c r="D101" s="3" t="s">
        <v>29</v>
      </c>
      <c r="E101" s="3" t="s">
        <v>26</v>
      </c>
      <c r="F101" s="3" t="s">
        <v>232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30"/>
    </row>
    <row r="102" spans="1:14" ht="15.75" x14ac:dyDescent="0.25">
      <c r="A102" s="3" t="s">
        <v>233</v>
      </c>
      <c r="B102" s="3" t="s">
        <v>622</v>
      </c>
      <c r="C102" s="3" t="s">
        <v>26</v>
      </c>
      <c r="D102" s="3" t="s">
        <v>29</v>
      </c>
      <c r="E102" s="3" t="s">
        <v>26</v>
      </c>
      <c r="F102" s="3" t="s">
        <v>234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9"/>
    </row>
    <row r="103" spans="1:14" ht="15.75" x14ac:dyDescent="0.25">
      <c r="A103" s="3" t="s">
        <v>235</v>
      </c>
      <c r="B103" s="3" t="s">
        <v>623</v>
      </c>
      <c r="C103" s="3" t="s">
        <v>26</v>
      </c>
      <c r="D103" s="3" t="s">
        <v>29</v>
      </c>
      <c r="E103" s="3" t="s">
        <v>26</v>
      </c>
      <c r="F103" s="3" t="s">
        <v>236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30"/>
    </row>
    <row r="104" spans="1:14" ht="15.75" x14ac:dyDescent="0.25">
      <c r="A104" s="3" t="s">
        <v>237</v>
      </c>
      <c r="B104" s="3" t="s">
        <v>624</v>
      </c>
      <c r="C104" s="3" t="s">
        <v>26</v>
      </c>
      <c r="D104" s="3" t="s">
        <v>29</v>
      </c>
      <c r="E104" s="3" t="s">
        <v>26</v>
      </c>
      <c r="F104" s="3" t="s">
        <v>238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9"/>
    </row>
    <row r="105" spans="1:14" ht="15.75" x14ac:dyDescent="0.25">
      <c r="A105" s="3" t="s">
        <v>239</v>
      </c>
      <c r="B105" s="3" t="s">
        <v>625</v>
      </c>
      <c r="C105" s="3" t="s">
        <v>26</v>
      </c>
      <c r="D105" s="3" t="s">
        <v>29</v>
      </c>
      <c r="E105" s="3" t="s">
        <v>26</v>
      </c>
      <c r="F105" s="3" t="s">
        <v>240</v>
      </c>
      <c r="G105" s="4">
        <v>0.01</v>
      </c>
      <c r="H105" s="3" t="s">
        <v>136</v>
      </c>
      <c r="I105" s="3" t="s">
        <v>32</v>
      </c>
      <c r="J105" s="1" t="s">
        <v>1204</v>
      </c>
      <c r="K105" s="1" t="s">
        <v>1209</v>
      </c>
      <c r="L105" s="1"/>
      <c r="M105" s="1"/>
      <c r="N105" s="30"/>
    </row>
    <row r="106" spans="1:14" ht="15.75" x14ac:dyDescent="0.25">
      <c r="A106" s="3" t="s">
        <v>241</v>
      </c>
      <c r="B106" s="3" t="s">
        <v>626</v>
      </c>
      <c r="C106" s="3" t="s">
        <v>26</v>
      </c>
      <c r="D106" s="3" t="s">
        <v>29</v>
      </c>
      <c r="E106" s="3" t="s">
        <v>26</v>
      </c>
      <c r="F106" s="3" t="s">
        <v>242</v>
      </c>
      <c r="G106" s="4">
        <v>0.01</v>
      </c>
      <c r="H106" s="3" t="s">
        <v>136</v>
      </c>
      <c r="I106" s="3" t="s">
        <v>32</v>
      </c>
      <c r="J106" s="1" t="s">
        <v>1204</v>
      </c>
      <c r="K106" s="1" t="s">
        <v>1210</v>
      </c>
      <c r="L106" s="1"/>
      <c r="M106" s="1"/>
      <c r="N106" s="29"/>
    </row>
    <row r="107" spans="1:14" ht="15.75" x14ac:dyDescent="0.25">
      <c r="A107" s="3" t="s">
        <v>243</v>
      </c>
      <c r="B107" s="3" t="s">
        <v>627</v>
      </c>
      <c r="C107" s="3" t="s">
        <v>26</v>
      </c>
      <c r="D107" s="3" t="s">
        <v>29</v>
      </c>
      <c r="E107" s="3" t="s">
        <v>26</v>
      </c>
      <c r="F107" s="3" t="s">
        <v>244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30"/>
    </row>
    <row r="108" spans="1:14" ht="15.75" x14ac:dyDescent="0.25">
      <c r="A108" s="3" t="s">
        <v>493</v>
      </c>
      <c r="B108" s="3" t="s">
        <v>628</v>
      </c>
      <c r="C108" s="3" t="s">
        <v>26</v>
      </c>
      <c r="D108" s="3" t="s">
        <v>29</v>
      </c>
      <c r="E108" s="3" t="s">
        <v>26</v>
      </c>
      <c r="F108" s="3" t="s">
        <v>440</v>
      </c>
      <c r="G108" s="4">
        <v>0.01</v>
      </c>
      <c r="H108" s="3" t="s">
        <v>136</v>
      </c>
      <c r="I108" s="3" t="s">
        <v>32</v>
      </c>
      <c r="J108" s="1"/>
      <c r="K108" s="1"/>
      <c r="L108" s="1"/>
      <c r="M108" s="1"/>
      <c r="N108" s="29"/>
    </row>
    <row r="109" spans="1:14" ht="15.75" x14ac:dyDescent="0.25">
      <c r="A109" s="3" t="s">
        <v>494</v>
      </c>
      <c r="B109" s="3" t="s">
        <v>629</v>
      </c>
      <c r="C109" s="3" t="s">
        <v>26</v>
      </c>
      <c r="D109" s="3" t="s">
        <v>29</v>
      </c>
      <c r="E109" s="3" t="s">
        <v>26</v>
      </c>
      <c r="F109" s="3" t="s">
        <v>441</v>
      </c>
      <c r="G109" s="4">
        <v>0.01</v>
      </c>
      <c r="H109" s="3" t="s">
        <v>136</v>
      </c>
      <c r="I109" s="3" t="s">
        <v>32</v>
      </c>
      <c r="J109" s="1"/>
      <c r="K109" s="1"/>
      <c r="L109" s="1"/>
      <c r="M109" s="1"/>
      <c r="N109" s="30"/>
    </row>
    <row r="110" spans="1:14" ht="15.75" x14ac:dyDescent="0.25">
      <c r="A110" s="3" t="s">
        <v>853</v>
      </c>
      <c r="B110" s="3" t="s">
        <v>855</v>
      </c>
      <c r="C110" s="3" t="s">
        <v>26</v>
      </c>
      <c r="D110" s="3" t="s">
        <v>29</v>
      </c>
      <c r="E110" s="3" t="s">
        <v>26</v>
      </c>
      <c r="F110" s="1" t="s">
        <v>854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9"/>
    </row>
    <row r="111" spans="1:14" ht="15.75" x14ac:dyDescent="0.25">
      <c r="A111" s="3" t="s">
        <v>495</v>
      </c>
      <c r="B111" s="3" t="s">
        <v>630</v>
      </c>
      <c r="C111" s="3" t="s">
        <v>26</v>
      </c>
      <c r="D111" s="3" t="s">
        <v>29</v>
      </c>
      <c r="E111" s="3" t="s">
        <v>26</v>
      </c>
      <c r="F111" s="3" t="s">
        <v>442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30"/>
    </row>
    <row r="112" spans="1:14" ht="15.75" x14ac:dyDescent="0.25">
      <c r="A112" s="3" t="s">
        <v>496</v>
      </c>
      <c r="B112" s="3" t="s">
        <v>631</v>
      </c>
      <c r="C112" s="3" t="s">
        <v>26</v>
      </c>
      <c r="D112" s="3" t="s">
        <v>29</v>
      </c>
      <c r="E112" s="3" t="s">
        <v>26</v>
      </c>
      <c r="F112" s="3" t="s">
        <v>443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9"/>
    </row>
    <row r="113" spans="1:14" ht="15.75" x14ac:dyDescent="0.25">
      <c r="A113" s="3" t="s">
        <v>497</v>
      </c>
      <c r="B113" s="3" t="s">
        <v>632</v>
      </c>
      <c r="C113" s="3" t="s">
        <v>26</v>
      </c>
      <c r="D113" s="3" t="s">
        <v>29</v>
      </c>
      <c r="E113" s="3" t="s">
        <v>26</v>
      </c>
      <c r="F113" s="3" t="s">
        <v>444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30"/>
    </row>
    <row r="114" spans="1:14" ht="15.75" x14ac:dyDescent="0.25">
      <c r="A114" s="3" t="s">
        <v>498</v>
      </c>
      <c r="B114" s="3" t="s">
        <v>633</v>
      </c>
      <c r="C114" s="3" t="s">
        <v>26</v>
      </c>
      <c r="D114" s="3" t="s">
        <v>29</v>
      </c>
      <c r="E114" s="3" t="s">
        <v>26</v>
      </c>
      <c r="F114" s="3" t="s">
        <v>445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9"/>
    </row>
    <row r="115" spans="1:14" ht="15.75" x14ac:dyDescent="0.25">
      <c r="A115" s="3" t="s">
        <v>499</v>
      </c>
      <c r="B115" s="3" t="s">
        <v>634</v>
      </c>
      <c r="C115" s="3" t="s">
        <v>26</v>
      </c>
      <c r="D115" s="3" t="s">
        <v>29</v>
      </c>
      <c r="E115" s="3" t="s">
        <v>26</v>
      </c>
      <c r="F115" s="3" t="s">
        <v>446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30"/>
    </row>
    <row r="116" spans="1:14" ht="15.75" x14ac:dyDescent="0.25">
      <c r="A116" s="3" t="s">
        <v>245</v>
      </c>
      <c r="B116" s="3" t="s">
        <v>635</v>
      </c>
      <c r="C116" s="3" t="s">
        <v>26</v>
      </c>
      <c r="D116" s="3" t="s">
        <v>29</v>
      </c>
      <c r="E116" s="3" t="s">
        <v>26</v>
      </c>
      <c r="F116" s="3" t="s">
        <v>246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9"/>
    </row>
    <row r="117" spans="1:14" ht="15.75" x14ac:dyDescent="0.25">
      <c r="A117" s="3" t="s">
        <v>247</v>
      </c>
      <c r="B117" s="3" t="s">
        <v>636</v>
      </c>
      <c r="C117" s="3" t="s">
        <v>26</v>
      </c>
      <c r="D117" s="3" t="s">
        <v>29</v>
      </c>
      <c r="E117" s="3" t="s">
        <v>26</v>
      </c>
      <c r="F117" s="3" t="s">
        <v>248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30"/>
    </row>
    <row r="118" spans="1:14" ht="15.75" x14ac:dyDescent="0.25">
      <c r="A118" s="3" t="s">
        <v>249</v>
      </c>
      <c r="B118" s="3" t="s">
        <v>637</v>
      </c>
      <c r="C118" s="3" t="s">
        <v>26</v>
      </c>
      <c r="D118" s="3" t="s">
        <v>29</v>
      </c>
      <c r="E118" s="3" t="s">
        <v>26</v>
      </c>
      <c r="F118" s="3" t="s">
        <v>250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9"/>
    </row>
    <row r="119" spans="1:14" ht="15.75" x14ac:dyDescent="0.25">
      <c r="A119" s="3" t="s">
        <v>251</v>
      </c>
      <c r="B119" s="3" t="s">
        <v>638</v>
      </c>
      <c r="C119" s="3" t="s">
        <v>26</v>
      </c>
      <c r="D119" s="3" t="s">
        <v>29</v>
      </c>
      <c r="E119" s="3" t="s">
        <v>26</v>
      </c>
      <c r="F119" s="3" t="s">
        <v>252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30"/>
    </row>
    <row r="120" spans="1:14" ht="15.75" x14ac:dyDescent="0.25">
      <c r="A120" s="3" t="s">
        <v>253</v>
      </c>
      <c r="B120" s="3" t="s">
        <v>639</v>
      </c>
      <c r="C120" s="3" t="s">
        <v>26</v>
      </c>
      <c r="D120" s="3" t="s">
        <v>29</v>
      </c>
      <c r="E120" s="3" t="s">
        <v>26</v>
      </c>
      <c r="F120" s="3" t="s">
        <v>254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9"/>
    </row>
    <row r="121" spans="1:14" ht="15.75" x14ac:dyDescent="0.25">
      <c r="A121" s="3" t="s">
        <v>519</v>
      </c>
      <c r="B121" s="3" t="s">
        <v>640</v>
      </c>
      <c r="C121" s="3" t="s">
        <v>26</v>
      </c>
      <c r="D121" s="3" t="s">
        <v>29</v>
      </c>
      <c r="E121" s="3" t="s">
        <v>26</v>
      </c>
      <c r="F121" s="3" t="s">
        <v>695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30"/>
    </row>
    <row r="122" spans="1:14" ht="15.75" x14ac:dyDescent="0.25">
      <c r="A122" s="3" t="s">
        <v>255</v>
      </c>
      <c r="B122" s="3" t="s">
        <v>641</v>
      </c>
      <c r="C122" s="3" t="s">
        <v>26</v>
      </c>
      <c r="D122" s="3" t="s">
        <v>29</v>
      </c>
      <c r="E122" s="3" t="s">
        <v>26</v>
      </c>
      <c r="F122" s="3" t="s">
        <v>256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9"/>
    </row>
    <row r="123" spans="1:14" ht="15.75" x14ac:dyDescent="0.25">
      <c r="A123" s="3" t="s">
        <v>257</v>
      </c>
      <c r="B123" s="3" t="s">
        <v>642</v>
      </c>
      <c r="C123" s="3" t="s">
        <v>26</v>
      </c>
      <c r="D123" s="3" t="s">
        <v>29</v>
      </c>
      <c r="E123" s="3" t="s">
        <v>26</v>
      </c>
      <c r="F123" s="3" t="s">
        <v>258</v>
      </c>
      <c r="G123" s="4">
        <v>0.01</v>
      </c>
      <c r="H123" s="3" t="s">
        <v>136</v>
      </c>
      <c r="I123" s="3" t="s">
        <v>32</v>
      </c>
      <c r="J123" s="1" t="s">
        <v>1204</v>
      </c>
      <c r="K123" s="1" t="s">
        <v>1211</v>
      </c>
      <c r="L123" s="1"/>
      <c r="M123" s="1"/>
      <c r="N123" s="30"/>
    </row>
    <row r="124" spans="1:14" ht="15.75" x14ac:dyDescent="0.25">
      <c r="A124" s="3" t="s">
        <v>259</v>
      </c>
      <c r="B124" s="3" t="s">
        <v>643</v>
      </c>
      <c r="C124" s="3" t="s">
        <v>26</v>
      </c>
      <c r="D124" s="3" t="s">
        <v>29</v>
      </c>
      <c r="E124" s="3" t="s">
        <v>26</v>
      </c>
      <c r="F124" s="3" t="s">
        <v>260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9"/>
    </row>
    <row r="125" spans="1:14" ht="15.75" x14ac:dyDescent="0.25">
      <c r="A125" s="3" t="s">
        <v>261</v>
      </c>
      <c r="B125" s="3" t="s">
        <v>644</v>
      </c>
      <c r="C125" s="3" t="s">
        <v>26</v>
      </c>
      <c r="D125" s="3" t="s">
        <v>29</v>
      </c>
      <c r="E125" s="3" t="s">
        <v>26</v>
      </c>
      <c r="F125" s="3" t="s">
        <v>262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30"/>
    </row>
    <row r="126" spans="1:14" ht="15.75" x14ac:dyDescent="0.25">
      <c r="A126" s="3" t="s">
        <v>263</v>
      </c>
      <c r="B126" s="3" t="s">
        <v>645</v>
      </c>
      <c r="C126" s="3" t="s">
        <v>26</v>
      </c>
      <c r="D126" s="3" t="s">
        <v>29</v>
      </c>
      <c r="E126" s="3" t="s">
        <v>26</v>
      </c>
      <c r="F126" s="3" t="s">
        <v>264</v>
      </c>
      <c r="G126" s="4">
        <v>0.01</v>
      </c>
      <c r="H126" s="3" t="s">
        <v>136</v>
      </c>
      <c r="I126" s="3" t="s">
        <v>32</v>
      </c>
      <c r="J126" s="1"/>
      <c r="K126" s="1"/>
      <c r="L126" s="1"/>
      <c r="M126" s="1"/>
      <c r="N126" s="29"/>
    </row>
    <row r="127" spans="1:14" ht="15.75" x14ac:dyDescent="0.25">
      <c r="A127" s="3" t="s">
        <v>265</v>
      </c>
      <c r="B127" s="3" t="s">
        <v>646</v>
      </c>
      <c r="C127" s="3" t="s">
        <v>26</v>
      </c>
      <c r="D127" s="3" t="s">
        <v>29</v>
      </c>
      <c r="E127" s="3" t="s">
        <v>26</v>
      </c>
      <c r="F127" s="3" t="s">
        <v>266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30"/>
    </row>
    <row r="128" spans="1:14" ht="15.75" x14ac:dyDescent="0.25">
      <c r="A128" s="3" t="s">
        <v>267</v>
      </c>
      <c r="B128" s="3" t="s">
        <v>647</v>
      </c>
      <c r="C128" s="3" t="s">
        <v>26</v>
      </c>
      <c r="D128" s="3" t="s">
        <v>29</v>
      </c>
      <c r="E128" s="3" t="s">
        <v>26</v>
      </c>
      <c r="F128" s="3" t="s">
        <v>268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9"/>
    </row>
    <row r="129" spans="1:14" ht="15.75" x14ac:dyDescent="0.25">
      <c r="A129" s="3" t="s">
        <v>269</v>
      </c>
      <c r="B129" s="3" t="s">
        <v>648</v>
      </c>
      <c r="C129" s="3" t="s">
        <v>26</v>
      </c>
      <c r="D129" s="3" t="s">
        <v>29</v>
      </c>
      <c r="E129" s="3" t="s">
        <v>26</v>
      </c>
      <c r="F129" s="3" t="s">
        <v>270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30"/>
    </row>
    <row r="130" spans="1:14" ht="15.75" x14ac:dyDescent="0.25">
      <c r="A130" s="3" t="s">
        <v>271</v>
      </c>
      <c r="B130" s="3" t="s">
        <v>649</v>
      </c>
      <c r="C130" s="3" t="s">
        <v>26</v>
      </c>
      <c r="D130" s="3" t="s">
        <v>29</v>
      </c>
      <c r="E130" s="3" t="s">
        <v>26</v>
      </c>
      <c r="F130" s="3" t="s">
        <v>272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9"/>
    </row>
    <row r="131" spans="1:14" ht="15.75" x14ac:dyDescent="0.25">
      <c r="A131" s="3" t="s">
        <v>273</v>
      </c>
      <c r="B131" s="3" t="s">
        <v>650</v>
      </c>
      <c r="C131" s="3" t="s">
        <v>26</v>
      </c>
      <c r="D131" s="3" t="s">
        <v>29</v>
      </c>
      <c r="E131" s="3" t="s">
        <v>26</v>
      </c>
      <c r="F131" s="3" t="s">
        <v>274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30"/>
    </row>
    <row r="132" spans="1:14" ht="15.75" x14ac:dyDescent="0.25">
      <c r="A132" s="3" t="s">
        <v>275</v>
      </c>
      <c r="B132" s="3" t="s">
        <v>651</v>
      </c>
      <c r="C132" s="3" t="s">
        <v>26</v>
      </c>
      <c r="D132" s="3" t="s">
        <v>29</v>
      </c>
      <c r="E132" s="3" t="s">
        <v>26</v>
      </c>
      <c r="F132" s="3" t="s">
        <v>276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9"/>
    </row>
    <row r="133" spans="1:14" ht="15.75" x14ac:dyDescent="0.25">
      <c r="A133" s="3" t="s">
        <v>500</v>
      </c>
      <c r="B133" s="3" t="s">
        <v>652</v>
      </c>
      <c r="C133" s="3" t="s">
        <v>26</v>
      </c>
      <c r="D133" s="3" t="s">
        <v>29</v>
      </c>
      <c r="E133" s="3" t="s">
        <v>26</v>
      </c>
      <c r="F133" s="3" t="s">
        <v>447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30"/>
    </row>
    <row r="134" spans="1:14" ht="15.75" x14ac:dyDescent="0.25">
      <c r="A134" s="3" t="s">
        <v>501</v>
      </c>
      <c r="B134" s="3" t="s">
        <v>653</v>
      </c>
      <c r="C134" s="3" t="s">
        <v>26</v>
      </c>
      <c r="D134" s="3" t="s">
        <v>29</v>
      </c>
      <c r="E134" s="3" t="s">
        <v>26</v>
      </c>
      <c r="F134" s="3" t="s">
        <v>448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9"/>
    </row>
    <row r="135" spans="1:14" ht="15.75" x14ac:dyDescent="0.25">
      <c r="A135" s="3" t="s">
        <v>502</v>
      </c>
      <c r="B135" s="3" t="s">
        <v>654</v>
      </c>
      <c r="C135" s="3" t="s">
        <v>26</v>
      </c>
      <c r="D135" s="3" t="s">
        <v>29</v>
      </c>
      <c r="E135" s="3" t="s">
        <v>26</v>
      </c>
      <c r="F135" s="3" t="s">
        <v>449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30"/>
    </row>
    <row r="136" spans="1:14" ht="15.75" x14ac:dyDescent="0.25">
      <c r="A136" s="3" t="s">
        <v>503</v>
      </c>
      <c r="B136" s="3" t="s">
        <v>655</v>
      </c>
      <c r="C136" s="3" t="s">
        <v>26</v>
      </c>
      <c r="D136" s="3" t="s">
        <v>29</v>
      </c>
      <c r="E136" s="3" t="s">
        <v>26</v>
      </c>
      <c r="F136" s="3" t="s">
        <v>450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9"/>
    </row>
    <row r="137" spans="1:14" ht="15.75" x14ac:dyDescent="0.25">
      <c r="A137" s="3" t="s">
        <v>504</v>
      </c>
      <c r="B137" s="3" t="s">
        <v>656</v>
      </c>
      <c r="C137" s="3" t="s">
        <v>26</v>
      </c>
      <c r="D137" s="3" t="s">
        <v>29</v>
      </c>
      <c r="E137" s="3" t="s">
        <v>26</v>
      </c>
      <c r="F137" s="3" t="s">
        <v>451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30"/>
    </row>
    <row r="138" spans="1:14" ht="15.75" x14ac:dyDescent="0.25">
      <c r="A138" s="3" t="s">
        <v>505</v>
      </c>
      <c r="B138" s="3" t="s">
        <v>657</v>
      </c>
      <c r="C138" s="3" t="s">
        <v>26</v>
      </c>
      <c r="D138" s="3" t="s">
        <v>29</v>
      </c>
      <c r="E138" s="3" t="s">
        <v>26</v>
      </c>
      <c r="F138" s="3" t="s">
        <v>452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9"/>
    </row>
    <row r="139" spans="1:14" ht="15.75" x14ac:dyDescent="0.25">
      <c r="A139" s="3" t="s">
        <v>506</v>
      </c>
      <c r="B139" s="3" t="s">
        <v>658</v>
      </c>
      <c r="C139" s="3" t="s">
        <v>26</v>
      </c>
      <c r="D139" s="3" t="s">
        <v>29</v>
      </c>
      <c r="E139" s="3" t="s">
        <v>26</v>
      </c>
      <c r="F139" s="3" t="s">
        <v>453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30"/>
    </row>
    <row r="140" spans="1:14" ht="15.75" x14ac:dyDescent="0.25">
      <c r="A140" s="3" t="s">
        <v>277</v>
      </c>
      <c r="B140" s="3" t="s">
        <v>659</v>
      </c>
      <c r="C140" s="3" t="s">
        <v>26</v>
      </c>
      <c r="D140" s="3" t="s">
        <v>29</v>
      </c>
      <c r="E140" s="3" t="s">
        <v>26</v>
      </c>
      <c r="F140" s="3" t="s">
        <v>278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9"/>
    </row>
    <row r="141" spans="1:14" ht="15.75" x14ac:dyDescent="0.25">
      <c r="A141" s="3" t="s">
        <v>279</v>
      </c>
      <c r="B141" s="3" t="s">
        <v>660</v>
      </c>
      <c r="C141" s="3" t="s">
        <v>26</v>
      </c>
      <c r="D141" s="3" t="s">
        <v>29</v>
      </c>
      <c r="E141" s="3" t="s">
        <v>26</v>
      </c>
      <c r="F141" s="3" t="s">
        <v>280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30"/>
    </row>
    <row r="142" spans="1:14" ht="15.75" x14ac:dyDescent="0.25">
      <c r="A142" s="3" t="s">
        <v>281</v>
      </c>
      <c r="B142" s="3" t="s">
        <v>661</v>
      </c>
      <c r="C142" s="3" t="s">
        <v>26</v>
      </c>
      <c r="D142" s="3" t="s">
        <v>29</v>
      </c>
      <c r="E142" s="3" t="s">
        <v>26</v>
      </c>
      <c r="F142" s="3" t="s">
        <v>282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9"/>
    </row>
    <row r="143" spans="1:14" ht="15.75" x14ac:dyDescent="0.25">
      <c r="A143" s="3" t="s">
        <v>283</v>
      </c>
      <c r="B143" s="3" t="s">
        <v>662</v>
      </c>
      <c r="C143" s="3" t="s">
        <v>26</v>
      </c>
      <c r="D143" s="3" t="s">
        <v>29</v>
      </c>
      <c r="E143" s="3" t="s">
        <v>26</v>
      </c>
      <c r="F143" s="3" t="s">
        <v>284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30"/>
    </row>
    <row r="144" spans="1:14" ht="15.75" x14ac:dyDescent="0.25">
      <c r="A144" s="3" t="s">
        <v>285</v>
      </c>
      <c r="B144" s="3" t="s">
        <v>663</v>
      </c>
      <c r="C144" s="3" t="s">
        <v>26</v>
      </c>
      <c r="D144" s="3" t="s">
        <v>29</v>
      </c>
      <c r="E144" s="3" t="s">
        <v>26</v>
      </c>
      <c r="F144" s="3" t="s">
        <v>286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9"/>
    </row>
    <row r="145" spans="1:14" ht="15.75" x14ac:dyDescent="0.25">
      <c r="A145" s="3" t="s">
        <v>520</v>
      </c>
      <c r="B145" s="3" t="s">
        <v>664</v>
      </c>
      <c r="C145" s="3" t="s">
        <v>26</v>
      </c>
      <c r="D145" s="3" t="s">
        <v>29</v>
      </c>
      <c r="E145" s="3" t="s">
        <v>26</v>
      </c>
      <c r="F145" s="3" t="s">
        <v>696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30"/>
    </row>
    <row r="146" spans="1:14" ht="15.75" x14ac:dyDescent="0.25">
      <c r="A146" s="3" t="s">
        <v>287</v>
      </c>
      <c r="B146" s="3" t="s">
        <v>665</v>
      </c>
      <c r="C146" s="3" t="s">
        <v>26</v>
      </c>
      <c r="D146" s="3" t="s">
        <v>29</v>
      </c>
      <c r="E146" s="3" t="s">
        <v>26</v>
      </c>
      <c r="F146" s="3" t="s">
        <v>288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9"/>
    </row>
    <row r="147" spans="1:14" ht="15.75" x14ac:dyDescent="0.25">
      <c r="A147" s="3" t="s">
        <v>289</v>
      </c>
      <c r="B147" s="3" t="s">
        <v>666</v>
      </c>
      <c r="C147" s="3" t="s">
        <v>26</v>
      </c>
      <c r="D147" s="3" t="s">
        <v>29</v>
      </c>
      <c r="E147" s="3" t="s">
        <v>26</v>
      </c>
      <c r="F147" s="3" t="s">
        <v>290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30"/>
    </row>
    <row r="148" spans="1:14" ht="15.75" x14ac:dyDescent="0.25">
      <c r="A148" s="3" t="s">
        <v>291</v>
      </c>
      <c r="B148" s="3" t="s">
        <v>667</v>
      </c>
      <c r="C148" s="3" t="s">
        <v>26</v>
      </c>
      <c r="D148" s="3" t="s">
        <v>29</v>
      </c>
      <c r="E148" s="3" t="s">
        <v>26</v>
      </c>
      <c r="F148" s="3" t="s">
        <v>292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9"/>
    </row>
    <row r="149" spans="1:14" ht="15.75" x14ac:dyDescent="0.25">
      <c r="A149" s="3" t="s">
        <v>293</v>
      </c>
      <c r="B149" s="3" t="s">
        <v>668</v>
      </c>
      <c r="C149" s="3" t="s">
        <v>26</v>
      </c>
      <c r="D149" s="3" t="s">
        <v>29</v>
      </c>
      <c r="E149" s="3" t="s">
        <v>26</v>
      </c>
      <c r="F149" s="3" t="s">
        <v>294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30"/>
    </row>
    <row r="150" spans="1:14" ht="15.75" x14ac:dyDescent="0.25">
      <c r="A150" s="3" t="s">
        <v>295</v>
      </c>
      <c r="B150" s="3" t="s">
        <v>669</v>
      </c>
      <c r="C150" s="3" t="s">
        <v>26</v>
      </c>
      <c r="D150" s="3" t="s">
        <v>29</v>
      </c>
      <c r="E150" s="3" t="s">
        <v>26</v>
      </c>
      <c r="F150" s="3" t="s">
        <v>296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9"/>
    </row>
    <row r="151" spans="1:14" ht="15.75" x14ac:dyDescent="0.25">
      <c r="A151" s="3" t="s">
        <v>297</v>
      </c>
      <c r="B151" s="3" t="s">
        <v>670</v>
      </c>
      <c r="C151" s="3" t="s">
        <v>26</v>
      </c>
      <c r="D151" s="3" t="s">
        <v>29</v>
      </c>
      <c r="E151" s="3" t="s">
        <v>26</v>
      </c>
      <c r="F151" s="3" t="s">
        <v>298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30"/>
    </row>
    <row r="152" spans="1:14" ht="15.75" x14ac:dyDescent="0.25">
      <c r="A152" s="3" t="s">
        <v>299</v>
      </c>
      <c r="B152" s="3" t="s">
        <v>671</v>
      </c>
      <c r="C152" s="3" t="s">
        <v>26</v>
      </c>
      <c r="D152" s="3" t="s">
        <v>29</v>
      </c>
      <c r="E152" s="3" t="s">
        <v>26</v>
      </c>
      <c r="F152" s="3" t="s">
        <v>300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9"/>
    </row>
    <row r="153" spans="1:14" ht="15.75" x14ac:dyDescent="0.25">
      <c r="A153" s="3" t="s">
        <v>301</v>
      </c>
      <c r="B153" s="3" t="s">
        <v>672</v>
      </c>
      <c r="C153" s="3" t="s">
        <v>26</v>
      </c>
      <c r="D153" s="3" t="s">
        <v>29</v>
      </c>
      <c r="E153" s="3" t="s">
        <v>26</v>
      </c>
      <c r="F153" s="3" t="s">
        <v>302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30"/>
    </row>
    <row r="154" spans="1:14" ht="15.75" x14ac:dyDescent="0.25">
      <c r="A154" s="3" t="s">
        <v>507</v>
      </c>
      <c r="B154" s="3" t="s">
        <v>673</v>
      </c>
      <c r="C154" s="3" t="s">
        <v>26</v>
      </c>
      <c r="D154" s="3" t="s">
        <v>29</v>
      </c>
      <c r="E154" s="3" t="s">
        <v>26</v>
      </c>
      <c r="F154" s="3" t="s">
        <v>454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9"/>
    </row>
    <row r="155" spans="1:14" ht="15.75" x14ac:dyDescent="0.25">
      <c r="A155" s="3" t="s">
        <v>303</v>
      </c>
      <c r="B155" s="3" t="s">
        <v>674</v>
      </c>
      <c r="C155" s="3" t="s">
        <v>26</v>
      </c>
      <c r="D155" s="3" t="s">
        <v>29</v>
      </c>
      <c r="E155" s="3" t="s">
        <v>26</v>
      </c>
      <c r="F155" s="3" t="s">
        <v>304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30"/>
    </row>
    <row r="156" spans="1:14" ht="15.75" x14ac:dyDescent="0.25">
      <c r="A156" s="3" t="s">
        <v>305</v>
      </c>
      <c r="B156" s="3" t="s">
        <v>675</v>
      </c>
      <c r="C156" s="3" t="s">
        <v>26</v>
      </c>
      <c r="D156" s="3" t="s">
        <v>29</v>
      </c>
      <c r="E156" s="3" t="s">
        <v>26</v>
      </c>
      <c r="F156" s="3" t="s">
        <v>306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9"/>
    </row>
    <row r="157" spans="1:14" ht="15.75" x14ac:dyDescent="0.25">
      <c r="A157" s="3" t="s">
        <v>508</v>
      </c>
      <c r="B157" s="3" t="s">
        <v>676</v>
      </c>
      <c r="C157" s="3" t="s">
        <v>26</v>
      </c>
      <c r="D157" s="3" t="s">
        <v>29</v>
      </c>
      <c r="E157" s="3" t="s">
        <v>26</v>
      </c>
      <c r="F157" s="3" t="s">
        <v>455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30"/>
    </row>
    <row r="158" spans="1:14" ht="15.75" x14ac:dyDescent="0.25">
      <c r="A158" s="3" t="s">
        <v>509</v>
      </c>
      <c r="B158" s="3" t="s">
        <v>677</v>
      </c>
      <c r="C158" s="3" t="s">
        <v>26</v>
      </c>
      <c r="D158" s="3" t="s">
        <v>29</v>
      </c>
      <c r="E158" s="3" t="s">
        <v>26</v>
      </c>
      <c r="F158" s="3" t="s">
        <v>456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9"/>
    </row>
    <row r="159" spans="1:14" ht="15.75" x14ac:dyDescent="0.25">
      <c r="A159" s="3" t="s">
        <v>510</v>
      </c>
      <c r="B159" s="3" t="s">
        <v>678</v>
      </c>
      <c r="C159" s="3" t="s">
        <v>26</v>
      </c>
      <c r="D159" s="3" t="s">
        <v>29</v>
      </c>
      <c r="E159" s="3" t="s">
        <v>26</v>
      </c>
      <c r="F159" s="3" t="s">
        <v>457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30"/>
    </row>
    <row r="160" spans="1:14" ht="15.75" x14ac:dyDescent="0.25">
      <c r="A160" s="3" t="s">
        <v>511</v>
      </c>
      <c r="B160" s="3" t="s">
        <v>679</v>
      </c>
      <c r="C160" s="3" t="s">
        <v>26</v>
      </c>
      <c r="D160" s="3" t="s">
        <v>29</v>
      </c>
      <c r="E160" s="3" t="s">
        <v>26</v>
      </c>
      <c r="F160" s="3" t="s">
        <v>458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9"/>
    </row>
    <row r="161" spans="1:14" ht="15.75" x14ac:dyDescent="0.25">
      <c r="A161" s="3" t="s">
        <v>512</v>
      </c>
      <c r="B161" s="3" t="s">
        <v>680</v>
      </c>
      <c r="C161" s="3" t="s">
        <v>26</v>
      </c>
      <c r="D161" s="3" t="s">
        <v>29</v>
      </c>
      <c r="E161" s="3" t="s">
        <v>26</v>
      </c>
      <c r="F161" s="3" t="s">
        <v>459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30"/>
    </row>
    <row r="162" spans="1:14" ht="15.75" x14ac:dyDescent="0.25">
      <c r="A162" s="3" t="s">
        <v>513</v>
      </c>
      <c r="B162" s="3" t="s">
        <v>681</v>
      </c>
      <c r="C162" s="3" t="s">
        <v>26</v>
      </c>
      <c r="D162" s="3" t="s">
        <v>29</v>
      </c>
      <c r="E162" s="3" t="s">
        <v>26</v>
      </c>
      <c r="F162" s="3" t="s">
        <v>460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9"/>
    </row>
    <row r="163" spans="1:14" ht="15.75" x14ac:dyDescent="0.25">
      <c r="A163" s="3" t="s">
        <v>514</v>
      </c>
      <c r="B163" s="3" t="s">
        <v>682</v>
      </c>
      <c r="C163" s="3" t="s">
        <v>26</v>
      </c>
      <c r="D163" s="3" t="s">
        <v>29</v>
      </c>
      <c r="E163" s="3" t="s">
        <v>26</v>
      </c>
      <c r="F163" s="3" t="s">
        <v>461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30"/>
    </row>
    <row r="164" spans="1:14" ht="15.75" x14ac:dyDescent="0.25">
      <c r="A164" s="3" t="s">
        <v>307</v>
      </c>
      <c r="B164" s="3" t="s">
        <v>683</v>
      </c>
      <c r="C164" s="3" t="s">
        <v>26</v>
      </c>
      <c r="D164" s="3" t="s">
        <v>29</v>
      </c>
      <c r="E164" s="3" t="s">
        <v>26</v>
      </c>
      <c r="F164" s="3" t="s">
        <v>308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9"/>
    </row>
    <row r="165" spans="1:14" ht="15.75" x14ac:dyDescent="0.25">
      <c r="A165" s="3" t="s">
        <v>309</v>
      </c>
      <c r="B165" s="3" t="s">
        <v>684</v>
      </c>
      <c r="C165" s="3" t="s">
        <v>26</v>
      </c>
      <c r="D165" s="3" t="s">
        <v>29</v>
      </c>
      <c r="E165" s="3" t="s">
        <v>26</v>
      </c>
      <c r="F165" s="3" t="s">
        <v>310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30"/>
    </row>
    <row r="166" spans="1:14" ht="15.75" x14ac:dyDescent="0.25">
      <c r="A166" s="3" t="s">
        <v>311</v>
      </c>
      <c r="B166" s="3" t="s">
        <v>685</v>
      </c>
      <c r="C166" s="3" t="s">
        <v>26</v>
      </c>
      <c r="D166" s="3" t="s">
        <v>29</v>
      </c>
      <c r="E166" s="3" t="s">
        <v>26</v>
      </c>
      <c r="F166" s="3" t="s">
        <v>312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9"/>
    </row>
    <row r="167" spans="1:14" ht="15.75" x14ac:dyDescent="0.25">
      <c r="A167" s="3" t="s">
        <v>313</v>
      </c>
      <c r="B167" s="3" t="s">
        <v>686</v>
      </c>
      <c r="C167" s="3" t="s">
        <v>26</v>
      </c>
      <c r="D167" s="3" t="s">
        <v>29</v>
      </c>
      <c r="E167" s="3" t="s">
        <v>26</v>
      </c>
      <c r="F167" s="3" t="s">
        <v>314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30"/>
    </row>
    <row r="168" spans="1:14" ht="15.75" x14ac:dyDescent="0.25">
      <c r="A168" s="3" t="s">
        <v>315</v>
      </c>
      <c r="B168" s="3" t="s">
        <v>687</v>
      </c>
      <c r="C168" s="3" t="s">
        <v>26</v>
      </c>
      <c r="D168" s="3" t="s">
        <v>29</v>
      </c>
      <c r="E168" s="3" t="s">
        <v>26</v>
      </c>
      <c r="F168" s="3" t="s">
        <v>316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9"/>
    </row>
    <row r="169" spans="1:14" ht="15.75" x14ac:dyDescent="0.25">
      <c r="A169" s="3" t="s">
        <v>521</v>
      </c>
      <c r="B169" s="3" t="s">
        <v>688</v>
      </c>
      <c r="C169" s="3" t="s">
        <v>26</v>
      </c>
      <c r="D169" s="3" t="s">
        <v>29</v>
      </c>
      <c r="E169" s="3" t="s">
        <v>26</v>
      </c>
      <c r="F169" s="3" t="s">
        <v>697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30"/>
    </row>
    <row r="170" spans="1:14" ht="15.75" x14ac:dyDescent="0.25">
      <c r="A170" s="3" t="s">
        <v>317</v>
      </c>
      <c r="B170" s="3" t="s">
        <v>689</v>
      </c>
      <c r="C170" s="3" t="s">
        <v>26</v>
      </c>
      <c r="D170" s="3" t="s">
        <v>29</v>
      </c>
      <c r="E170" s="3" t="s">
        <v>26</v>
      </c>
      <c r="F170" s="3" t="s">
        <v>318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9"/>
    </row>
    <row r="171" spans="1:14" ht="15.75" x14ac:dyDescent="0.25">
      <c r="A171" s="3" t="s">
        <v>319</v>
      </c>
      <c r="B171" s="3" t="s">
        <v>690</v>
      </c>
      <c r="C171" s="3" t="s">
        <v>26</v>
      </c>
      <c r="D171" s="3" t="s">
        <v>29</v>
      </c>
      <c r="E171" s="3" t="s">
        <v>26</v>
      </c>
      <c r="F171" s="3" t="s">
        <v>320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30"/>
    </row>
    <row r="172" spans="1:14" ht="15.75" x14ac:dyDescent="0.25">
      <c r="A172" s="1" t="s">
        <v>888</v>
      </c>
      <c r="B172" s="1" t="s">
        <v>889</v>
      </c>
      <c r="C172" s="1" t="s">
        <v>888</v>
      </c>
      <c r="D172" s="3" t="s">
        <v>894</v>
      </c>
      <c r="E172" s="1" t="s">
        <v>893</v>
      </c>
      <c r="F172" s="1" t="s">
        <v>891</v>
      </c>
      <c r="G172" s="14">
        <v>0.5</v>
      </c>
      <c r="H172" s="3" t="s">
        <v>890</v>
      </c>
      <c r="I172" s="13" t="s">
        <v>892</v>
      </c>
      <c r="J172" s="1"/>
      <c r="K172" s="1"/>
      <c r="L172" s="1"/>
      <c r="M172" s="1"/>
      <c r="N172" s="29"/>
    </row>
    <row r="173" spans="1:14" ht="15.75" x14ac:dyDescent="0.25">
      <c r="A173" s="15" t="s">
        <v>958</v>
      </c>
      <c r="B173" s="1" t="s">
        <v>959</v>
      </c>
      <c r="C173" s="1" t="s">
        <v>958</v>
      </c>
      <c r="D173" s="3" t="s">
        <v>894</v>
      </c>
      <c r="E173" s="1" t="s">
        <v>893</v>
      </c>
      <c r="F173" s="1">
        <v>100</v>
      </c>
      <c r="G173" s="14">
        <v>0.5</v>
      </c>
      <c r="H173" s="3" t="s">
        <v>890</v>
      </c>
      <c r="I173" s="13" t="s">
        <v>892</v>
      </c>
      <c r="J173" s="1"/>
      <c r="K173" s="1"/>
      <c r="L173" s="1"/>
      <c r="M173" s="1"/>
      <c r="N173" s="30"/>
    </row>
    <row r="174" spans="1:14" ht="15.75" x14ac:dyDescent="0.25">
      <c r="A174" s="15" t="s">
        <v>962</v>
      </c>
      <c r="B174" s="1" t="s">
        <v>963</v>
      </c>
      <c r="C174" s="1" t="s">
        <v>962</v>
      </c>
      <c r="D174" s="3" t="s">
        <v>894</v>
      </c>
      <c r="E174" s="1" t="s">
        <v>893</v>
      </c>
      <c r="F174" s="1" t="s">
        <v>964</v>
      </c>
      <c r="G174" s="14">
        <v>0.5</v>
      </c>
      <c r="H174" s="3" t="s">
        <v>890</v>
      </c>
      <c r="I174" s="13" t="s">
        <v>892</v>
      </c>
      <c r="J174" s="1"/>
      <c r="K174" s="1"/>
      <c r="L174" s="1"/>
      <c r="M174" s="1"/>
      <c r="N174" s="29"/>
    </row>
    <row r="175" spans="1:14" ht="15.75" x14ac:dyDescent="0.25">
      <c r="A175" s="3" t="s">
        <v>1097</v>
      </c>
      <c r="B175" s="3" t="s">
        <v>1098</v>
      </c>
      <c r="C175" s="3" t="s">
        <v>26</v>
      </c>
      <c r="D175" s="3" t="s">
        <v>29</v>
      </c>
      <c r="E175" s="3" t="s">
        <v>26</v>
      </c>
      <c r="F175" s="3" t="s">
        <v>1096</v>
      </c>
      <c r="G175" s="4">
        <v>0.01</v>
      </c>
      <c r="H175" s="3" t="s">
        <v>898</v>
      </c>
      <c r="I175" s="3" t="s">
        <v>897</v>
      </c>
      <c r="J175" s="1"/>
      <c r="K175" s="1"/>
      <c r="L175" s="1"/>
      <c r="M175" s="1"/>
      <c r="N175" s="30"/>
    </row>
    <row r="176" spans="1:14" ht="15.75" x14ac:dyDescent="0.25">
      <c r="A176" s="1" t="s">
        <v>1283</v>
      </c>
      <c r="B176" s="1" t="s">
        <v>1284</v>
      </c>
      <c r="C176" s="1" t="s">
        <v>26</v>
      </c>
      <c r="D176" s="1" t="s">
        <v>29</v>
      </c>
      <c r="E176" s="1" t="s">
        <v>26</v>
      </c>
      <c r="F176" s="1">
        <v>0.22</v>
      </c>
      <c r="G176" s="4">
        <v>0.01</v>
      </c>
      <c r="H176" s="1" t="s">
        <v>898</v>
      </c>
      <c r="I176" s="1" t="s">
        <v>897</v>
      </c>
      <c r="J176" s="1"/>
      <c r="K176" s="1"/>
      <c r="L176" s="1"/>
      <c r="M176" s="1"/>
    </row>
    <row r="177" spans="1:11" ht="15.75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sheetPr codeName="Лист10"/>
  <dimension ref="A1:L5"/>
  <sheetViews>
    <sheetView workbookViewId="0">
      <selection activeCell="H5" sqref="H5"/>
    </sheetView>
  </sheetViews>
  <sheetFormatPr defaultRowHeight="15" x14ac:dyDescent="0.25"/>
  <cols>
    <col min="1" max="1" width="14.42578125" customWidth="1"/>
    <col min="2" max="2" width="40.7109375" customWidth="1"/>
    <col min="3" max="3" width="12.7109375" customWidth="1"/>
    <col min="4" max="4" width="28.5703125" customWidth="1"/>
    <col min="5" max="5" width="14.85546875" customWidth="1"/>
    <col min="6" max="6" width="20.85546875" customWidth="1"/>
    <col min="7" max="7" width="14.140625" customWidth="1"/>
    <col min="8" max="8" width="35" customWidth="1"/>
    <col min="9" max="10" width="13.140625" customWidth="1"/>
    <col min="11" max="11" width="12.28515625" customWidth="1"/>
  </cols>
  <sheetData>
    <row r="1" spans="1:12" x14ac:dyDescent="0.2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1099</v>
      </c>
      <c r="I1" t="s">
        <v>84</v>
      </c>
      <c r="J1" t="s">
        <v>71</v>
      </c>
      <c r="K1" t="s">
        <v>1140</v>
      </c>
    </row>
    <row r="2" spans="1:12" x14ac:dyDescent="0.25">
      <c r="A2" s="21" t="s">
        <v>1102</v>
      </c>
      <c r="B2" s="20" t="str">
        <f>CONCATENATE("Выпрямительный диод на ", H2," В, ном. ток ", I2," А")</f>
        <v>Выпрямительный диод на 1000 В, ном. ток 2 А</v>
      </c>
      <c r="C2" s="22" t="str">
        <f t="shared" ref="C2" si="0">A2</f>
        <v>S2M</v>
      </c>
      <c r="D2" s="22" t="s">
        <v>1101</v>
      </c>
      <c r="E2" s="22" t="s">
        <v>1100</v>
      </c>
      <c r="F2" s="22" t="str">
        <f t="shared" ref="F2" si="1">CONCATENATE("Footprints\",G2,".PcbLib")</f>
        <v>Footprints\SMB.PcbLib</v>
      </c>
      <c r="G2" s="22" t="s">
        <v>341</v>
      </c>
      <c r="H2" s="23">
        <v>1000</v>
      </c>
      <c r="I2" s="24">
        <v>2</v>
      </c>
      <c r="J2" s="2"/>
      <c r="K2" s="2"/>
      <c r="L2" s="11"/>
    </row>
    <row r="3" spans="1:12" x14ac:dyDescent="0.25">
      <c r="B3" s="2"/>
      <c r="D3" s="2"/>
      <c r="E3" s="2"/>
      <c r="F3" s="2"/>
      <c r="H3" s="2"/>
      <c r="I3" s="2"/>
      <c r="J3" s="2"/>
      <c r="K3" s="2"/>
      <c r="L3" s="11"/>
    </row>
    <row r="4" spans="1:12" x14ac:dyDescent="0.25">
      <c r="B4" s="2"/>
      <c r="D4" s="2"/>
      <c r="F4" s="2"/>
      <c r="H4" s="2"/>
      <c r="I4" s="2"/>
      <c r="J4" s="2"/>
      <c r="K4" s="2"/>
      <c r="L4" s="11"/>
    </row>
    <row r="5" spans="1:12" x14ac:dyDescent="0.25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topLeftCell="L1" zoomScaleNormal="100" workbookViewId="0">
      <selection activeCell="P11" sqref="P11"/>
    </sheetView>
  </sheetViews>
  <sheetFormatPr defaultRowHeight="15" x14ac:dyDescent="0.25"/>
  <cols>
    <col min="1" max="1" width="15.42578125" bestFit="1" customWidth="1"/>
    <col min="2" max="2" width="23.140625" bestFit="1" customWidth="1"/>
    <col min="3" max="3" width="15.42578125" bestFit="1" customWidth="1"/>
    <col min="4" max="4" width="32" bestFit="1" customWidth="1"/>
    <col min="5" max="5" width="15.42578125" bestFit="1" customWidth="1"/>
    <col min="6" max="6" width="8.85546875" bestFit="1" customWidth="1"/>
    <col min="7" max="7" width="33.5703125" bestFit="1" customWidth="1"/>
    <col min="8" max="8" width="17.140625" bestFit="1" customWidth="1"/>
    <col min="9" max="9" width="33.5703125" bestFit="1" customWidth="1"/>
    <col min="10" max="10" width="17.140625" bestFit="1" customWidth="1"/>
    <col min="11" max="11" width="33.5703125" bestFit="1" customWidth="1"/>
    <col min="12" max="12" width="17.140625" bestFit="1" customWidth="1"/>
    <col min="13" max="13" width="32.85546875" bestFit="1" customWidth="1"/>
    <col min="14" max="14" width="17.140625" bestFit="1" customWidth="1"/>
    <col min="15" max="15" width="32.42578125" bestFit="1" customWidth="1"/>
    <col min="16" max="16" width="17.140625" bestFit="1" customWidth="1"/>
    <col min="17" max="17" width="42.140625" bestFit="1" customWidth="1"/>
    <col min="18" max="18" width="17.140625" bestFit="1" customWidth="1"/>
    <col min="19" max="19" width="42.42578125" bestFit="1" customWidth="1"/>
    <col min="20" max="20" width="17.140625" bestFit="1" customWidth="1"/>
    <col min="21" max="21" width="14.28515625" customWidth="1"/>
  </cols>
  <sheetData>
    <row r="1" spans="1:2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1140</v>
      </c>
    </row>
    <row r="2" spans="1:21" ht="15.75" x14ac:dyDescent="0.25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774</v>
      </c>
      <c r="H2" s="3" t="s">
        <v>37</v>
      </c>
      <c r="I2" s="3" t="s">
        <v>822</v>
      </c>
      <c r="J2" s="3" t="s">
        <v>38</v>
      </c>
      <c r="K2" s="10" t="s">
        <v>824</v>
      </c>
      <c r="L2" s="10" t="s">
        <v>346</v>
      </c>
      <c r="M2" s="2"/>
      <c r="N2" s="2"/>
      <c r="O2" s="2"/>
      <c r="P2" s="2"/>
      <c r="Q2" s="2"/>
      <c r="R2" s="2"/>
      <c r="S2" s="2"/>
      <c r="T2" s="2"/>
    </row>
    <row r="3" spans="1:21" ht="15.75" x14ac:dyDescent="0.25">
      <c r="A3" s="3" t="s">
        <v>39</v>
      </c>
      <c r="B3" s="3" t="s">
        <v>40</v>
      </c>
      <c r="C3" s="3" t="s">
        <v>39</v>
      </c>
      <c r="D3" s="3" t="s">
        <v>802</v>
      </c>
      <c r="E3" s="3" t="s">
        <v>39</v>
      </c>
      <c r="F3" s="3" t="s">
        <v>41</v>
      </c>
      <c r="G3" s="3" t="s">
        <v>821</v>
      </c>
      <c r="H3" s="3" t="s">
        <v>123</v>
      </c>
      <c r="I3" s="3" t="s">
        <v>823</v>
      </c>
      <c r="J3" s="3" t="s">
        <v>124</v>
      </c>
      <c r="K3" s="3" t="s">
        <v>825</v>
      </c>
      <c r="L3" s="3" t="s">
        <v>125</v>
      </c>
      <c r="M3" s="3" t="s">
        <v>826</v>
      </c>
      <c r="N3" s="3" t="s">
        <v>126</v>
      </c>
      <c r="O3" s="3" t="s">
        <v>827</v>
      </c>
      <c r="P3" s="3" t="s">
        <v>127</v>
      </c>
      <c r="Q3" s="3" t="s">
        <v>828</v>
      </c>
      <c r="R3" s="2" t="s">
        <v>131</v>
      </c>
      <c r="S3" s="3" t="s">
        <v>866</v>
      </c>
      <c r="T3" s="2" t="s">
        <v>132</v>
      </c>
    </row>
    <row r="4" spans="1:21" ht="15.75" x14ac:dyDescent="0.25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sheetPr codeName="Лист11"/>
  <dimension ref="A1:N42"/>
  <sheetViews>
    <sheetView topLeftCell="A13" workbookViewId="0">
      <selection activeCell="Q13" sqref="Q13"/>
    </sheetView>
  </sheetViews>
  <sheetFormatPr defaultRowHeight="15" x14ac:dyDescent="0.25"/>
  <cols>
    <col min="1" max="1" width="32" bestFit="1" customWidth="1"/>
    <col min="2" max="2" width="13.5703125" bestFit="1" customWidth="1"/>
    <col min="3" max="3" width="26.5703125" customWidth="1"/>
    <col min="4" max="4" width="13.140625" customWidth="1"/>
    <col min="5" max="5" width="25.140625" customWidth="1"/>
    <col min="6" max="6" width="14.42578125" customWidth="1"/>
    <col min="7" max="7" width="9.85546875" customWidth="1"/>
    <col min="8" max="8" width="12.5703125" customWidth="1"/>
    <col min="9" max="9" width="14.42578125" customWidth="1"/>
    <col min="10" max="10" width="12" customWidth="1"/>
    <col min="11" max="11" width="17.7109375" customWidth="1"/>
    <col min="12" max="12" width="15.5703125" customWidth="1"/>
    <col min="13" max="13" width="14.7109375" customWidth="1"/>
    <col min="14" max="14" width="12.140625" customWidth="1"/>
  </cols>
  <sheetData>
    <row r="1" spans="1:14" ht="15.75" x14ac:dyDescent="0.25">
      <c r="A1" s="7" t="s">
        <v>0</v>
      </c>
      <c r="B1" s="6" t="s">
        <v>1</v>
      </c>
      <c r="C1" s="6" t="s">
        <v>2</v>
      </c>
      <c r="D1" s="6" t="s">
        <v>14</v>
      </c>
      <c r="E1" s="6" t="s">
        <v>1081</v>
      </c>
      <c r="F1" s="6" t="s">
        <v>3</v>
      </c>
      <c r="G1" s="6" t="s">
        <v>25</v>
      </c>
      <c r="H1" s="8" t="s">
        <v>321</v>
      </c>
      <c r="I1" s="8" t="s">
        <v>699</v>
      </c>
      <c r="J1" s="8" t="s">
        <v>698</v>
      </c>
      <c r="K1" s="6" t="s">
        <v>12</v>
      </c>
      <c r="L1" s="6" t="s">
        <v>8</v>
      </c>
      <c r="M1" s="8" t="s">
        <v>700</v>
      </c>
      <c r="N1" s="8" t="s">
        <v>1140</v>
      </c>
    </row>
    <row r="2" spans="1:14" x14ac:dyDescent="0.25">
      <c r="A2" s="2" t="s">
        <v>1082</v>
      </c>
      <c r="B2" s="2" t="s">
        <v>28</v>
      </c>
      <c r="C2" s="2" t="s">
        <v>30</v>
      </c>
      <c r="D2" s="2" t="s">
        <v>27</v>
      </c>
      <c r="E2" s="2" t="s">
        <v>30</v>
      </c>
      <c r="F2" s="2" t="s">
        <v>27</v>
      </c>
      <c r="G2" s="2" t="s">
        <v>737</v>
      </c>
      <c r="H2">
        <v>0.1</v>
      </c>
      <c r="I2">
        <v>50</v>
      </c>
      <c r="J2" s="2" t="s">
        <v>773</v>
      </c>
      <c r="K2" s="2" t="s">
        <v>774</v>
      </c>
      <c r="L2" s="2" t="s">
        <v>37</v>
      </c>
      <c r="M2" s="2">
        <v>1</v>
      </c>
      <c r="N2" s="2"/>
    </row>
    <row r="3" spans="1:14" x14ac:dyDescent="0.25">
      <c r="A3" s="2" t="s">
        <v>701</v>
      </c>
      <c r="B3" s="2" t="s">
        <v>28</v>
      </c>
      <c r="C3" s="2" t="s">
        <v>30</v>
      </c>
      <c r="D3" s="2" t="s">
        <v>27</v>
      </c>
      <c r="E3" s="2" t="s">
        <v>30</v>
      </c>
      <c r="F3" s="2" t="s">
        <v>27</v>
      </c>
      <c r="G3" s="2" t="s">
        <v>738</v>
      </c>
      <c r="H3">
        <v>0.1</v>
      </c>
      <c r="I3">
        <v>50</v>
      </c>
      <c r="J3" s="2" t="s">
        <v>773</v>
      </c>
      <c r="K3" s="2" t="s">
        <v>774</v>
      </c>
      <c r="L3" s="2" t="s">
        <v>37</v>
      </c>
      <c r="M3" s="2">
        <v>1.2</v>
      </c>
      <c r="N3" s="2"/>
    </row>
    <row r="4" spans="1:14" x14ac:dyDescent="0.25">
      <c r="A4" s="2" t="s">
        <v>702</v>
      </c>
      <c r="B4" s="2" t="s">
        <v>28</v>
      </c>
      <c r="C4" s="2" t="s">
        <v>30</v>
      </c>
      <c r="D4" s="2" t="s">
        <v>27</v>
      </c>
      <c r="E4" s="2" t="s">
        <v>30</v>
      </c>
      <c r="F4" s="2" t="s">
        <v>27</v>
      </c>
      <c r="G4" s="2" t="s">
        <v>739</v>
      </c>
      <c r="H4">
        <v>0.1</v>
      </c>
      <c r="I4">
        <v>50</v>
      </c>
      <c r="J4" s="2" t="s">
        <v>773</v>
      </c>
      <c r="K4" s="2" t="s">
        <v>774</v>
      </c>
      <c r="L4" s="2" t="s">
        <v>37</v>
      </c>
      <c r="M4" s="2">
        <v>1.5</v>
      </c>
      <c r="N4" s="2"/>
    </row>
    <row r="5" spans="1:14" x14ac:dyDescent="0.25">
      <c r="A5" s="2" t="s">
        <v>703</v>
      </c>
      <c r="B5" s="2" t="s">
        <v>28</v>
      </c>
      <c r="C5" s="2" t="s">
        <v>30</v>
      </c>
      <c r="D5" s="2" t="s">
        <v>27</v>
      </c>
      <c r="E5" s="2" t="s">
        <v>30</v>
      </c>
      <c r="F5" s="2" t="s">
        <v>27</v>
      </c>
      <c r="G5" s="2" t="s">
        <v>740</v>
      </c>
      <c r="H5">
        <v>0.1</v>
      </c>
      <c r="I5">
        <v>50</v>
      </c>
      <c r="J5" s="2" t="s">
        <v>773</v>
      </c>
      <c r="K5" s="2" t="s">
        <v>774</v>
      </c>
      <c r="L5" s="2" t="s">
        <v>37</v>
      </c>
      <c r="M5" s="2">
        <v>1.8</v>
      </c>
      <c r="N5" s="2"/>
    </row>
    <row r="6" spans="1:14" x14ac:dyDescent="0.25">
      <c r="A6" s="2" t="s">
        <v>704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741</v>
      </c>
      <c r="H6">
        <v>0.1</v>
      </c>
      <c r="I6">
        <v>50</v>
      </c>
      <c r="J6" s="2" t="s">
        <v>773</v>
      </c>
      <c r="K6" s="2" t="s">
        <v>774</v>
      </c>
      <c r="L6" s="2" t="s">
        <v>37</v>
      </c>
      <c r="M6" s="2">
        <v>2.2000000000000002</v>
      </c>
      <c r="N6" s="2"/>
    </row>
    <row r="7" spans="1:14" x14ac:dyDescent="0.25">
      <c r="A7" s="2" t="s">
        <v>705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742</v>
      </c>
      <c r="H7">
        <v>0.1</v>
      </c>
      <c r="I7">
        <v>50</v>
      </c>
      <c r="J7" s="2" t="s">
        <v>773</v>
      </c>
      <c r="K7" s="2" t="s">
        <v>774</v>
      </c>
      <c r="L7" s="2" t="s">
        <v>37</v>
      </c>
      <c r="M7" s="2">
        <v>2.7</v>
      </c>
      <c r="N7" s="2"/>
    </row>
    <row r="8" spans="1:14" x14ac:dyDescent="0.25">
      <c r="A8" s="2" t="s">
        <v>706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743</v>
      </c>
      <c r="H8">
        <v>0.1</v>
      </c>
      <c r="I8">
        <v>50</v>
      </c>
      <c r="J8" s="2" t="s">
        <v>773</v>
      </c>
      <c r="K8" s="2" t="s">
        <v>774</v>
      </c>
      <c r="L8" s="2" t="s">
        <v>37</v>
      </c>
      <c r="M8" s="2">
        <v>3.3</v>
      </c>
      <c r="N8" s="2"/>
    </row>
    <row r="9" spans="1:14" x14ac:dyDescent="0.25">
      <c r="A9" s="2" t="s">
        <v>707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744</v>
      </c>
      <c r="H9">
        <v>0.1</v>
      </c>
      <c r="I9">
        <v>50</v>
      </c>
      <c r="J9" s="2" t="s">
        <v>773</v>
      </c>
      <c r="K9" s="2" t="s">
        <v>774</v>
      </c>
      <c r="L9" s="2" t="s">
        <v>37</v>
      </c>
      <c r="M9" s="2">
        <v>3.9</v>
      </c>
      <c r="N9" s="2"/>
    </row>
    <row r="10" spans="1:14" x14ac:dyDescent="0.25">
      <c r="A10" s="2" t="s">
        <v>708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745</v>
      </c>
      <c r="H10">
        <v>0.1</v>
      </c>
      <c r="I10">
        <v>50</v>
      </c>
      <c r="J10" s="2" t="s">
        <v>773</v>
      </c>
      <c r="K10" s="2" t="s">
        <v>774</v>
      </c>
      <c r="L10" s="2" t="s">
        <v>37</v>
      </c>
      <c r="M10" s="2">
        <v>4.7</v>
      </c>
      <c r="N10" s="2"/>
    </row>
    <row r="11" spans="1:14" x14ac:dyDescent="0.25">
      <c r="A11" s="2" t="s">
        <v>709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746</v>
      </c>
      <c r="H11">
        <v>0.1</v>
      </c>
      <c r="I11">
        <v>50</v>
      </c>
      <c r="J11" s="2" t="s">
        <v>773</v>
      </c>
      <c r="K11" s="2" t="s">
        <v>774</v>
      </c>
      <c r="L11" s="2" t="s">
        <v>37</v>
      </c>
      <c r="M11" s="2">
        <v>5.6</v>
      </c>
      <c r="N11" s="2"/>
    </row>
    <row r="12" spans="1:14" x14ac:dyDescent="0.25">
      <c r="A12" s="2" t="s">
        <v>710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747</v>
      </c>
      <c r="H12">
        <v>0.1</v>
      </c>
      <c r="I12">
        <v>50</v>
      </c>
      <c r="J12" s="2" t="s">
        <v>773</v>
      </c>
      <c r="K12" s="2" t="s">
        <v>774</v>
      </c>
      <c r="L12" s="2" t="s">
        <v>37</v>
      </c>
      <c r="M12" s="2">
        <v>6.8</v>
      </c>
      <c r="N12" s="2"/>
    </row>
    <row r="13" spans="1:14" x14ac:dyDescent="0.25">
      <c r="A13" s="2" t="s">
        <v>711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748</v>
      </c>
      <c r="H13">
        <v>0.1</v>
      </c>
      <c r="I13">
        <v>50</v>
      </c>
      <c r="J13" s="2" t="s">
        <v>773</v>
      </c>
      <c r="K13" s="2" t="s">
        <v>774</v>
      </c>
      <c r="L13" s="2" t="s">
        <v>37</v>
      </c>
      <c r="M13" s="2">
        <v>8.1999999999999993</v>
      </c>
      <c r="N13" s="2"/>
    </row>
    <row r="14" spans="1:14" x14ac:dyDescent="0.25">
      <c r="A14" s="2" t="s">
        <v>712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749</v>
      </c>
      <c r="H14">
        <v>0.1</v>
      </c>
      <c r="I14">
        <v>50</v>
      </c>
      <c r="J14" s="2" t="s">
        <v>773</v>
      </c>
      <c r="K14" s="2" t="s">
        <v>774</v>
      </c>
      <c r="L14" s="2" t="s">
        <v>37</v>
      </c>
      <c r="M14" s="2">
        <v>10</v>
      </c>
      <c r="N14" s="2"/>
    </row>
    <row r="15" spans="1:14" x14ac:dyDescent="0.25">
      <c r="A15" s="2" t="s">
        <v>713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750</v>
      </c>
      <c r="H15">
        <v>0.1</v>
      </c>
      <c r="I15">
        <v>50</v>
      </c>
      <c r="J15" s="2" t="s">
        <v>773</v>
      </c>
      <c r="K15" s="2" t="s">
        <v>774</v>
      </c>
      <c r="L15" s="2" t="s">
        <v>37</v>
      </c>
      <c r="M15" s="2">
        <v>12</v>
      </c>
      <c r="N15" s="2"/>
    </row>
    <row r="16" spans="1:14" x14ac:dyDescent="0.25">
      <c r="A16" s="2" t="s">
        <v>714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751</v>
      </c>
      <c r="H16">
        <v>0.1</v>
      </c>
      <c r="I16">
        <v>50</v>
      </c>
      <c r="J16" s="2" t="s">
        <v>773</v>
      </c>
      <c r="K16" s="2" t="s">
        <v>774</v>
      </c>
      <c r="L16" s="2" t="s">
        <v>37</v>
      </c>
      <c r="M16" s="2">
        <v>15</v>
      </c>
      <c r="N16" s="2"/>
    </row>
    <row r="17" spans="1:14" x14ac:dyDescent="0.25">
      <c r="A17" s="2" t="s">
        <v>715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752</v>
      </c>
      <c r="H17">
        <v>0.1</v>
      </c>
      <c r="I17">
        <v>50</v>
      </c>
      <c r="J17" s="2" t="s">
        <v>773</v>
      </c>
      <c r="K17" s="2" t="s">
        <v>774</v>
      </c>
      <c r="L17" s="2" t="s">
        <v>37</v>
      </c>
      <c r="M17" s="2">
        <v>18</v>
      </c>
      <c r="N17" s="2"/>
    </row>
    <row r="18" spans="1:14" x14ac:dyDescent="0.25">
      <c r="A18" s="2" t="s">
        <v>716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753</v>
      </c>
      <c r="H18">
        <v>0.1</v>
      </c>
      <c r="I18">
        <v>50</v>
      </c>
      <c r="J18" s="2" t="s">
        <v>773</v>
      </c>
      <c r="K18" s="2" t="s">
        <v>774</v>
      </c>
      <c r="L18" s="2" t="s">
        <v>37</v>
      </c>
      <c r="M18" s="2">
        <v>22</v>
      </c>
      <c r="N18" s="2"/>
    </row>
    <row r="19" spans="1:14" x14ac:dyDescent="0.25">
      <c r="A19" s="2" t="s">
        <v>717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754</v>
      </c>
      <c r="H19">
        <v>0.1</v>
      </c>
      <c r="I19">
        <v>50</v>
      </c>
      <c r="J19" s="2" t="s">
        <v>773</v>
      </c>
      <c r="K19" s="2" t="s">
        <v>774</v>
      </c>
      <c r="L19" s="2" t="s">
        <v>37</v>
      </c>
      <c r="M19" s="2">
        <v>27</v>
      </c>
      <c r="N19" s="2"/>
    </row>
    <row r="20" spans="1:14" x14ac:dyDescent="0.25">
      <c r="A20" s="2" t="s">
        <v>718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755</v>
      </c>
      <c r="H20">
        <v>0.1</v>
      </c>
      <c r="I20">
        <v>50</v>
      </c>
      <c r="J20" s="2" t="s">
        <v>773</v>
      </c>
      <c r="K20" s="2" t="s">
        <v>774</v>
      </c>
      <c r="L20" s="2" t="s">
        <v>37</v>
      </c>
      <c r="M20" s="2">
        <v>33</v>
      </c>
      <c r="N20" s="2"/>
    </row>
    <row r="21" spans="1:14" x14ac:dyDescent="0.25">
      <c r="A21" s="2" t="s">
        <v>719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756</v>
      </c>
      <c r="H21">
        <v>0.1</v>
      </c>
      <c r="I21">
        <v>50</v>
      </c>
      <c r="J21" s="2" t="s">
        <v>773</v>
      </c>
      <c r="K21" s="2" t="s">
        <v>774</v>
      </c>
      <c r="L21" s="2" t="s">
        <v>37</v>
      </c>
      <c r="M21" s="2">
        <v>39</v>
      </c>
      <c r="N21" s="2"/>
    </row>
    <row r="22" spans="1:14" x14ac:dyDescent="0.25">
      <c r="A22" s="2" t="s">
        <v>720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757</v>
      </c>
      <c r="H22">
        <v>0.1</v>
      </c>
      <c r="I22">
        <v>50</v>
      </c>
      <c r="J22" s="2" t="s">
        <v>773</v>
      </c>
      <c r="K22" s="2" t="s">
        <v>774</v>
      </c>
      <c r="L22" s="2" t="s">
        <v>37</v>
      </c>
      <c r="M22" s="2">
        <v>47</v>
      </c>
      <c r="N22" s="2"/>
    </row>
    <row r="23" spans="1:14" x14ac:dyDescent="0.25">
      <c r="A23" s="2" t="s">
        <v>721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758</v>
      </c>
      <c r="H23">
        <v>0.1</v>
      </c>
      <c r="I23">
        <v>50</v>
      </c>
      <c r="J23" s="2" t="s">
        <v>773</v>
      </c>
      <c r="K23" s="2" t="s">
        <v>774</v>
      </c>
      <c r="L23" s="2" t="s">
        <v>37</v>
      </c>
      <c r="M23" s="2">
        <v>56</v>
      </c>
      <c r="N23" s="2"/>
    </row>
    <row r="24" spans="1:14" x14ac:dyDescent="0.25">
      <c r="A24" s="2" t="s">
        <v>722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759</v>
      </c>
      <c r="H24">
        <v>0.1</v>
      </c>
      <c r="I24">
        <v>50</v>
      </c>
      <c r="J24" s="2" t="s">
        <v>773</v>
      </c>
      <c r="K24" s="2" t="s">
        <v>774</v>
      </c>
      <c r="L24" s="2" t="s">
        <v>37</v>
      </c>
      <c r="M24" s="2">
        <v>68</v>
      </c>
      <c r="N24" s="2"/>
    </row>
    <row r="25" spans="1:14" x14ac:dyDescent="0.25">
      <c r="A25" s="2" t="s">
        <v>723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760</v>
      </c>
      <c r="H25">
        <v>0.1</v>
      </c>
      <c r="I25">
        <v>50</v>
      </c>
      <c r="J25" s="2" t="s">
        <v>773</v>
      </c>
      <c r="K25" s="2" t="s">
        <v>774</v>
      </c>
      <c r="L25" s="2" t="s">
        <v>37</v>
      </c>
      <c r="M25" s="2">
        <v>82</v>
      </c>
      <c r="N25" s="2"/>
    </row>
    <row r="26" spans="1:14" x14ac:dyDescent="0.25">
      <c r="A26" s="2" t="s">
        <v>724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31</v>
      </c>
      <c r="H26">
        <v>0.1</v>
      </c>
      <c r="I26">
        <v>50</v>
      </c>
      <c r="J26" s="2" t="s">
        <v>773</v>
      </c>
      <c r="K26" s="2" t="s">
        <v>774</v>
      </c>
      <c r="L26" s="2" t="s">
        <v>37</v>
      </c>
      <c r="M26" s="2">
        <v>100</v>
      </c>
      <c r="N26" s="2"/>
    </row>
    <row r="27" spans="1:14" x14ac:dyDescent="0.25">
      <c r="A27" s="2" t="s">
        <v>725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761</v>
      </c>
      <c r="H27">
        <v>0.1</v>
      </c>
      <c r="I27">
        <v>50</v>
      </c>
      <c r="J27" s="2" t="s">
        <v>773</v>
      </c>
      <c r="K27" s="2" t="s">
        <v>774</v>
      </c>
      <c r="L27" s="2" t="s">
        <v>37</v>
      </c>
      <c r="M27" s="2">
        <v>120</v>
      </c>
      <c r="N27" s="2"/>
    </row>
    <row r="28" spans="1:14" x14ac:dyDescent="0.25">
      <c r="A28" s="2" t="s">
        <v>726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762</v>
      </c>
      <c r="H28">
        <v>0.1</v>
      </c>
      <c r="I28">
        <v>50</v>
      </c>
      <c r="J28" s="2" t="s">
        <v>773</v>
      </c>
      <c r="K28" s="2" t="s">
        <v>774</v>
      </c>
      <c r="L28" s="2" t="s">
        <v>37</v>
      </c>
      <c r="M28" s="2">
        <v>150</v>
      </c>
      <c r="N28" s="2"/>
    </row>
    <row r="29" spans="1:14" x14ac:dyDescent="0.25">
      <c r="A29" s="2" t="s">
        <v>727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763</v>
      </c>
      <c r="H29">
        <v>0.1</v>
      </c>
      <c r="I29">
        <v>50</v>
      </c>
      <c r="J29" s="2" t="s">
        <v>773</v>
      </c>
      <c r="K29" s="2" t="s">
        <v>774</v>
      </c>
      <c r="L29" s="2" t="s">
        <v>37</v>
      </c>
      <c r="M29" s="2">
        <v>180</v>
      </c>
      <c r="N29" s="2"/>
    </row>
    <row r="30" spans="1:14" x14ac:dyDescent="0.25">
      <c r="A30" s="2" t="s">
        <v>728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764</v>
      </c>
      <c r="H30">
        <v>0.1</v>
      </c>
      <c r="I30">
        <v>50</v>
      </c>
      <c r="J30" s="2" t="s">
        <v>773</v>
      </c>
      <c r="K30" s="2" t="s">
        <v>774</v>
      </c>
      <c r="L30" s="2" t="s">
        <v>37</v>
      </c>
      <c r="M30" s="2">
        <v>220</v>
      </c>
      <c r="N30" s="2"/>
    </row>
    <row r="31" spans="1:14" x14ac:dyDescent="0.25">
      <c r="A31" s="2" t="s">
        <v>729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765</v>
      </c>
      <c r="H31">
        <v>0.1</v>
      </c>
      <c r="I31">
        <v>50</v>
      </c>
      <c r="J31" s="2" t="s">
        <v>773</v>
      </c>
      <c r="K31" s="2" t="s">
        <v>774</v>
      </c>
      <c r="L31" s="2" t="s">
        <v>37</v>
      </c>
      <c r="M31" s="2">
        <v>270</v>
      </c>
      <c r="N31" s="2"/>
    </row>
    <row r="32" spans="1:14" x14ac:dyDescent="0.25">
      <c r="A32" s="2" t="s">
        <v>730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766</v>
      </c>
      <c r="H32">
        <v>0.1</v>
      </c>
      <c r="I32">
        <v>50</v>
      </c>
      <c r="J32" s="2" t="s">
        <v>773</v>
      </c>
      <c r="K32" s="2" t="s">
        <v>774</v>
      </c>
      <c r="L32" s="2" t="s">
        <v>37</v>
      </c>
      <c r="M32" s="2">
        <v>330</v>
      </c>
      <c r="N32" s="2"/>
    </row>
    <row r="33" spans="1:14" x14ac:dyDescent="0.25">
      <c r="A33" s="2" t="s">
        <v>731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767</v>
      </c>
      <c r="H33">
        <v>0.1</v>
      </c>
      <c r="I33">
        <v>50</v>
      </c>
      <c r="J33" s="2" t="s">
        <v>773</v>
      </c>
      <c r="K33" s="2" t="s">
        <v>774</v>
      </c>
      <c r="L33" s="2" t="s">
        <v>37</v>
      </c>
      <c r="M33" s="2">
        <v>390</v>
      </c>
      <c r="N33" s="2"/>
    </row>
    <row r="34" spans="1:14" x14ac:dyDescent="0.25">
      <c r="A34" s="2" t="s">
        <v>732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768</v>
      </c>
      <c r="H34">
        <v>0.1</v>
      </c>
      <c r="I34">
        <v>50</v>
      </c>
      <c r="J34" s="2" t="s">
        <v>773</v>
      </c>
      <c r="K34" s="2" t="s">
        <v>774</v>
      </c>
      <c r="L34" s="2" t="s">
        <v>37</v>
      </c>
      <c r="M34" s="2">
        <v>470</v>
      </c>
      <c r="N34" s="2"/>
    </row>
    <row r="35" spans="1:14" x14ac:dyDescent="0.25">
      <c r="A35" s="2" t="s">
        <v>733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769</v>
      </c>
      <c r="H35">
        <v>0.1</v>
      </c>
      <c r="I35">
        <v>50</v>
      </c>
      <c r="J35" s="2" t="s">
        <v>773</v>
      </c>
      <c r="K35" s="2" t="s">
        <v>774</v>
      </c>
      <c r="L35" s="2" t="s">
        <v>37</v>
      </c>
      <c r="M35" s="2">
        <v>560</v>
      </c>
      <c r="N35" s="2"/>
    </row>
    <row r="36" spans="1:14" x14ac:dyDescent="0.25">
      <c r="A36" s="2" t="s">
        <v>734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770</v>
      </c>
      <c r="H36">
        <v>0.1</v>
      </c>
      <c r="I36">
        <v>50</v>
      </c>
      <c r="J36" s="2" t="s">
        <v>773</v>
      </c>
      <c r="K36" s="2" t="s">
        <v>774</v>
      </c>
      <c r="L36" s="2" t="s">
        <v>37</v>
      </c>
      <c r="M36" s="2">
        <v>680</v>
      </c>
      <c r="N36" s="2"/>
    </row>
    <row r="37" spans="1:14" x14ac:dyDescent="0.25">
      <c r="A37" s="2" t="s">
        <v>735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771</v>
      </c>
      <c r="H37">
        <v>0.1</v>
      </c>
      <c r="I37">
        <v>50</v>
      </c>
      <c r="J37" s="2" t="s">
        <v>773</v>
      </c>
      <c r="K37" s="2" t="s">
        <v>774</v>
      </c>
      <c r="L37" s="2" t="s">
        <v>37</v>
      </c>
      <c r="M37" s="2">
        <v>820</v>
      </c>
      <c r="N37" s="2"/>
    </row>
    <row r="38" spans="1:14" x14ac:dyDescent="0.25">
      <c r="A38" s="2" t="s">
        <v>736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772</v>
      </c>
      <c r="H38">
        <v>0.1</v>
      </c>
      <c r="I38">
        <v>50</v>
      </c>
      <c r="J38" s="2" t="s">
        <v>773</v>
      </c>
      <c r="K38" s="2" t="s">
        <v>774</v>
      </c>
      <c r="L38" s="2" t="s">
        <v>37</v>
      </c>
      <c r="M38" s="2">
        <v>1000</v>
      </c>
      <c r="N38" s="2"/>
    </row>
    <row r="39" spans="1:14" x14ac:dyDescent="0.25">
      <c r="A39" s="2" t="s">
        <v>883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41</v>
      </c>
      <c r="H39" s="11">
        <v>0.1</v>
      </c>
      <c r="I39">
        <v>50</v>
      </c>
      <c r="J39" s="2" t="s">
        <v>773</v>
      </c>
      <c r="K39" s="2" t="s">
        <v>856</v>
      </c>
      <c r="L39" s="2" t="s">
        <v>857</v>
      </c>
      <c r="M39" s="2">
        <v>4700</v>
      </c>
      <c r="N39" s="2"/>
    </row>
    <row r="40" spans="1:14" x14ac:dyDescent="0.25">
      <c r="A40" s="2" t="s">
        <v>885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807</v>
      </c>
      <c r="H40" s="11">
        <v>0.1</v>
      </c>
      <c r="I40">
        <v>35</v>
      </c>
      <c r="J40" s="2" t="s">
        <v>773</v>
      </c>
      <c r="K40" s="2" t="s">
        <v>858</v>
      </c>
      <c r="L40" s="2" t="s">
        <v>859</v>
      </c>
      <c r="M40" s="2">
        <v>10000</v>
      </c>
      <c r="N40" s="2"/>
    </row>
    <row r="41" spans="1:14" x14ac:dyDescent="0.25">
      <c r="A41" s="2" t="s">
        <v>884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809</v>
      </c>
      <c r="H41" s="11">
        <v>0.1</v>
      </c>
      <c r="I41">
        <v>25</v>
      </c>
      <c r="J41" s="2" t="s">
        <v>773</v>
      </c>
      <c r="K41" s="2" t="s">
        <v>858</v>
      </c>
      <c r="L41" s="2" t="s">
        <v>859</v>
      </c>
      <c r="M41" s="2">
        <v>22000</v>
      </c>
      <c r="N41" s="2"/>
    </row>
    <row r="42" spans="1:14" x14ac:dyDescent="0.25">
      <c r="A42" s="2" t="s">
        <v>1132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31</v>
      </c>
      <c r="H42" s="11">
        <v>0.1</v>
      </c>
      <c r="I42">
        <v>1000</v>
      </c>
      <c r="J42" s="2" t="s">
        <v>773</v>
      </c>
      <c r="K42" s="2" t="s">
        <v>1130</v>
      </c>
      <c r="L42" s="2" t="s">
        <v>1131</v>
      </c>
      <c r="M42" s="2">
        <v>100</v>
      </c>
      <c r="N42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sheetPr codeName="Лист12"/>
  <dimension ref="A1:O27"/>
  <sheetViews>
    <sheetView topLeftCell="A7" zoomScale="85" zoomScaleNormal="85" workbookViewId="0">
      <selection activeCell="A26" sqref="A26:L27"/>
    </sheetView>
  </sheetViews>
  <sheetFormatPr defaultRowHeight="15" x14ac:dyDescent="0.25"/>
  <cols>
    <col min="1" max="1" width="27.5703125" bestFit="1" customWidth="1"/>
    <col min="2" max="2" width="23.140625" bestFit="1" customWidth="1"/>
    <col min="3" max="3" width="12.140625" bestFit="1" customWidth="1"/>
    <col min="4" max="4" width="29.42578125" bestFit="1" customWidth="1"/>
    <col min="5" max="5" width="14.140625" bestFit="1" customWidth="1"/>
    <col min="6" max="6" width="8.140625" bestFit="1" customWidth="1"/>
    <col min="7" max="7" width="12.140625" bestFit="1" customWidth="1"/>
    <col min="8" max="8" width="13" bestFit="1" customWidth="1"/>
    <col min="9" max="9" width="8.85546875" bestFit="1" customWidth="1"/>
    <col min="10" max="10" width="30.140625" bestFit="1" customWidth="1"/>
    <col min="11" max="11" width="16.85546875" bestFit="1" customWidth="1"/>
    <col min="12" max="12" width="14.85546875" bestFit="1" customWidth="1"/>
    <col min="13" max="13" width="19.140625" customWidth="1"/>
    <col min="14" max="14" width="18.42578125" customWidth="1"/>
    <col min="15" max="15" width="13.28515625" customWidth="1"/>
  </cols>
  <sheetData>
    <row r="1" spans="1:15" ht="15.75" x14ac:dyDescent="0.25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699</v>
      </c>
      <c r="I1" s="6" t="s">
        <v>781</v>
      </c>
      <c r="J1" s="6" t="s">
        <v>12</v>
      </c>
      <c r="K1" s="6" t="s">
        <v>8</v>
      </c>
      <c r="L1" s="9" t="s">
        <v>780</v>
      </c>
      <c r="M1" s="6" t="s">
        <v>13</v>
      </c>
      <c r="N1" s="6" t="s">
        <v>9</v>
      </c>
      <c r="O1" s="8" t="s">
        <v>1140</v>
      </c>
    </row>
    <row r="2" spans="1:15" x14ac:dyDescent="0.25">
      <c r="A2" s="2" t="s">
        <v>782</v>
      </c>
      <c r="B2" s="2" t="s">
        <v>801</v>
      </c>
      <c r="C2" s="2" t="s">
        <v>27</v>
      </c>
      <c r="D2" s="2" t="s">
        <v>802</v>
      </c>
      <c r="E2" s="2" t="s">
        <v>39</v>
      </c>
      <c r="F2" s="2" t="s">
        <v>772</v>
      </c>
      <c r="G2">
        <v>0.1</v>
      </c>
      <c r="H2">
        <v>50</v>
      </c>
      <c r="I2" s="2" t="s">
        <v>820</v>
      </c>
      <c r="J2" s="2" t="s">
        <v>821</v>
      </c>
      <c r="K2" s="2" t="s">
        <v>123</v>
      </c>
      <c r="L2">
        <v>1</v>
      </c>
    </row>
    <row r="3" spans="1:15" x14ac:dyDescent="0.25">
      <c r="A3" s="2" t="s">
        <v>783</v>
      </c>
      <c r="B3" s="2" t="s">
        <v>801</v>
      </c>
      <c r="C3" s="2" t="s">
        <v>27</v>
      </c>
      <c r="D3" s="2" t="s">
        <v>802</v>
      </c>
      <c r="E3" s="2" t="s">
        <v>39</v>
      </c>
      <c r="F3" s="2" t="s">
        <v>803</v>
      </c>
      <c r="G3">
        <v>0.1</v>
      </c>
      <c r="H3">
        <v>50</v>
      </c>
      <c r="I3" s="2" t="s">
        <v>820</v>
      </c>
      <c r="J3" s="2" t="s">
        <v>821</v>
      </c>
      <c r="K3" s="2" t="s">
        <v>123</v>
      </c>
      <c r="L3">
        <v>1.5</v>
      </c>
    </row>
    <row r="4" spans="1:15" x14ac:dyDescent="0.25">
      <c r="A4" s="2" t="s">
        <v>784</v>
      </c>
      <c r="B4" s="2" t="s">
        <v>801</v>
      </c>
      <c r="C4" s="2" t="s">
        <v>27</v>
      </c>
      <c r="D4" s="2" t="s">
        <v>802</v>
      </c>
      <c r="E4" s="2" t="s">
        <v>39</v>
      </c>
      <c r="F4" s="2" t="s">
        <v>804</v>
      </c>
      <c r="G4">
        <v>0.1</v>
      </c>
      <c r="H4">
        <v>50</v>
      </c>
      <c r="I4" s="2" t="s">
        <v>820</v>
      </c>
      <c r="J4" s="2" t="s">
        <v>821</v>
      </c>
      <c r="K4" s="2" t="s">
        <v>123</v>
      </c>
      <c r="L4">
        <v>2.2000000000000002</v>
      </c>
    </row>
    <row r="5" spans="1:15" x14ac:dyDescent="0.25">
      <c r="A5" s="2" t="s">
        <v>785</v>
      </c>
      <c r="B5" s="2" t="s">
        <v>801</v>
      </c>
      <c r="C5" s="2" t="s">
        <v>27</v>
      </c>
      <c r="D5" s="2" t="s">
        <v>802</v>
      </c>
      <c r="E5" s="2" t="s">
        <v>39</v>
      </c>
      <c r="F5" s="2" t="s">
        <v>805</v>
      </c>
      <c r="G5">
        <v>0.1</v>
      </c>
      <c r="H5">
        <v>50</v>
      </c>
      <c r="I5" s="2" t="s">
        <v>820</v>
      </c>
      <c r="J5" s="2" t="s">
        <v>821</v>
      </c>
      <c r="K5" s="2" t="s">
        <v>123</v>
      </c>
      <c r="L5">
        <v>3.3</v>
      </c>
    </row>
    <row r="6" spans="1:15" x14ac:dyDescent="0.25">
      <c r="A6" s="2" t="s">
        <v>786</v>
      </c>
      <c r="B6" s="2" t="s">
        <v>801</v>
      </c>
      <c r="C6" s="2" t="s">
        <v>27</v>
      </c>
      <c r="D6" s="2" t="s">
        <v>802</v>
      </c>
      <c r="E6" s="2" t="s">
        <v>39</v>
      </c>
      <c r="F6" s="2" t="s">
        <v>41</v>
      </c>
      <c r="G6">
        <v>0.1</v>
      </c>
      <c r="H6">
        <v>50</v>
      </c>
      <c r="I6" s="2" t="s">
        <v>820</v>
      </c>
      <c r="J6" s="2" t="s">
        <v>821</v>
      </c>
      <c r="K6" s="2" t="s">
        <v>123</v>
      </c>
      <c r="L6">
        <v>4.7</v>
      </c>
    </row>
    <row r="7" spans="1:15" x14ac:dyDescent="0.25">
      <c r="A7" s="2" t="s">
        <v>787</v>
      </c>
      <c r="B7" s="2" t="s">
        <v>801</v>
      </c>
      <c r="C7" s="2" t="s">
        <v>27</v>
      </c>
      <c r="D7" s="2" t="s">
        <v>802</v>
      </c>
      <c r="E7" s="2" t="s">
        <v>39</v>
      </c>
      <c r="F7" s="2" t="s">
        <v>806</v>
      </c>
      <c r="G7">
        <v>0.1</v>
      </c>
      <c r="H7">
        <v>50</v>
      </c>
      <c r="I7" s="2" t="s">
        <v>820</v>
      </c>
      <c r="J7" s="2" t="s">
        <v>821</v>
      </c>
      <c r="K7" s="2" t="s">
        <v>123</v>
      </c>
      <c r="L7">
        <v>6.8</v>
      </c>
    </row>
    <row r="8" spans="1:15" x14ac:dyDescent="0.25">
      <c r="A8" s="2" t="s">
        <v>788</v>
      </c>
      <c r="B8" s="2" t="s">
        <v>801</v>
      </c>
      <c r="C8" s="2" t="s">
        <v>27</v>
      </c>
      <c r="D8" s="2" t="s">
        <v>802</v>
      </c>
      <c r="E8" s="2" t="s">
        <v>39</v>
      </c>
      <c r="F8" s="2" t="s">
        <v>807</v>
      </c>
      <c r="G8">
        <v>0.1</v>
      </c>
      <c r="H8">
        <v>50</v>
      </c>
      <c r="I8" s="2" t="s">
        <v>820</v>
      </c>
      <c r="J8" s="2" t="s">
        <v>821</v>
      </c>
      <c r="K8" s="2" t="s">
        <v>123</v>
      </c>
      <c r="L8">
        <v>10</v>
      </c>
    </row>
    <row r="9" spans="1:15" x14ac:dyDescent="0.25">
      <c r="A9" s="2" t="s">
        <v>789</v>
      </c>
      <c r="B9" s="2" t="s">
        <v>801</v>
      </c>
      <c r="C9" s="2" t="s">
        <v>27</v>
      </c>
      <c r="D9" s="2" t="s">
        <v>802</v>
      </c>
      <c r="E9" s="2" t="s">
        <v>39</v>
      </c>
      <c r="F9" s="2" t="s">
        <v>808</v>
      </c>
      <c r="G9">
        <v>0.1</v>
      </c>
      <c r="H9">
        <v>50</v>
      </c>
      <c r="I9" s="2" t="s">
        <v>820</v>
      </c>
      <c r="J9" s="2" t="s">
        <v>821</v>
      </c>
      <c r="K9" s="2" t="s">
        <v>123</v>
      </c>
      <c r="L9">
        <v>15</v>
      </c>
    </row>
    <row r="10" spans="1:15" x14ac:dyDescent="0.25">
      <c r="A10" s="2" t="s">
        <v>790</v>
      </c>
      <c r="B10" s="2" t="s">
        <v>801</v>
      </c>
      <c r="C10" s="2" t="s">
        <v>27</v>
      </c>
      <c r="D10" s="2" t="s">
        <v>802</v>
      </c>
      <c r="E10" s="2" t="s">
        <v>39</v>
      </c>
      <c r="F10" s="2" t="s">
        <v>809</v>
      </c>
      <c r="G10">
        <v>0.1</v>
      </c>
      <c r="H10">
        <v>50</v>
      </c>
      <c r="I10" s="2" t="s">
        <v>820</v>
      </c>
      <c r="J10" s="2" t="s">
        <v>821</v>
      </c>
      <c r="K10" s="2" t="s">
        <v>123</v>
      </c>
      <c r="L10">
        <v>22</v>
      </c>
    </row>
    <row r="11" spans="1:15" x14ac:dyDescent="0.25">
      <c r="A11" s="2" t="s">
        <v>791</v>
      </c>
      <c r="B11" s="2" t="s">
        <v>801</v>
      </c>
      <c r="C11" s="2" t="s">
        <v>27</v>
      </c>
      <c r="D11" s="2" t="s">
        <v>802</v>
      </c>
      <c r="E11" s="2" t="s">
        <v>39</v>
      </c>
      <c r="F11" s="2" t="s">
        <v>810</v>
      </c>
      <c r="G11">
        <v>0.1</v>
      </c>
      <c r="H11">
        <v>50</v>
      </c>
      <c r="I11" s="2" t="s">
        <v>820</v>
      </c>
      <c r="J11" s="2" t="s">
        <v>821</v>
      </c>
      <c r="K11" s="2" t="s">
        <v>123</v>
      </c>
      <c r="L11">
        <v>33</v>
      </c>
    </row>
    <row r="12" spans="1:15" x14ac:dyDescent="0.25">
      <c r="A12" s="2" t="s">
        <v>792</v>
      </c>
      <c r="B12" s="2" t="s">
        <v>801</v>
      </c>
      <c r="C12" s="2" t="s">
        <v>27</v>
      </c>
      <c r="D12" s="2" t="s">
        <v>802</v>
      </c>
      <c r="E12" s="2" t="s">
        <v>39</v>
      </c>
      <c r="F12" s="2" t="s">
        <v>811</v>
      </c>
      <c r="G12">
        <v>0.1</v>
      </c>
      <c r="H12">
        <v>50</v>
      </c>
      <c r="I12" s="2" t="s">
        <v>820</v>
      </c>
      <c r="J12" s="2" t="s">
        <v>821</v>
      </c>
      <c r="K12" s="2" t="s">
        <v>123</v>
      </c>
      <c r="L12">
        <v>47</v>
      </c>
    </row>
    <row r="13" spans="1:15" x14ac:dyDescent="0.25">
      <c r="A13" s="2" t="s">
        <v>793</v>
      </c>
      <c r="B13" s="2" t="s">
        <v>801</v>
      </c>
      <c r="C13" s="2" t="s">
        <v>27</v>
      </c>
      <c r="D13" s="2" t="s">
        <v>802</v>
      </c>
      <c r="E13" s="2" t="s">
        <v>39</v>
      </c>
      <c r="F13" s="2" t="s">
        <v>812</v>
      </c>
      <c r="G13">
        <v>0.1</v>
      </c>
      <c r="H13">
        <v>50</v>
      </c>
      <c r="I13" s="2" t="s">
        <v>820</v>
      </c>
      <c r="J13" s="2" t="s">
        <v>821</v>
      </c>
      <c r="K13" s="2" t="s">
        <v>123</v>
      </c>
      <c r="L13">
        <v>68</v>
      </c>
    </row>
    <row r="14" spans="1:15" x14ac:dyDescent="0.25">
      <c r="A14" s="2" t="s">
        <v>794</v>
      </c>
      <c r="B14" s="2" t="s">
        <v>801</v>
      </c>
      <c r="C14" s="2" t="s">
        <v>27</v>
      </c>
      <c r="D14" s="2" t="s">
        <v>802</v>
      </c>
      <c r="E14" s="2" t="s">
        <v>39</v>
      </c>
      <c r="F14" s="2" t="s">
        <v>813</v>
      </c>
      <c r="G14">
        <v>0.1</v>
      </c>
      <c r="H14">
        <v>50</v>
      </c>
      <c r="I14" s="2" t="s">
        <v>820</v>
      </c>
      <c r="J14" s="2" t="s">
        <v>821</v>
      </c>
      <c r="K14" s="2" t="s">
        <v>123</v>
      </c>
      <c r="L14">
        <v>100</v>
      </c>
    </row>
    <row r="15" spans="1:15" x14ac:dyDescent="0.25">
      <c r="A15" s="2" t="s">
        <v>795</v>
      </c>
      <c r="B15" s="2" t="s">
        <v>801</v>
      </c>
      <c r="C15" s="2" t="s">
        <v>27</v>
      </c>
      <c r="D15" s="2" t="s">
        <v>802</v>
      </c>
      <c r="E15" s="2" t="s">
        <v>39</v>
      </c>
      <c r="F15" s="2" t="s">
        <v>814</v>
      </c>
      <c r="G15">
        <v>0.1</v>
      </c>
      <c r="H15">
        <v>50</v>
      </c>
      <c r="I15" s="2" t="s">
        <v>820</v>
      </c>
      <c r="J15" s="2" t="s">
        <v>821</v>
      </c>
      <c r="K15" s="2" t="s">
        <v>123</v>
      </c>
      <c r="L15">
        <v>150</v>
      </c>
    </row>
    <row r="16" spans="1:15" x14ac:dyDescent="0.25">
      <c r="A16" s="2" t="s">
        <v>796</v>
      </c>
      <c r="B16" s="2" t="s">
        <v>801</v>
      </c>
      <c r="C16" s="2" t="s">
        <v>27</v>
      </c>
      <c r="D16" s="2" t="s">
        <v>802</v>
      </c>
      <c r="E16" s="2" t="s">
        <v>39</v>
      </c>
      <c r="F16" s="2" t="s">
        <v>815</v>
      </c>
      <c r="G16">
        <v>0.1</v>
      </c>
      <c r="H16">
        <v>50</v>
      </c>
      <c r="I16" s="2" t="s">
        <v>820</v>
      </c>
      <c r="J16" s="2" t="s">
        <v>821</v>
      </c>
      <c r="K16" s="2" t="s">
        <v>123</v>
      </c>
      <c r="L16">
        <v>220</v>
      </c>
    </row>
    <row r="17" spans="1:14" x14ac:dyDescent="0.25">
      <c r="A17" s="2" t="s">
        <v>797</v>
      </c>
      <c r="B17" s="2" t="s">
        <v>801</v>
      </c>
      <c r="C17" s="2" t="s">
        <v>27</v>
      </c>
      <c r="D17" s="2" t="s">
        <v>802</v>
      </c>
      <c r="E17" s="2" t="s">
        <v>39</v>
      </c>
      <c r="F17" s="2" t="s">
        <v>816</v>
      </c>
      <c r="G17">
        <v>0.1</v>
      </c>
      <c r="H17">
        <v>50</v>
      </c>
      <c r="I17" s="2" t="s">
        <v>820</v>
      </c>
      <c r="J17" s="2" t="s">
        <v>821</v>
      </c>
      <c r="K17" s="2" t="s">
        <v>123</v>
      </c>
      <c r="L17">
        <v>330</v>
      </c>
    </row>
    <row r="18" spans="1:14" x14ac:dyDescent="0.25">
      <c r="A18" s="2" t="s">
        <v>798</v>
      </c>
      <c r="B18" s="2" t="s">
        <v>801</v>
      </c>
      <c r="C18" s="2" t="s">
        <v>27</v>
      </c>
      <c r="D18" s="2" t="s">
        <v>802</v>
      </c>
      <c r="E18" s="2" t="s">
        <v>39</v>
      </c>
      <c r="F18" s="2" t="s">
        <v>817</v>
      </c>
      <c r="G18">
        <v>0.1</v>
      </c>
      <c r="H18">
        <v>50</v>
      </c>
      <c r="I18" s="2" t="s">
        <v>820</v>
      </c>
      <c r="J18" s="2" t="s">
        <v>821</v>
      </c>
      <c r="K18" s="2" t="s">
        <v>123</v>
      </c>
      <c r="L18">
        <v>470</v>
      </c>
    </row>
    <row r="19" spans="1:14" x14ac:dyDescent="0.25">
      <c r="A19" s="2" t="s">
        <v>799</v>
      </c>
      <c r="B19" s="2" t="s">
        <v>801</v>
      </c>
      <c r="C19" s="2" t="s">
        <v>27</v>
      </c>
      <c r="D19" s="2" t="s">
        <v>802</v>
      </c>
      <c r="E19" s="2" t="s">
        <v>39</v>
      </c>
      <c r="F19" s="2" t="s">
        <v>818</v>
      </c>
      <c r="G19">
        <v>0.1</v>
      </c>
      <c r="H19">
        <v>50</v>
      </c>
      <c r="I19" s="2" t="s">
        <v>820</v>
      </c>
      <c r="J19" s="2" t="s">
        <v>821</v>
      </c>
      <c r="K19" s="2" t="s">
        <v>123</v>
      </c>
      <c r="L19">
        <v>680</v>
      </c>
    </row>
    <row r="20" spans="1:14" x14ac:dyDescent="0.25">
      <c r="A20" s="2" t="s">
        <v>800</v>
      </c>
      <c r="B20" s="2" t="s">
        <v>801</v>
      </c>
      <c r="C20" s="2" t="s">
        <v>27</v>
      </c>
      <c r="D20" s="2" t="s">
        <v>802</v>
      </c>
      <c r="E20" s="2" t="s">
        <v>39</v>
      </c>
      <c r="F20" s="2" t="s">
        <v>819</v>
      </c>
      <c r="G20">
        <v>0.1</v>
      </c>
      <c r="H20">
        <v>50</v>
      </c>
      <c r="I20" s="2" t="s">
        <v>820</v>
      </c>
      <c r="J20" s="2" t="s">
        <v>821</v>
      </c>
      <c r="K20" s="2" t="s">
        <v>123</v>
      </c>
      <c r="L20">
        <v>1000</v>
      </c>
    </row>
    <row r="21" spans="1:14" x14ac:dyDescent="0.25">
      <c r="A21" s="2" t="s">
        <v>911</v>
      </c>
      <c r="B21" t="s">
        <v>907</v>
      </c>
      <c r="C21" s="2" t="s">
        <v>27</v>
      </c>
      <c r="D21" s="2" t="s">
        <v>802</v>
      </c>
      <c r="E21" s="2" t="s">
        <v>39</v>
      </c>
      <c r="F21" s="2" t="s">
        <v>908</v>
      </c>
      <c r="G21">
        <v>20</v>
      </c>
      <c r="H21">
        <v>10</v>
      </c>
      <c r="I21" t="s">
        <v>909</v>
      </c>
      <c r="J21" s="2" t="s">
        <v>910</v>
      </c>
      <c r="K21" t="s">
        <v>906</v>
      </c>
      <c r="L21">
        <v>2200</v>
      </c>
      <c r="M21" s="2" t="s">
        <v>965</v>
      </c>
      <c r="N21" t="s">
        <v>966</v>
      </c>
    </row>
    <row r="22" spans="1:14" x14ac:dyDescent="0.25">
      <c r="A22" t="s">
        <v>917</v>
      </c>
      <c r="B22" t="s">
        <v>918</v>
      </c>
      <c r="C22" s="2" t="s">
        <v>27</v>
      </c>
      <c r="D22" s="2" t="s">
        <v>802</v>
      </c>
      <c r="E22" s="2" t="s">
        <v>39</v>
      </c>
      <c r="F22" s="2" t="s">
        <v>819</v>
      </c>
      <c r="G22">
        <v>20</v>
      </c>
      <c r="H22">
        <v>25</v>
      </c>
      <c r="I22" t="s">
        <v>1079</v>
      </c>
      <c r="J22" s="2" t="s">
        <v>919</v>
      </c>
      <c r="K22" t="s">
        <v>920</v>
      </c>
      <c r="L22">
        <v>1000</v>
      </c>
    </row>
    <row r="23" spans="1:14" x14ac:dyDescent="0.25">
      <c r="A23" t="s">
        <v>1080</v>
      </c>
      <c r="B23" t="s">
        <v>918</v>
      </c>
      <c r="C23" s="2" t="s">
        <v>27</v>
      </c>
      <c r="D23" s="2" t="s">
        <v>802</v>
      </c>
      <c r="E23" s="2" t="s">
        <v>39</v>
      </c>
      <c r="F23" s="2" t="s">
        <v>819</v>
      </c>
      <c r="G23">
        <v>20</v>
      </c>
      <c r="H23">
        <v>35</v>
      </c>
      <c r="I23" t="s">
        <v>1079</v>
      </c>
      <c r="J23" s="2" t="s">
        <v>1078</v>
      </c>
      <c r="K23" t="s">
        <v>1077</v>
      </c>
      <c r="L23">
        <v>1000</v>
      </c>
    </row>
    <row r="24" spans="1:14" x14ac:dyDescent="0.25">
      <c r="A24" t="s">
        <v>1106</v>
      </c>
      <c r="B24" t="s">
        <v>1107</v>
      </c>
      <c r="C24" s="2" t="s">
        <v>27</v>
      </c>
      <c r="D24" s="2" t="s">
        <v>802</v>
      </c>
      <c r="E24" s="2" t="s">
        <v>39</v>
      </c>
      <c r="F24" t="s">
        <v>1108</v>
      </c>
      <c r="G24">
        <v>20</v>
      </c>
      <c r="H24">
        <v>400</v>
      </c>
      <c r="I24" t="s">
        <v>909</v>
      </c>
      <c r="J24" s="2" t="s">
        <v>1112</v>
      </c>
      <c r="K24" t="s">
        <v>1113</v>
      </c>
      <c r="L24">
        <v>3.3</v>
      </c>
      <c r="M24" s="2" t="s">
        <v>1111</v>
      </c>
      <c r="N24" t="s">
        <v>1110</v>
      </c>
    </row>
    <row r="25" spans="1:14" x14ac:dyDescent="0.25">
      <c r="A25" t="s">
        <v>1156</v>
      </c>
      <c r="B25" t="s">
        <v>1157</v>
      </c>
      <c r="C25" s="2" t="s">
        <v>27</v>
      </c>
      <c r="D25" s="2" t="s">
        <v>802</v>
      </c>
      <c r="E25" s="2" t="s">
        <v>39</v>
      </c>
      <c r="F25" t="s">
        <v>1158</v>
      </c>
      <c r="G25">
        <v>20</v>
      </c>
      <c r="H25">
        <v>400</v>
      </c>
      <c r="I25" t="s">
        <v>909</v>
      </c>
      <c r="J25" s="2" t="s">
        <v>1160</v>
      </c>
      <c r="K25" t="s">
        <v>1159</v>
      </c>
      <c r="L25">
        <v>2700</v>
      </c>
    </row>
    <row r="26" spans="1:14" x14ac:dyDescent="0.25">
      <c r="A26" t="s">
        <v>1285</v>
      </c>
      <c r="B26" t="s">
        <v>918</v>
      </c>
      <c r="C26" t="s">
        <v>27</v>
      </c>
      <c r="D26" t="s">
        <v>802</v>
      </c>
      <c r="E26" t="s">
        <v>39</v>
      </c>
      <c r="F26" t="s">
        <v>816</v>
      </c>
      <c r="G26">
        <v>20</v>
      </c>
      <c r="H26">
        <v>35</v>
      </c>
      <c r="I26" t="s">
        <v>1079</v>
      </c>
      <c r="J26" t="s">
        <v>1286</v>
      </c>
      <c r="K26" t="s">
        <v>1287</v>
      </c>
      <c r="L26">
        <v>330</v>
      </c>
    </row>
    <row r="27" spans="1:14" x14ac:dyDescent="0.25">
      <c r="A27" t="s">
        <v>1288</v>
      </c>
      <c r="B27" t="s">
        <v>1289</v>
      </c>
      <c r="C27" t="s">
        <v>27</v>
      </c>
      <c r="D27" t="s">
        <v>802</v>
      </c>
      <c r="E27" t="s">
        <v>39</v>
      </c>
      <c r="F27" t="s">
        <v>813</v>
      </c>
      <c r="G27">
        <v>20</v>
      </c>
      <c r="H27">
        <v>35</v>
      </c>
      <c r="I27" t="s">
        <v>1079</v>
      </c>
      <c r="J27" t="s">
        <v>1290</v>
      </c>
      <c r="K27" t="s">
        <v>1291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3"/>
  <dimension ref="A1:Q16"/>
  <sheetViews>
    <sheetView zoomScaleNormal="100" workbookViewId="0">
      <selection activeCell="D18" sqref="D18"/>
    </sheetView>
  </sheetViews>
  <sheetFormatPr defaultRowHeight="15" x14ac:dyDescent="0.25"/>
  <cols>
    <col min="1" max="1" width="14.85546875" customWidth="1"/>
    <col min="2" max="2" width="22.140625" customWidth="1"/>
    <col min="3" max="3" width="12" customWidth="1"/>
    <col min="4" max="4" width="27.140625" customWidth="1"/>
    <col min="5" max="5" width="12.85546875" customWidth="1"/>
    <col min="6" max="6" width="36.28515625" customWidth="1"/>
    <col min="7" max="7" width="16.85546875" customWidth="1"/>
    <col min="8" max="8" width="18.140625" customWidth="1"/>
    <col min="9" max="9" width="16.85546875" customWidth="1"/>
    <col min="10" max="10" width="18.140625" customWidth="1"/>
    <col min="11" max="11" width="16.85546875" customWidth="1"/>
    <col min="12" max="12" width="18.140625" customWidth="1"/>
    <col min="13" max="13" width="16.85546875" customWidth="1"/>
    <col min="14" max="14" width="18" style="19" bestFit="1" customWidth="1"/>
    <col min="15" max="15" width="13.5703125" bestFit="1" customWidth="1"/>
    <col min="16" max="16" width="8.5703125" bestFit="1" customWidth="1"/>
    <col min="17" max="17" width="12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8" t="s">
        <v>836</v>
      </c>
      <c r="O1" s="1" t="s">
        <v>84</v>
      </c>
      <c r="P1" s="1" t="s">
        <v>25</v>
      </c>
      <c r="Q1" s="1" t="s">
        <v>1140</v>
      </c>
    </row>
    <row r="2" spans="1:17" x14ac:dyDescent="0.25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25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9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25">
      <c r="A4" s="2" t="s">
        <v>835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837</v>
      </c>
      <c r="H4" s="2"/>
      <c r="I4" s="2"/>
      <c r="J4" s="2"/>
      <c r="K4" s="2"/>
      <c r="L4" s="2"/>
      <c r="M4" s="2"/>
      <c r="N4" s="19">
        <v>68</v>
      </c>
      <c r="O4" s="2">
        <v>0.82</v>
      </c>
      <c r="P4" s="2" t="str">
        <f t="shared" si="2"/>
        <v>68 мк</v>
      </c>
    </row>
    <row r="5" spans="1:17" x14ac:dyDescent="0.25">
      <c r="A5" t="s">
        <v>868</v>
      </c>
      <c r="B5" t="s">
        <v>869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870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9">
        <v>4.7</v>
      </c>
      <c r="O5" s="2">
        <v>5.5</v>
      </c>
      <c r="P5" t="str">
        <f t="shared" si="2"/>
        <v>4,7 мк</v>
      </c>
    </row>
    <row r="6" spans="1:17" x14ac:dyDescent="0.25">
      <c r="A6" t="s">
        <v>895</v>
      </c>
      <c r="B6" t="s">
        <v>896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9">
        <v>22</v>
      </c>
      <c r="O6" s="2">
        <v>5</v>
      </c>
      <c r="P6" t="str">
        <f t="shared" si="2"/>
        <v>22 мк</v>
      </c>
    </row>
    <row r="7" spans="1:17" x14ac:dyDescent="0.25">
      <c r="A7" t="s">
        <v>954</v>
      </c>
      <c r="B7" t="s">
        <v>1038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955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9">
        <v>22</v>
      </c>
      <c r="O7" s="2" t="s">
        <v>1046</v>
      </c>
      <c r="P7" t="str">
        <f t="shared" si="2"/>
        <v>22 мк</v>
      </c>
    </row>
    <row r="8" spans="1:17" x14ac:dyDescent="0.25">
      <c r="A8" t="s">
        <v>1039</v>
      </c>
      <c r="B8" t="s">
        <v>1037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1036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9">
        <v>0.33</v>
      </c>
      <c r="O8" s="2">
        <v>15</v>
      </c>
      <c r="P8" t="str">
        <f t="shared" si="2"/>
        <v>0,33 мк</v>
      </c>
    </row>
    <row r="9" spans="1:17" x14ac:dyDescent="0.25">
      <c r="A9" t="s">
        <v>1047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6" si="11">A9</f>
        <v>B82477R4683M100</v>
      </c>
      <c r="D9" s="2" t="s">
        <v>104</v>
      </c>
      <c r="E9" s="2" t="s">
        <v>102</v>
      </c>
      <c r="F9" s="2" t="str">
        <f t="shared" ref="F9:F16" si="12">CONCATENATE("Footprints\Inductance\",G9,".PcbLib")</f>
        <v>Footprints\Inductance\12.5x12.5.PcbLib</v>
      </c>
      <c r="G9" s="2" t="s">
        <v>1048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9">
        <v>68</v>
      </c>
      <c r="O9" s="2">
        <v>2.65</v>
      </c>
      <c r="P9" s="2" t="str">
        <f t="shared" si="2"/>
        <v>68 мк</v>
      </c>
    </row>
    <row r="10" spans="1:17" x14ac:dyDescent="0.25">
      <c r="A10" t="s">
        <v>1050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1051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9">
        <v>12</v>
      </c>
      <c r="O10">
        <v>1.05</v>
      </c>
      <c r="P10" s="2" t="str">
        <f t="shared" si="2"/>
        <v>12 мк</v>
      </c>
    </row>
    <row r="11" spans="1:17" x14ac:dyDescent="0.25">
      <c r="A11" t="s">
        <v>1087</v>
      </c>
      <c r="B11" t="s">
        <v>1088</v>
      </c>
      <c r="C11" t="s">
        <v>1133</v>
      </c>
      <c r="D11" s="2" t="s">
        <v>1089</v>
      </c>
      <c r="E11" s="2" t="s">
        <v>1087</v>
      </c>
      <c r="F11" s="2" t="str">
        <f t="shared" si="12"/>
        <v>Footprints\Inductance\M20VN.PcbLib</v>
      </c>
      <c r="G11" s="2" t="s">
        <v>1087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9">
        <v>1.2</v>
      </c>
      <c r="O11">
        <v>15</v>
      </c>
      <c r="P11" t="s">
        <v>1090</v>
      </c>
    </row>
    <row r="12" spans="1:17" x14ac:dyDescent="0.25">
      <c r="A12" t="s">
        <v>1103</v>
      </c>
      <c r="B12" t="s">
        <v>1104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9">
        <v>47</v>
      </c>
      <c r="O12">
        <v>3.3</v>
      </c>
      <c r="P12" s="2" t="str">
        <f t="shared" si="2"/>
        <v>47 мк</v>
      </c>
    </row>
    <row r="13" spans="1:17" x14ac:dyDescent="0.25">
      <c r="A13" t="s">
        <v>1105</v>
      </c>
      <c r="B13" t="s">
        <v>1109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9">
        <v>100</v>
      </c>
      <c r="O13">
        <v>3.3</v>
      </c>
      <c r="P13" s="2" t="str">
        <f t="shared" si="2"/>
        <v>100 мк</v>
      </c>
    </row>
    <row r="14" spans="1:17" x14ac:dyDescent="0.25">
      <c r="A14" t="s">
        <v>1126</v>
      </c>
      <c r="B14" t="s">
        <v>1128</v>
      </c>
      <c r="C14" t="str">
        <f t="shared" si="11"/>
        <v>HV_trans</v>
      </c>
      <c r="D14" s="2" t="s">
        <v>1127</v>
      </c>
      <c r="E14" s="2" t="s">
        <v>1126</v>
      </c>
      <c r="F14" s="2" t="str">
        <f t="shared" si="12"/>
        <v>Footprints\Inductance\EE16_transformer.PcbLib</v>
      </c>
      <c r="G14" s="2" t="s">
        <v>1129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25">
      <c r="A15" t="s">
        <v>1292</v>
      </c>
      <c r="B15" t="str">
        <f>CONCATENATE("Индуктивность на ", P15, "Гн, номинальный ток ", O15, " A")</f>
        <v>Индуктивность на 1 мкГн, номинальный ток 4,3 A</v>
      </c>
      <c r="C15" t="str">
        <f t="shared" si="11"/>
        <v>CDSP43-1R0M</v>
      </c>
      <c r="D15" s="2" t="s">
        <v>104</v>
      </c>
      <c r="E15" s="2" t="s">
        <v>102</v>
      </c>
      <c r="F15" s="2" t="str">
        <f t="shared" si="12"/>
        <v>Footprints\Inductance\4.5x4_wired.PcbLib</v>
      </c>
      <c r="G15" s="2" t="s">
        <v>1051</v>
      </c>
      <c r="H15" s="2" t="str">
        <f t="shared" ref="H15" si="13">CONCATENATE("Footprints\Inductance\",I15,".PcbLib")</f>
        <v>Footprints\Inductance\.PcbLib</v>
      </c>
      <c r="I15" s="2"/>
      <c r="J15" s="2" t="str">
        <f t="shared" ref="J15" si="14">CONCATENATE("Footprints\Inductance\",K15,".PcbLib")</f>
        <v>Footprints\Inductance\.PcbLib</v>
      </c>
      <c r="K15" s="2"/>
      <c r="L15" s="2" t="str">
        <f t="shared" ref="L15" si="15">CONCATENATE("Footprints\Inductance\",M15,".PcbLib")</f>
        <v>Footprints\Inductance\.PcbLib</v>
      </c>
      <c r="M15" s="2"/>
      <c r="N15" s="19">
        <v>1</v>
      </c>
      <c r="O15" s="37">
        <v>4.3</v>
      </c>
      <c r="P15" s="37" t="s">
        <v>772</v>
      </c>
    </row>
    <row r="16" spans="1:17" x14ac:dyDescent="0.25">
      <c r="A16" t="s">
        <v>1293</v>
      </c>
      <c r="B16" t="str">
        <f>CONCATENATE("Индуктивность на ", P16, "Гн, номинальный ток ", O16, " A")</f>
        <v>Индуктивность на 330 мкГн, номинальный ток 1,79 A</v>
      </c>
      <c r="C16" t="str">
        <f t="shared" si="11"/>
        <v>CDSPRH127-331M</v>
      </c>
      <c r="D16" s="2" t="s">
        <v>104</v>
      </c>
      <c r="E16" s="2" t="s">
        <v>102</v>
      </c>
      <c r="F16" s="2" t="str">
        <f t="shared" si="12"/>
        <v>Footprints\Inductance\12.8x12.8.PcbLib</v>
      </c>
      <c r="G16" s="2" t="s">
        <v>108</v>
      </c>
      <c r="H16" s="2" t="str">
        <f>CONCATENATE("Footprints\Inductance\",I16,".PcbLib")</f>
        <v>Footprints\Inductance\.PcbLib</v>
      </c>
      <c r="I16" s="2"/>
      <c r="J16" s="2" t="str">
        <f>CONCATENATE("Footprints\Inductance\",K16,".PcbLib")</f>
        <v>Footprints\Inductance\.PcbLib</v>
      </c>
      <c r="K16" s="2"/>
      <c r="L16" s="2" t="str">
        <f>CONCATENATE("Footprints\Inductance\",M16,".PcbLib")</f>
        <v>Footprints\Inductance\.PcbLib</v>
      </c>
      <c r="M16" s="2"/>
      <c r="N16" s="19">
        <v>330</v>
      </c>
      <c r="O16" s="37">
        <v>1.79</v>
      </c>
      <c r="P16" s="37" t="s">
        <v>816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sheetPr codeName="Лист14"/>
  <dimension ref="A1:Q22"/>
  <sheetViews>
    <sheetView workbookViewId="0">
      <selection activeCell="H15" sqref="H15"/>
    </sheetView>
  </sheetViews>
  <sheetFormatPr defaultRowHeight="15" x14ac:dyDescent="0.25"/>
  <cols>
    <col min="1" max="1" width="14" customWidth="1"/>
    <col min="2" max="2" width="22.42578125" customWidth="1"/>
    <col min="3" max="3" width="11" customWidth="1"/>
    <col min="4" max="4" width="34.140625" customWidth="1"/>
    <col min="5" max="5" width="20.5703125" customWidth="1"/>
    <col min="6" max="6" width="21.7109375" customWidth="1"/>
    <col min="7" max="7" width="17.85546875" customWidth="1"/>
    <col min="8" max="8" width="22.85546875" customWidth="1"/>
    <col min="9" max="9" width="18.42578125" customWidth="1"/>
    <col min="10" max="10" width="16.7109375" customWidth="1"/>
    <col min="11" max="11" width="12.42578125" customWidth="1"/>
    <col min="12" max="12" width="13.140625" customWidth="1"/>
  </cols>
  <sheetData>
    <row r="1" spans="1:17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1119</v>
      </c>
      <c r="K1" s="1" t="s">
        <v>1144</v>
      </c>
      <c r="L1" s="1" t="s">
        <v>1140</v>
      </c>
      <c r="M1" s="1"/>
      <c r="N1" s="18"/>
      <c r="O1" s="1"/>
      <c r="P1" s="1"/>
      <c r="Q1" s="1"/>
    </row>
    <row r="2" spans="1:17" ht="15.75" x14ac:dyDescent="0.25">
      <c r="A2" s="26" t="s">
        <v>1114</v>
      </c>
      <c r="B2" s="27" t="s">
        <v>1115</v>
      </c>
      <c r="C2" s="22" t="str">
        <f>A2</f>
        <v>TS820-600B-TR</v>
      </c>
      <c r="D2" s="27" t="s">
        <v>1117</v>
      </c>
      <c r="E2" s="27" t="s">
        <v>1116</v>
      </c>
      <c r="F2" s="22" t="str">
        <f t="shared" ref="F2" si="0">CONCATENATE("Footprints\",G2,".PcbLib")</f>
        <v>Footprints\DPAK.PcbLib</v>
      </c>
      <c r="G2" s="27" t="s">
        <v>6</v>
      </c>
      <c r="H2" s="22"/>
      <c r="I2" s="22"/>
      <c r="J2" s="20" t="s">
        <v>1118</v>
      </c>
      <c r="K2" s="25" t="s">
        <v>1120</v>
      </c>
      <c r="L2" s="25"/>
      <c r="M2" s="2"/>
      <c r="N2" s="19"/>
      <c r="O2" s="2"/>
      <c r="P2" s="2"/>
    </row>
    <row r="3" spans="1:17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9"/>
      <c r="O3" s="2"/>
      <c r="P3" s="2"/>
    </row>
    <row r="4" spans="1:17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9"/>
      <c r="O4" s="2"/>
      <c r="P4" s="2"/>
    </row>
    <row r="5" spans="1:17" x14ac:dyDescent="0.25">
      <c r="D5" s="2"/>
      <c r="E5" s="2"/>
      <c r="F5" s="2"/>
      <c r="G5" s="2"/>
      <c r="H5" s="2"/>
      <c r="I5" s="2"/>
      <c r="J5" s="2"/>
      <c r="K5" s="2"/>
      <c r="L5" s="2"/>
      <c r="M5" s="2"/>
      <c r="N5" s="19"/>
      <c r="O5" s="2"/>
    </row>
    <row r="6" spans="1:17" x14ac:dyDescent="0.25">
      <c r="D6" s="2"/>
      <c r="E6" s="2"/>
      <c r="F6" s="2"/>
      <c r="G6" s="2"/>
      <c r="H6" s="2"/>
      <c r="I6" s="2"/>
      <c r="J6" s="2"/>
      <c r="K6" s="2"/>
      <c r="L6" s="2"/>
      <c r="M6" s="2"/>
      <c r="N6" s="19"/>
      <c r="O6" s="2"/>
    </row>
    <row r="7" spans="1:17" x14ac:dyDescent="0.25">
      <c r="D7" s="2"/>
      <c r="E7" s="2"/>
      <c r="F7" s="2"/>
      <c r="G7" s="2"/>
      <c r="H7" s="2"/>
      <c r="I7" s="2"/>
      <c r="J7" s="2"/>
      <c r="K7" s="2"/>
      <c r="L7" s="2"/>
      <c r="M7" s="2"/>
      <c r="N7" s="19"/>
      <c r="O7" s="2"/>
    </row>
    <row r="8" spans="1:17" x14ac:dyDescent="0.25">
      <c r="D8" s="2"/>
      <c r="E8" s="2"/>
      <c r="F8" s="2"/>
      <c r="G8" s="2"/>
      <c r="H8" s="2"/>
      <c r="I8" s="2"/>
      <c r="J8" s="2"/>
      <c r="K8" s="2"/>
      <c r="L8" s="2"/>
      <c r="M8" s="2"/>
      <c r="N8" s="19"/>
      <c r="O8" s="2"/>
    </row>
    <row r="9" spans="1:17" x14ac:dyDescent="0.25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9"/>
      <c r="O9" s="2"/>
      <c r="P9" s="2"/>
    </row>
    <row r="10" spans="1:17" x14ac:dyDescent="0.25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9"/>
      <c r="P10" s="2"/>
    </row>
    <row r="11" spans="1:17" x14ac:dyDescent="0.25">
      <c r="D11" s="2"/>
      <c r="E11" s="2"/>
      <c r="F11" s="2"/>
      <c r="G11" s="2"/>
      <c r="H11" s="2"/>
      <c r="I11" s="2"/>
      <c r="J11" s="2"/>
      <c r="K11" s="2"/>
      <c r="L11" s="2"/>
      <c r="M11" s="2"/>
      <c r="N11" s="19"/>
    </row>
    <row r="12" spans="1:17" x14ac:dyDescent="0.25">
      <c r="D12" s="2"/>
      <c r="E12" s="2"/>
      <c r="F12" s="2"/>
      <c r="G12" s="2"/>
      <c r="H12" s="2"/>
      <c r="I12" s="2"/>
      <c r="J12" s="2"/>
      <c r="K12" s="2"/>
      <c r="L12" s="2"/>
      <c r="M12" s="2"/>
      <c r="N12" s="19"/>
      <c r="P12" s="2"/>
    </row>
    <row r="13" spans="1:17" x14ac:dyDescent="0.25">
      <c r="D13" s="2"/>
      <c r="E13" s="2"/>
      <c r="F13" s="2"/>
      <c r="G13" s="2"/>
      <c r="H13" s="2"/>
      <c r="I13" s="2"/>
      <c r="J13" s="2"/>
      <c r="K13" s="2"/>
      <c r="L13" s="2"/>
      <c r="M13" s="2"/>
      <c r="N13" s="19"/>
      <c r="P13" s="2"/>
    </row>
    <row r="14" spans="1:17" x14ac:dyDescent="0.25">
      <c r="D14" s="2"/>
      <c r="E14" s="2"/>
      <c r="F14" s="2"/>
      <c r="G14" s="2"/>
      <c r="H14" s="2"/>
      <c r="I14" s="2"/>
      <c r="J14" s="2"/>
      <c r="K14" s="2"/>
      <c r="L14" s="2"/>
      <c r="M14" s="2"/>
      <c r="N14" s="19"/>
    </row>
    <row r="22" spans="14:14" x14ac:dyDescent="0.25">
      <c r="N22" s="19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workbookViewId="0">
      <selection activeCell="B18" sqref="B18"/>
    </sheetView>
  </sheetViews>
  <sheetFormatPr defaultRowHeight="15" x14ac:dyDescent="0.25"/>
  <cols>
    <col min="1" max="1" width="14.85546875" customWidth="1"/>
    <col min="2" max="2" width="120" bestFit="1" customWidth="1"/>
    <col min="3" max="3" width="12.5703125" customWidth="1"/>
    <col min="4" max="4" width="19.5703125" customWidth="1"/>
    <col min="5" max="5" width="12.85546875" customWidth="1"/>
    <col min="6" max="6" width="28" customWidth="1"/>
    <col min="7" max="7" width="16.85546875" customWidth="1"/>
    <col min="8" max="8" width="20.85546875" customWidth="1"/>
    <col min="9" max="9" width="16.85546875" customWidth="1"/>
    <col min="10" max="10" width="31.140625" bestFit="1" customWidth="1"/>
    <col min="11" max="11" width="17.42578125" bestFit="1" customWidth="1"/>
    <col min="12" max="12" width="13.42578125" customWidth="1"/>
  </cols>
  <sheetData>
    <row r="1" spans="1:20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1140</v>
      </c>
      <c r="M1" s="1"/>
      <c r="N1" s="1"/>
      <c r="O1" s="1"/>
      <c r="P1" s="1"/>
      <c r="Q1" s="1"/>
      <c r="R1" s="1"/>
      <c r="S1" s="1"/>
      <c r="T1" s="1"/>
    </row>
    <row r="2" spans="1:20" x14ac:dyDescent="0.25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1203</v>
      </c>
    </row>
    <row r="3" spans="1:20" x14ac:dyDescent="0.25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1198</v>
      </c>
      <c r="I3" s="2" t="s">
        <v>1197</v>
      </c>
      <c r="J3" s="2"/>
      <c r="K3" s="2"/>
    </row>
    <row r="4" spans="1:20" x14ac:dyDescent="0.25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25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25">
      <c r="A6" s="2" t="s">
        <v>373</v>
      </c>
      <c r="B6" s="2" t="s">
        <v>375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374</v>
      </c>
      <c r="H6" s="2" t="str">
        <f t="shared" si="0"/>
        <v>Footprints\1206SB.PcbLib</v>
      </c>
      <c r="I6" s="2" t="s">
        <v>1002</v>
      </c>
      <c r="J6" s="2" t="str">
        <f t="shared" ref="J6" si="1">CONCATENATE("Footprints\",K6,".PcbLib")</f>
        <v>Footprints\0805SB_wide_gap.PcbLib</v>
      </c>
      <c r="K6" s="2" t="s">
        <v>1052</v>
      </c>
    </row>
    <row r="7" spans="1:20" x14ac:dyDescent="0.25">
      <c r="A7" s="2" t="s">
        <v>879</v>
      </c>
      <c r="B7" s="2" t="s">
        <v>880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881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25">
      <c r="A8" s="2" t="s">
        <v>903</v>
      </c>
      <c r="B8" s="2" t="s">
        <v>902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881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25">
      <c r="A9" s="2" t="s">
        <v>915</v>
      </c>
      <c r="B9" s="2" t="s">
        <v>913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914</v>
      </c>
      <c r="F9" s="2" t="str">
        <f t="shared" si="0"/>
        <v>Footprints\fuse_20x5_on_clips_FC-M.PcbLib</v>
      </c>
      <c r="G9" s="2" t="s">
        <v>912</v>
      </c>
      <c r="H9" s="2"/>
      <c r="I9" s="2"/>
      <c r="J9" s="2"/>
      <c r="K9" s="2"/>
    </row>
    <row r="10" spans="1:20" x14ac:dyDescent="0.25">
      <c r="A10" s="2" t="s">
        <v>960</v>
      </c>
      <c r="B10" s="2" t="s">
        <v>961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960</v>
      </c>
      <c r="H10" s="2"/>
      <c r="I10" s="2"/>
      <c r="J10" s="2"/>
      <c r="K10" s="2"/>
    </row>
    <row r="11" spans="1:20" x14ac:dyDescent="0.25">
      <c r="A11" s="2" t="s">
        <v>991</v>
      </c>
      <c r="B11" s="2" t="s">
        <v>992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991</v>
      </c>
      <c r="H11" s="2"/>
      <c r="I11" s="2"/>
      <c r="J11" s="2"/>
      <c r="K11" s="2"/>
    </row>
    <row r="12" spans="1:20" x14ac:dyDescent="0.25">
      <c r="A12" s="2" t="s">
        <v>1040</v>
      </c>
      <c r="B12" s="2" t="s">
        <v>1041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991</v>
      </c>
      <c r="F12" s="2" t="str">
        <f t="shared" ref="F12" si="4">CONCATENATE("Footprints\",G12,".PcbLib")</f>
        <v>Footprints\cooler3030.PcbLib</v>
      </c>
      <c r="G12" s="2" t="s">
        <v>1040</v>
      </c>
      <c r="H12" s="2"/>
      <c r="I12" s="2"/>
      <c r="J12" s="2"/>
      <c r="K12" s="2"/>
    </row>
    <row r="13" spans="1:20" x14ac:dyDescent="0.25">
      <c r="A13" s="2" t="s">
        <v>1168</v>
      </c>
      <c r="B13" s="2" t="s">
        <v>1170</v>
      </c>
      <c r="C13" s="2" t="s">
        <v>1169</v>
      </c>
      <c r="D13" t="s">
        <v>1171</v>
      </c>
      <c r="E13" s="2" t="s">
        <v>1172</v>
      </c>
      <c r="F13" s="2" t="s">
        <v>1167</v>
      </c>
      <c r="G13" s="2" t="s">
        <v>1166</v>
      </c>
      <c r="H13" s="2"/>
      <c r="I13" s="2"/>
      <c r="J13" s="2"/>
      <c r="K13" s="2"/>
      <c r="L13" s="28" t="s">
        <v>1173</v>
      </c>
    </row>
    <row r="14" spans="1:20" x14ac:dyDescent="0.25">
      <c r="A14" t="s">
        <v>1174</v>
      </c>
      <c r="B14" t="s">
        <v>1176</v>
      </c>
      <c r="C14" t="s">
        <v>1175</v>
      </c>
      <c r="D14" t="s">
        <v>1171</v>
      </c>
      <c r="E14" s="2" t="s">
        <v>1172</v>
      </c>
      <c r="F14" s="2" t="str">
        <f t="shared" ref="F14:F15" si="5">CONCATENATE("Footprints\",G14,".PcbLib")</f>
        <v>Footprints\spacer_m2.5_h16.PcbLib</v>
      </c>
      <c r="G14" t="s">
        <v>1174</v>
      </c>
      <c r="J14" t="str">
        <f>CONCATENATE("Footprints\",K14,".PcbLib")</f>
        <v>Footprints\.PcbLib</v>
      </c>
    </row>
    <row r="15" spans="1:20" x14ac:dyDescent="0.25">
      <c r="A15" t="s">
        <v>1199</v>
      </c>
      <c r="B15" t="s">
        <v>1200</v>
      </c>
      <c r="C15" t="str">
        <f>A15</f>
        <v>CR2032-VAY3-15.2</v>
      </c>
      <c r="D15" t="s">
        <v>1201</v>
      </c>
      <c r="E15" t="s">
        <v>1202</v>
      </c>
      <c r="F15" s="2" t="str">
        <f t="shared" si="5"/>
        <v>Footprints\CR2032-VAY3-15.2.PcbLib</v>
      </c>
      <c r="G15" t="s">
        <v>1199</v>
      </c>
      <c r="J15" t="str">
        <f>CONCATENATE("Footprints\",K15,".PcbLib")</f>
        <v>Footprints\.PcbLib</v>
      </c>
    </row>
    <row r="16" spans="1:20" x14ac:dyDescent="0.25">
      <c r="A16" s="2" t="s">
        <v>1227</v>
      </c>
      <c r="B16" s="2" t="s">
        <v>1228</v>
      </c>
      <c r="C16" s="2" t="s">
        <v>1229</v>
      </c>
      <c r="D16" s="2" t="str">
        <f t="shared" ref="D16" si="6">CONCATENATE("Schematic\",A16,".SchLib")</f>
        <v>Schematic\4WayDIP.SchLib</v>
      </c>
      <c r="E16" s="2" t="s">
        <v>1230</v>
      </c>
      <c r="F16" t="s">
        <v>1231</v>
      </c>
      <c r="G16" s="2" t="s">
        <v>1232</v>
      </c>
      <c r="H16" s="2"/>
      <c r="I16" s="2"/>
      <c r="J16" s="2"/>
      <c r="K16" s="2"/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49"/>
  <sheetViews>
    <sheetView topLeftCell="A28" zoomScale="115" zoomScaleNormal="115" workbookViewId="0">
      <selection activeCell="E52" sqref="E52"/>
    </sheetView>
  </sheetViews>
  <sheetFormatPr defaultRowHeight="15" x14ac:dyDescent="0.25"/>
  <cols>
    <col min="1" max="1" width="14.85546875" customWidth="1"/>
    <col min="2" max="2" width="40.42578125" customWidth="1"/>
    <col min="3" max="3" width="13.140625" customWidth="1"/>
    <col min="4" max="4" width="45.85546875" customWidth="1"/>
    <col min="5" max="5" width="17.140625" customWidth="1"/>
    <col min="6" max="6" width="44" customWidth="1"/>
    <col min="7" max="7" width="16.85546875" customWidth="1"/>
    <col min="8" max="8" width="44.42578125" customWidth="1"/>
    <col min="9" max="9" width="23.85546875" customWidth="1"/>
    <col min="10" max="10" width="28.85546875" customWidth="1"/>
    <col min="11" max="11" width="11.7109375" customWidth="1"/>
  </cols>
  <sheetData>
    <row r="1" spans="1:11" ht="15.75" x14ac:dyDescent="0.2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1140</v>
      </c>
      <c r="K1" s="1" t="s">
        <v>1164</v>
      </c>
    </row>
    <row r="2" spans="1:11" x14ac:dyDescent="0.25">
      <c r="A2" s="2" t="s">
        <v>65</v>
      </c>
      <c r="B2" s="2" t="s">
        <v>66</v>
      </c>
      <c r="C2" s="2" t="s">
        <v>65</v>
      </c>
      <c r="D2" t="s">
        <v>349</v>
      </c>
      <c r="E2" s="2" t="s">
        <v>113</v>
      </c>
      <c r="F2" t="s">
        <v>350</v>
      </c>
      <c r="G2" s="2" t="s">
        <v>65</v>
      </c>
      <c r="K2" t="s">
        <v>1165</v>
      </c>
    </row>
    <row r="3" spans="1:11" x14ac:dyDescent="0.25">
      <c r="A3" s="2" t="s">
        <v>67</v>
      </c>
      <c r="B3" s="2" t="s">
        <v>66</v>
      </c>
      <c r="C3" s="2" t="s">
        <v>67</v>
      </c>
      <c r="D3" t="s">
        <v>351</v>
      </c>
      <c r="E3" s="2" t="s">
        <v>114</v>
      </c>
      <c r="F3" t="s">
        <v>352</v>
      </c>
      <c r="G3" s="2" t="s">
        <v>67</v>
      </c>
      <c r="K3" t="s">
        <v>1165</v>
      </c>
    </row>
    <row r="4" spans="1:11" x14ac:dyDescent="0.25">
      <c r="A4" t="s">
        <v>1062</v>
      </c>
      <c r="B4" t="s">
        <v>110</v>
      </c>
      <c r="C4" s="2" t="s">
        <v>1062</v>
      </c>
      <c r="D4" t="s">
        <v>353</v>
      </c>
      <c r="E4" s="2" t="s">
        <v>115</v>
      </c>
      <c r="F4" t="s">
        <v>1134</v>
      </c>
      <c r="G4" t="s">
        <v>109</v>
      </c>
      <c r="K4" t="s">
        <v>1165</v>
      </c>
    </row>
    <row r="5" spans="1:11" x14ac:dyDescent="0.25">
      <c r="A5" t="s">
        <v>111</v>
      </c>
      <c r="B5" t="s">
        <v>112</v>
      </c>
      <c r="C5" s="2" t="s">
        <v>111</v>
      </c>
      <c r="D5" t="s">
        <v>354</v>
      </c>
      <c r="E5" s="2" t="s">
        <v>116</v>
      </c>
      <c r="F5" t="s">
        <v>355</v>
      </c>
      <c r="G5" t="s">
        <v>111</v>
      </c>
      <c r="K5" t="s">
        <v>1165</v>
      </c>
    </row>
    <row r="6" spans="1:11" x14ac:dyDescent="0.25">
      <c r="A6" t="s">
        <v>117</v>
      </c>
      <c r="B6" t="s">
        <v>118</v>
      </c>
      <c r="C6" s="2" t="s">
        <v>117</v>
      </c>
      <c r="D6" t="s">
        <v>356</v>
      </c>
      <c r="E6" s="2" t="s">
        <v>119</v>
      </c>
      <c r="F6" t="s">
        <v>357</v>
      </c>
      <c r="G6" t="s">
        <v>117</v>
      </c>
      <c r="H6" t="s">
        <v>362</v>
      </c>
      <c r="I6" t="s">
        <v>337</v>
      </c>
      <c r="K6" t="s">
        <v>1165</v>
      </c>
    </row>
    <row r="7" spans="1:11" x14ac:dyDescent="0.25">
      <c r="A7" t="s">
        <v>1025</v>
      </c>
      <c r="B7" t="s">
        <v>120</v>
      </c>
      <c r="C7" s="2" t="s">
        <v>1025</v>
      </c>
      <c r="D7" t="s">
        <v>834</v>
      </c>
      <c r="E7" s="2" t="s">
        <v>832</v>
      </c>
      <c r="F7" t="s">
        <v>1026</v>
      </c>
      <c r="G7" t="s">
        <v>1025</v>
      </c>
      <c r="K7" t="s">
        <v>1165</v>
      </c>
    </row>
    <row r="8" spans="1:11" x14ac:dyDescent="0.25">
      <c r="A8" t="s">
        <v>334</v>
      </c>
      <c r="B8" t="s">
        <v>335</v>
      </c>
      <c r="C8" s="2" t="s">
        <v>334</v>
      </c>
      <c r="D8" t="s">
        <v>358</v>
      </c>
      <c r="E8" t="s">
        <v>121</v>
      </c>
      <c r="F8" t="s">
        <v>359</v>
      </c>
      <c r="G8" t="s">
        <v>334</v>
      </c>
      <c r="H8" t="s">
        <v>372</v>
      </c>
      <c r="I8" t="s">
        <v>360</v>
      </c>
      <c r="K8" t="s">
        <v>1165</v>
      </c>
    </row>
    <row r="9" spans="1:11" x14ac:dyDescent="0.25">
      <c r="A9" t="s">
        <v>336</v>
      </c>
      <c r="B9" t="s">
        <v>831</v>
      </c>
      <c r="C9" s="2" t="s">
        <v>336</v>
      </c>
      <c r="D9" t="s">
        <v>1024</v>
      </c>
      <c r="E9" t="s">
        <v>1023</v>
      </c>
      <c r="F9" t="s">
        <v>361</v>
      </c>
      <c r="G9" t="s">
        <v>336</v>
      </c>
      <c r="K9" t="s">
        <v>1165</v>
      </c>
    </row>
    <row r="10" spans="1:11" x14ac:dyDescent="0.25">
      <c r="A10" t="s">
        <v>347</v>
      </c>
      <c r="B10" t="s">
        <v>348</v>
      </c>
      <c r="C10" s="2" t="s">
        <v>347</v>
      </c>
      <c r="D10" t="s">
        <v>358</v>
      </c>
      <c r="E10" t="s">
        <v>121</v>
      </c>
      <c r="F10" t="s">
        <v>363</v>
      </c>
      <c r="G10" t="s">
        <v>347</v>
      </c>
      <c r="K10" t="s">
        <v>1165</v>
      </c>
    </row>
    <row r="11" spans="1:11" x14ac:dyDescent="0.25">
      <c r="A11" t="s">
        <v>364</v>
      </c>
      <c r="B11" t="s">
        <v>365</v>
      </c>
      <c r="C11" s="2" t="s">
        <v>364</v>
      </c>
      <c r="D11" t="s">
        <v>366</v>
      </c>
      <c r="E11" t="s">
        <v>367</v>
      </c>
      <c r="F11" t="s">
        <v>368</v>
      </c>
      <c r="G11" t="s">
        <v>364</v>
      </c>
      <c r="K11" t="s">
        <v>1165</v>
      </c>
    </row>
    <row r="12" spans="1:11" x14ac:dyDescent="0.25">
      <c r="A12" t="s">
        <v>369</v>
      </c>
      <c r="B12" t="s">
        <v>370</v>
      </c>
      <c r="C12" s="2" t="s">
        <v>369</v>
      </c>
      <c r="D12" t="s">
        <v>366</v>
      </c>
      <c r="E12" t="s">
        <v>367</v>
      </c>
      <c r="F12" t="s">
        <v>371</v>
      </c>
      <c r="G12" t="s">
        <v>369</v>
      </c>
      <c r="K12" t="s">
        <v>1165</v>
      </c>
    </row>
    <row r="13" spans="1:11" x14ac:dyDescent="0.25">
      <c r="A13" t="s">
        <v>829</v>
      </c>
      <c r="B13" t="s">
        <v>830</v>
      </c>
      <c r="C13" s="2"/>
      <c r="D13" t="s">
        <v>834</v>
      </c>
      <c r="E13" t="s">
        <v>832</v>
      </c>
      <c r="F13" t="s">
        <v>833</v>
      </c>
      <c r="G13" t="s">
        <v>829</v>
      </c>
      <c r="K13" t="s">
        <v>1165</v>
      </c>
    </row>
    <row r="14" spans="1:11" x14ac:dyDescent="0.25">
      <c r="A14" t="s">
        <v>860</v>
      </c>
      <c r="B14" t="s">
        <v>861</v>
      </c>
      <c r="C14" s="2" t="s">
        <v>862</v>
      </c>
      <c r="D14" t="s">
        <v>863</v>
      </c>
      <c r="E14" t="s">
        <v>862</v>
      </c>
      <c r="F14" t="s">
        <v>864</v>
      </c>
      <c r="G14" t="s">
        <v>862</v>
      </c>
      <c r="K14" t="s">
        <v>1165</v>
      </c>
    </row>
    <row r="15" spans="1:11" x14ac:dyDescent="0.25">
      <c r="A15" t="s">
        <v>929</v>
      </c>
      <c r="B15" t="s">
        <v>932</v>
      </c>
      <c r="C15" s="2" t="s">
        <v>929</v>
      </c>
      <c r="D15" t="s">
        <v>930</v>
      </c>
      <c r="E15" t="s">
        <v>929</v>
      </c>
      <c r="F15" t="s">
        <v>931</v>
      </c>
      <c r="G15" t="s">
        <v>929</v>
      </c>
      <c r="K15" t="s">
        <v>1165</v>
      </c>
    </row>
    <row r="16" spans="1:11" x14ac:dyDescent="0.25">
      <c r="A16" t="s">
        <v>977</v>
      </c>
      <c r="B16" t="s">
        <v>985</v>
      </c>
      <c r="C16" s="2" t="s">
        <v>978</v>
      </c>
      <c r="D16" t="s">
        <v>979</v>
      </c>
      <c r="E16" t="s">
        <v>977</v>
      </c>
      <c r="F16" t="s">
        <v>980</v>
      </c>
      <c r="G16" t="s">
        <v>977</v>
      </c>
      <c r="K16" t="s">
        <v>1165</v>
      </c>
    </row>
    <row r="17" spans="1:11" x14ac:dyDescent="0.25">
      <c r="A17" t="s">
        <v>981</v>
      </c>
      <c r="B17" t="s">
        <v>984</v>
      </c>
      <c r="C17" s="2" t="s">
        <v>982</v>
      </c>
      <c r="D17" t="s">
        <v>983</v>
      </c>
      <c r="E17" t="s">
        <v>981</v>
      </c>
      <c r="F17" t="s">
        <v>986</v>
      </c>
      <c r="G17" t="s">
        <v>987</v>
      </c>
      <c r="K17" t="s">
        <v>1165</v>
      </c>
    </row>
    <row r="18" spans="1:11" x14ac:dyDescent="0.25">
      <c r="A18" t="s">
        <v>988</v>
      </c>
      <c r="B18" t="s">
        <v>989</v>
      </c>
      <c r="C18" s="2" t="s">
        <v>988</v>
      </c>
      <c r="D18" t="s">
        <v>349</v>
      </c>
      <c r="E18" t="s">
        <v>113</v>
      </c>
      <c r="F18" t="s">
        <v>990</v>
      </c>
      <c r="G18" t="s">
        <v>988</v>
      </c>
      <c r="K18" t="s">
        <v>1165</v>
      </c>
    </row>
    <row r="19" spans="1:11" x14ac:dyDescent="0.25">
      <c r="A19" t="s">
        <v>993</v>
      </c>
      <c r="B19" t="s">
        <v>997</v>
      </c>
      <c r="C19" s="2" t="s">
        <v>994</v>
      </c>
      <c r="D19" t="s">
        <v>995</v>
      </c>
      <c r="E19" t="s">
        <v>993</v>
      </c>
      <c r="F19" t="s">
        <v>996</v>
      </c>
      <c r="G19" t="s">
        <v>993</v>
      </c>
      <c r="K19" t="s">
        <v>1165</v>
      </c>
    </row>
    <row r="20" spans="1:11" x14ac:dyDescent="0.25">
      <c r="A20" t="s">
        <v>1000</v>
      </c>
      <c r="B20" t="s">
        <v>984</v>
      </c>
      <c r="C20" s="2" t="s">
        <v>1001</v>
      </c>
      <c r="D20" t="s">
        <v>983</v>
      </c>
      <c r="E20" t="s">
        <v>981</v>
      </c>
      <c r="F20" t="s">
        <v>999</v>
      </c>
      <c r="G20" t="s">
        <v>998</v>
      </c>
      <c r="K20" t="s">
        <v>1165</v>
      </c>
    </row>
    <row r="21" spans="1:11" x14ac:dyDescent="0.25">
      <c r="A21" t="s">
        <v>1003</v>
      </c>
      <c r="B21" t="s">
        <v>1007</v>
      </c>
      <c r="C21" s="2" t="s">
        <v>1003</v>
      </c>
      <c r="D21" t="s">
        <v>356</v>
      </c>
      <c r="E21" t="s">
        <v>119</v>
      </c>
      <c r="F21" t="s">
        <v>1004</v>
      </c>
      <c r="G21" t="s">
        <v>1003</v>
      </c>
      <c r="K21" t="s">
        <v>1165</v>
      </c>
    </row>
    <row r="22" spans="1:11" x14ac:dyDescent="0.25">
      <c r="A22" t="s">
        <v>1006</v>
      </c>
      <c r="B22" t="s">
        <v>1005</v>
      </c>
      <c r="C22" s="2" t="s">
        <v>1006</v>
      </c>
      <c r="D22" t="s">
        <v>353</v>
      </c>
      <c r="E22" t="s">
        <v>115</v>
      </c>
      <c r="F22" t="s">
        <v>1008</v>
      </c>
      <c r="G22" t="s">
        <v>1006</v>
      </c>
      <c r="K22" t="s">
        <v>1165</v>
      </c>
    </row>
    <row r="23" spans="1:11" x14ac:dyDescent="0.25">
      <c r="A23" t="s">
        <v>1009</v>
      </c>
      <c r="B23" t="s">
        <v>1010</v>
      </c>
      <c r="C23" s="2" t="s">
        <v>1009</v>
      </c>
      <c r="D23" t="s">
        <v>354</v>
      </c>
      <c r="E23" t="s">
        <v>116</v>
      </c>
      <c r="F23" t="s">
        <v>1011</v>
      </c>
      <c r="G23" t="s">
        <v>1009</v>
      </c>
      <c r="K23" t="s">
        <v>1165</v>
      </c>
    </row>
    <row r="24" spans="1:11" x14ac:dyDescent="0.25">
      <c r="A24" t="s">
        <v>1013</v>
      </c>
      <c r="B24" t="s">
        <v>1012</v>
      </c>
      <c r="C24" s="2" t="s">
        <v>1013</v>
      </c>
      <c r="D24" t="s">
        <v>356</v>
      </c>
      <c r="E24" t="s">
        <v>119</v>
      </c>
      <c r="F24" t="s">
        <v>1016</v>
      </c>
      <c r="G24" t="s">
        <v>1013</v>
      </c>
      <c r="K24" t="s">
        <v>1165</v>
      </c>
    </row>
    <row r="25" spans="1:11" x14ac:dyDescent="0.25">
      <c r="A25" t="s">
        <v>1019</v>
      </c>
      <c r="B25" t="s">
        <v>1022</v>
      </c>
      <c r="C25" s="2" t="s">
        <v>1019</v>
      </c>
      <c r="D25" t="s">
        <v>353</v>
      </c>
      <c r="E25" t="s">
        <v>115</v>
      </c>
      <c r="F25" t="s">
        <v>1017</v>
      </c>
      <c r="G25" t="s">
        <v>1019</v>
      </c>
      <c r="K25" t="s">
        <v>1165</v>
      </c>
    </row>
    <row r="26" spans="1:11" x14ac:dyDescent="0.25">
      <c r="A26" t="s">
        <v>1020</v>
      </c>
      <c r="B26" t="s">
        <v>1021</v>
      </c>
      <c r="C26" s="2" t="s">
        <v>1020</v>
      </c>
      <c r="D26" t="s">
        <v>1014</v>
      </c>
      <c r="E26" t="s">
        <v>1015</v>
      </c>
      <c r="F26" t="s">
        <v>1018</v>
      </c>
      <c r="G26" t="s">
        <v>1020</v>
      </c>
      <c r="K26" t="s">
        <v>1165</v>
      </c>
    </row>
    <row r="27" spans="1:11" x14ac:dyDescent="0.25">
      <c r="A27" t="s">
        <v>1061</v>
      </c>
      <c r="B27" t="s">
        <v>1060</v>
      </c>
      <c r="C27" s="2" t="s">
        <v>1061</v>
      </c>
      <c r="D27" t="s">
        <v>358</v>
      </c>
      <c r="E27" s="2" t="s">
        <v>121</v>
      </c>
      <c r="F27" t="s">
        <v>1134</v>
      </c>
      <c r="G27" t="s">
        <v>1059</v>
      </c>
      <c r="K27" t="s">
        <v>1165</v>
      </c>
    </row>
    <row r="28" spans="1:11" x14ac:dyDescent="0.25">
      <c r="A28" t="s">
        <v>1135</v>
      </c>
      <c r="B28" t="s">
        <v>1142</v>
      </c>
      <c r="C28" t="s">
        <v>1135</v>
      </c>
      <c r="D28" t="s">
        <v>353</v>
      </c>
      <c r="E28" s="2" t="s">
        <v>115</v>
      </c>
      <c r="F28" t="s">
        <v>1136</v>
      </c>
      <c r="G28" t="s">
        <v>1137</v>
      </c>
      <c r="J28" t="s">
        <v>1141</v>
      </c>
      <c r="K28" t="s">
        <v>1165</v>
      </c>
    </row>
    <row r="29" spans="1:11" x14ac:dyDescent="0.25">
      <c r="A29" t="s">
        <v>1138</v>
      </c>
      <c r="B29" t="s">
        <v>1143</v>
      </c>
      <c r="C29" t="s">
        <v>1138</v>
      </c>
      <c r="D29" t="s">
        <v>358</v>
      </c>
      <c r="E29" s="2" t="s">
        <v>121</v>
      </c>
      <c r="F29" t="s">
        <v>1136</v>
      </c>
      <c r="G29" t="s">
        <v>1139</v>
      </c>
      <c r="J29" t="s">
        <v>1141</v>
      </c>
      <c r="K29" t="s">
        <v>1165</v>
      </c>
    </row>
    <row r="30" spans="1:11" x14ac:dyDescent="0.25">
      <c r="A30" t="s">
        <v>1146</v>
      </c>
      <c r="B30" t="s">
        <v>1145</v>
      </c>
      <c r="C30" t="str">
        <f>Таблица9[[#This Row],[Part Number]]</f>
        <v>PBS-4</v>
      </c>
      <c r="D30" t="s">
        <v>353</v>
      </c>
      <c r="E30" s="2" t="s">
        <v>115</v>
      </c>
      <c r="F30" t="s">
        <v>1150</v>
      </c>
      <c r="G30" t="s">
        <v>1148</v>
      </c>
      <c r="J30" t="s">
        <v>1151</v>
      </c>
      <c r="K30" t="s">
        <v>1165</v>
      </c>
    </row>
    <row r="31" spans="1:11" x14ac:dyDescent="0.25">
      <c r="A31" t="s">
        <v>1147</v>
      </c>
      <c r="B31" t="s">
        <v>1145</v>
      </c>
      <c r="C31" t="str">
        <f>Таблица9[[#This Row],[Part Number]]</f>
        <v>PBS-2</v>
      </c>
      <c r="D31" t="s">
        <v>358</v>
      </c>
      <c r="E31" s="2" t="s">
        <v>121</v>
      </c>
      <c r="F31" t="s">
        <v>1150</v>
      </c>
      <c r="G31" t="s">
        <v>1149</v>
      </c>
      <c r="J31" t="s">
        <v>1151</v>
      </c>
      <c r="K31" t="s">
        <v>1165</v>
      </c>
    </row>
    <row r="32" spans="1:11" x14ac:dyDescent="0.25">
      <c r="A32" t="s">
        <v>1161</v>
      </c>
      <c r="B32" t="s">
        <v>120</v>
      </c>
      <c r="C32" t="s">
        <v>1161</v>
      </c>
      <c r="D32" t="s">
        <v>358</v>
      </c>
      <c r="E32" s="2" t="s">
        <v>121</v>
      </c>
      <c r="F32" t="s">
        <v>1162</v>
      </c>
      <c r="G32" t="s">
        <v>1161</v>
      </c>
      <c r="J32" t="s">
        <v>1163</v>
      </c>
      <c r="K32" t="s">
        <v>1165</v>
      </c>
    </row>
    <row r="33" spans="1:11" x14ac:dyDescent="0.25">
      <c r="A33" t="s">
        <v>1177</v>
      </c>
      <c r="B33" t="s">
        <v>1178</v>
      </c>
      <c r="C33" t="s">
        <v>1177</v>
      </c>
      <c r="D33" t="s">
        <v>354</v>
      </c>
      <c r="E33" s="2" t="s">
        <v>116</v>
      </c>
      <c r="F33" t="s">
        <v>1134</v>
      </c>
      <c r="G33" t="s">
        <v>1179</v>
      </c>
      <c r="J33" t="s">
        <v>1193</v>
      </c>
      <c r="K33" t="s">
        <v>1165</v>
      </c>
    </row>
    <row r="34" spans="1:11" x14ac:dyDescent="0.25">
      <c r="A34" t="s">
        <v>1180</v>
      </c>
      <c r="B34" t="s">
        <v>1181</v>
      </c>
      <c r="C34" t="s">
        <v>1180</v>
      </c>
      <c r="D34" t="s">
        <v>1182</v>
      </c>
      <c r="E34" s="2" t="s">
        <v>1183</v>
      </c>
      <c r="F34" t="s">
        <v>1184</v>
      </c>
      <c r="G34" t="s">
        <v>1185</v>
      </c>
      <c r="J34" t="s">
        <v>1151</v>
      </c>
      <c r="K34" t="s">
        <v>1165</v>
      </c>
    </row>
    <row r="35" spans="1:11" x14ac:dyDescent="0.25">
      <c r="A35" t="s">
        <v>1186</v>
      </c>
      <c r="B35" t="s">
        <v>1187</v>
      </c>
      <c r="C35" t="s">
        <v>1188</v>
      </c>
      <c r="D35" t="s">
        <v>1189</v>
      </c>
      <c r="E35" t="s">
        <v>1190</v>
      </c>
      <c r="F35" t="s">
        <v>1191</v>
      </c>
      <c r="G35" t="s">
        <v>1186</v>
      </c>
      <c r="J35" t="s">
        <v>1192</v>
      </c>
      <c r="K35" t="s">
        <v>1165</v>
      </c>
    </row>
    <row r="36" spans="1:11" x14ac:dyDescent="0.25">
      <c r="A36" t="s">
        <v>1194</v>
      </c>
      <c r="B36" t="s">
        <v>1195</v>
      </c>
      <c r="C36" t="s">
        <v>1194</v>
      </c>
      <c r="D36" t="s">
        <v>356</v>
      </c>
      <c r="E36" s="2" t="s">
        <v>119</v>
      </c>
      <c r="F36" t="s">
        <v>1134</v>
      </c>
      <c r="G36" t="s">
        <v>1196</v>
      </c>
      <c r="J36" t="s">
        <v>1193</v>
      </c>
      <c r="K36" t="s">
        <v>1165</v>
      </c>
    </row>
    <row r="37" spans="1:11" x14ac:dyDescent="0.25">
      <c r="A37" t="s">
        <v>1233</v>
      </c>
      <c r="B37" t="s">
        <v>1234</v>
      </c>
      <c r="C37" t="s">
        <v>1233</v>
      </c>
      <c r="D37" t="s">
        <v>1235</v>
      </c>
      <c r="E37" t="s">
        <v>1233</v>
      </c>
      <c r="F37" t="s">
        <v>1236</v>
      </c>
      <c r="G37" t="s">
        <v>1233</v>
      </c>
      <c r="K37" t="s">
        <v>1165</v>
      </c>
    </row>
    <row r="38" spans="1:11" x14ac:dyDescent="0.25">
      <c r="A38" t="s">
        <v>1237</v>
      </c>
      <c r="B38" t="s">
        <v>1238</v>
      </c>
      <c r="C38" t="s">
        <v>1237</v>
      </c>
      <c r="D38" t="s">
        <v>1239</v>
      </c>
      <c r="E38" t="s">
        <v>1237</v>
      </c>
      <c r="F38" t="s">
        <v>1240</v>
      </c>
      <c r="G38" t="s">
        <v>1237</v>
      </c>
      <c r="K38" t="s">
        <v>1165</v>
      </c>
    </row>
    <row r="39" spans="1:11" x14ac:dyDescent="0.25">
      <c r="A39" t="s">
        <v>1241</v>
      </c>
      <c r="B39" t="s">
        <v>1242</v>
      </c>
      <c r="C39" t="s">
        <v>1243</v>
      </c>
      <c r="D39" t="s">
        <v>1244</v>
      </c>
      <c r="E39" t="s">
        <v>1241</v>
      </c>
      <c r="F39" t="s">
        <v>1245</v>
      </c>
      <c r="G39" t="s">
        <v>1241</v>
      </c>
      <c r="K39" t="s">
        <v>1165</v>
      </c>
    </row>
    <row r="40" spans="1:11" x14ac:dyDescent="0.25">
      <c r="A40" t="s">
        <v>1246</v>
      </c>
      <c r="B40" t="s">
        <v>1247</v>
      </c>
      <c r="C40" t="s">
        <v>1248</v>
      </c>
      <c r="D40" t="s">
        <v>1249</v>
      </c>
      <c r="E40" t="s">
        <v>1250</v>
      </c>
      <c r="F40" t="s">
        <v>1251</v>
      </c>
      <c r="G40" t="s">
        <v>1252</v>
      </c>
      <c r="K40" t="s">
        <v>1165</v>
      </c>
    </row>
    <row r="41" spans="1:11" x14ac:dyDescent="0.25">
      <c r="A41" s="2" t="s">
        <v>1255</v>
      </c>
      <c r="B41" t="s">
        <v>1253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1256</v>
      </c>
      <c r="F41" t="str">
        <f>CONCATENATE("Footprints\Connectors\", G41, ".PcbLib")</f>
        <v>Footprints\Connectors\DF12(3.0)-32DP.PcbLib</v>
      </c>
      <c r="G41" t="s">
        <v>1255</v>
      </c>
      <c r="K41" t="s">
        <v>1165</v>
      </c>
    </row>
    <row r="42" spans="1:11" x14ac:dyDescent="0.25">
      <c r="A42" s="2" t="s">
        <v>1254</v>
      </c>
      <c r="B42" t="s">
        <v>1257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1256</v>
      </c>
      <c r="F42" t="str">
        <f>CONCATENATE("Footprints\Connectors\", G42, ".PcbLib")</f>
        <v>Footprints\Connectors\DF12(3.0)-32DS.PcbLib</v>
      </c>
      <c r="G42" t="s">
        <v>1254</v>
      </c>
      <c r="K42" t="s">
        <v>1165</v>
      </c>
    </row>
    <row r="43" spans="1:11" x14ac:dyDescent="0.25">
      <c r="A43" t="s">
        <v>1258</v>
      </c>
      <c r="B43" t="s">
        <v>1259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1260</v>
      </c>
      <c r="F43" t="str">
        <f t="shared" ref="F43:F45" si="2">CONCATENATE("Footprints\Connectors\", G43, ".PcbLib")</f>
        <v>Footprints\Connectors\DF40C-50DP.PcbLib</v>
      </c>
      <c r="G43" t="s">
        <v>1258</v>
      </c>
      <c r="K43" t="s">
        <v>1165</v>
      </c>
    </row>
    <row r="44" spans="1:11" x14ac:dyDescent="0.25">
      <c r="A44" t="s">
        <v>1261</v>
      </c>
      <c r="B44" t="s">
        <v>1262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1260</v>
      </c>
      <c r="F44" t="str">
        <f t="shared" si="2"/>
        <v>Footprints\Connectors\DF40C-50DS.PcbLib</v>
      </c>
      <c r="G44" t="s">
        <v>1261</v>
      </c>
      <c r="K44" t="s">
        <v>1165</v>
      </c>
    </row>
    <row r="45" spans="1:11" x14ac:dyDescent="0.25">
      <c r="A45" t="s">
        <v>1263</v>
      </c>
      <c r="B45" t="s">
        <v>1262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1260</v>
      </c>
      <c r="F45" t="str">
        <f t="shared" si="2"/>
        <v>Footprints\Connectors\DF40HC(4.0)-50DS.PcbLib</v>
      </c>
      <c r="G45" t="s">
        <v>1263</v>
      </c>
      <c r="K45" t="s">
        <v>1165</v>
      </c>
    </row>
    <row r="46" spans="1:11" x14ac:dyDescent="0.25">
      <c r="A46" t="s">
        <v>1264</v>
      </c>
      <c r="B46" t="s">
        <v>1265</v>
      </c>
      <c r="C46" s="2" t="str">
        <f t="shared" si="0"/>
        <v>PLS-6</v>
      </c>
      <c r="D46" t="str">
        <f t="shared" si="1"/>
        <v>Schematic\Connectors\Conn_6pin.SchLib</v>
      </c>
      <c r="E46" t="s">
        <v>1266</v>
      </c>
      <c r="F46" t="s">
        <v>1134</v>
      </c>
      <c r="G46" t="s">
        <v>1267</v>
      </c>
      <c r="K46" t="s">
        <v>1165</v>
      </c>
    </row>
    <row r="47" spans="1:11" x14ac:dyDescent="0.25">
      <c r="A47" t="s">
        <v>1294</v>
      </c>
      <c r="B47" t="s">
        <v>1295</v>
      </c>
      <c r="C47" s="2" t="s">
        <v>1294</v>
      </c>
      <c r="D47" s="37" t="s">
        <v>356</v>
      </c>
      <c r="E47" s="2" t="s">
        <v>119</v>
      </c>
      <c r="F47" s="37" t="s">
        <v>1304</v>
      </c>
      <c r="G47" t="s">
        <v>1294</v>
      </c>
      <c r="H47" s="37"/>
      <c r="K47" t="s">
        <v>1165</v>
      </c>
    </row>
    <row r="48" spans="1:11" x14ac:dyDescent="0.25">
      <c r="A48" t="s">
        <v>1296</v>
      </c>
      <c r="B48" t="s">
        <v>1297</v>
      </c>
      <c r="C48" s="2" t="s">
        <v>1296</v>
      </c>
      <c r="D48" s="37" t="s">
        <v>834</v>
      </c>
      <c r="E48" s="2" t="s">
        <v>832</v>
      </c>
      <c r="F48" s="37" t="s">
        <v>1303</v>
      </c>
      <c r="G48" t="s">
        <v>1296</v>
      </c>
      <c r="H48" s="37"/>
      <c r="K48" t="s">
        <v>1165</v>
      </c>
    </row>
    <row r="49" spans="1:11" x14ac:dyDescent="0.25">
      <c r="A49" t="s">
        <v>1298</v>
      </c>
      <c r="B49" t="s">
        <v>1299</v>
      </c>
      <c r="C49" s="2" t="s">
        <v>1298</v>
      </c>
      <c r="D49" s="37" t="s">
        <v>1301</v>
      </c>
      <c r="E49" s="2" t="s">
        <v>1302</v>
      </c>
      <c r="F49" s="37" t="s">
        <v>1300</v>
      </c>
      <c r="G49" t="s">
        <v>1298</v>
      </c>
      <c r="H49" s="37"/>
      <c r="K49" t="s">
        <v>1165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 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2025-08-05T17:39:19Z</dcterms:modified>
</cp:coreProperties>
</file>