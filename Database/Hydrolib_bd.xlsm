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filterPrivacy="1" codeName="ЭтаКнига"/>
  <xr:revisionPtr revIDLastSave="0" documentId="13_ncr:1_{61225D94-988B-40FD-9CC5-B6E5E6FE983F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Chips" sheetId="1" r:id="rId1"/>
    <sheet name="Zener" sheetId="7" r:id="rId2"/>
    <sheet name="TVS" sheetId="8" r:id="rId3"/>
    <sheet name="Transistors" sheetId="4" r:id="rId4"/>
    <sheet name="Resistors" sheetId="2" r:id="rId5"/>
    <sheet name="Capacitors" sheetId="3" r:id="rId6"/>
    <sheet name="Inductance" sheetId="9" r:id="rId7"/>
    <sheet name="Other" sheetId="5" r:id="rId8"/>
    <sheet name="Connectors" sheetId="6" r:id="rId9"/>
  </sheets>
  <calcPr calcId="191029"/>
</workbook>
</file>

<file path=xl/calcChain.xml><?xml version="1.0" encoding="utf-8"?>
<calcChain xmlns="http://schemas.openxmlformats.org/spreadsheetml/2006/main">
  <c r="D4" i="6" l="1"/>
  <c r="E4" i="6"/>
  <c r="G4" i="6"/>
  <c r="F4" i="6" s="1"/>
  <c r="D5" i="6"/>
  <c r="E5" i="6"/>
  <c r="G5" i="6"/>
  <c r="F5" i="6" s="1"/>
  <c r="C6" i="5"/>
  <c r="D6" i="5"/>
  <c r="E6" i="5"/>
  <c r="L6" i="5"/>
  <c r="J6" i="5"/>
  <c r="H6" i="5"/>
  <c r="F6" i="5"/>
  <c r="C5" i="1"/>
  <c r="D5" i="1"/>
  <c r="E5" i="1"/>
  <c r="F5" i="1"/>
  <c r="C6" i="1"/>
  <c r="D6" i="1"/>
  <c r="E6" i="1"/>
  <c r="F6" i="1"/>
  <c r="C7" i="1"/>
  <c r="D7" i="1"/>
  <c r="E7" i="1"/>
  <c r="F7" i="1"/>
  <c r="C8" i="1"/>
  <c r="D8" i="1"/>
  <c r="E8" i="1"/>
  <c r="F8" i="1"/>
  <c r="C9" i="1"/>
  <c r="D9" i="1"/>
  <c r="E9" i="1"/>
  <c r="F9" i="1"/>
  <c r="C10" i="1"/>
  <c r="D10" i="1"/>
  <c r="E10" i="1"/>
  <c r="F10" i="1"/>
  <c r="B3" i="8"/>
  <c r="D3" i="8"/>
  <c r="D2" i="8"/>
  <c r="D2" i="1"/>
  <c r="C3" i="8"/>
  <c r="F3" i="8"/>
  <c r="C4" i="1"/>
  <c r="D4" i="1"/>
  <c r="E4" i="1"/>
  <c r="F4" i="1"/>
  <c r="K2" i="7"/>
  <c r="J2" i="8"/>
  <c r="B2" i="8"/>
  <c r="F2" i="8"/>
  <c r="C2" i="8"/>
  <c r="C2" i="7"/>
  <c r="B2" i="7"/>
  <c r="F2" i="7"/>
  <c r="G3" i="6"/>
  <c r="F3" i="6"/>
  <c r="G2" i="6"/>
  <c r="C3" i="6"/>
  <c r="D3" i="6"/>
  <c r="E3" i="6"/>
  <c r="F2" i="6"/>
  <c r="D2" i="6"/>
  <c r="E2" i="6"/>
  <c r="C2" i="6"/>
  <c r="F5" i="5"/>
  <c r="E5" i="5"/>
  <c r="D5" i="5"/>
  <c r="C5" i="5"/>
  <c r="F3" i="5"/>
  <c r="E4" i="5"/>
  <c r="D4" i="5"/>
  <c r="C4" i="5"/>
  <c r="F2" i="5"/>
  <c r="E3" i="5"/>
  <c r="D3" i="5"/>
  <c r="C3" i="5"/>
  <c r="I6" i="4"/>
  <c r="I3" i="4"/>
  <c r="I2" i="4"/>
  <c r="G3" i="4"/>
  <c r="G4" i="4"/>
  <c r="G5" i="4"/>
  <c r="G6" i="4"/>
  <c r="G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sharedStrings.xml><?xml version="1.0" encoding="utf-8"?>
<sst xmlns="http://schemas.openxmlformats.org/spreadsheetml/2006/main" count="254" uniqueCount="136">
  <si>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</si>
  <si>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</si>
  <si>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</si>
  <si>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</si>
  <si>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</si>
  <si>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</si>
  <si>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</si>
  <si>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</si>
  <si>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</si>
  <si>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</si>
  <si>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</si>
  <si>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</si>
  <si>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</si>
  <si>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</si>
  <si>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</si>
  <si>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</si>
  <si>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</si>
  <si>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</si>
  <si>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</si>
  <si>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</si>
  <si>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</si>
  <si>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</si>
  <si>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</si>
  <si>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</si>
  <si>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</si>
  <si>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</si>
  <si>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</si>
  <si>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</si>
  <si>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</si>
  <si>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</si>
  <si>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</si>
  <si>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</si>
  <si>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</si>
  <si>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</si>
  <si>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</si>
  <si>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Footprints/Capacitor_Ceramic_SMD.PcdLib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</si>
  <si>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</si>
  <si>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</si>
  <si>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</si>
  <si>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</si>
  <si>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</si>
  <si>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</si>
  <si>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</si>
  <si>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</si>
  <si>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</si>
  <si>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</si>
  <si>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</si>
  <si>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</si>
  <si>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Footprints/Capacitor_Electrolytic_SMD.PcbLib</t>
  </si>
  <si>
    <t>4,7 мк</t>
  </si>
  <si>
    <t>TC_A (3216)</t>
  </si>
  <si>
    <t>TC_B (3528)</t>
  </si>
  <si>
    <t>TC_C (6032)</t>
  </si>
  <si>
    <t>TC_D (7343)</t>
  </si>
  <si>
    <t>Footprint Path 5</t>
  </si>
  <si>
    <t>Footprint Ref 5</t>
  </si>
  <si>
    <t>TC_E (7343H)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</si>
  <si>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</si>
  <si>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</si>
  <si>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</si>
  <si>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</si>
  <si>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</si>
  <si>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</si>
  <si>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</si>
  <si>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</si>
  <si>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</si>
  <si>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</si>
  <si>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</si>
  <si>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</si>
  <si>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</si>
  <si>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</si>
  <si>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</si>
  <si>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</si>
  <si>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</si>
  <si>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LED_SMD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</si>
  <si>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</si>
  <si>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</si>
  <si>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</si>
  <si>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</si>
  <si>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</si>
  <si>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</si>
  <si>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</si>
  <si>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</si>
  <si>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</si>
  <si>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</si>
  <si>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</si>
  <si>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</si>
  <si>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</si>
  <si>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</si>
  <si>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</si>
  <si>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</si>
  <si>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</si>
  <si>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</si>
  <si>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</si>
  <si>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</si>
  <si>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</si>
  <si>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</si>
  <si>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</si>
  <si>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</si>
  <si>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</si>
  <si>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</si>
  <si>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STM32F103_48pin</t>
  </si>
  <si>
    <t>LQFP48</t>
  </si>
  <si>
    <t>LM2594HVM-ADJ</t>
  </si>
  <si>
    <t>DC-DC преобразователь</t>
  </si>
  <si>
    <t>SOIC-8N</t>
  </si>
  <si>
    <t>LD1117S33CTR</t>
  </si>
  <si>
    <t>Линейный стабилизатор напряжения</t>
  </si>
  <si>
    <t>SOT223</t>
  </si>
  <si>
    <t>74HC4050D,653</t>
  </si>
  <si>
    <t>Шесть буферных элементов</t>
  </si>
  <si>
    <t>SOIC-16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</si>
  <si>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</si>
  <si>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</si>
  <si>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</si>
  <si>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</si>
  <si>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</si>
  <si>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</si>
  <si>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</si>
  <si>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Footprints\Inductance\0603L.PcbLib</t>
  </si>
  <si>
    <t>0603L</t>
  </si>
  <si>
    <t>Footprints\Inductance\1210L.PcbLib</t>
  </si>
  <si>
    <t>1210L</t>
  </si>
  <si>
    <t>Footprints\Inductance\1212L.PcbLib</t>
  </si>
  <si>
    <t>1212L</t>
  </si>
  <si>
    <t>Footprints\Inductance\IND_B82477G.PcbLib</t>
  </si>
  <si>
    <t>IND_B82477G</t>
  </si>
  <si>
    <t>Schottky diode</t>
  </si>
  <si>
    <t>Диод Шоттки</t>
  </si>
  <si>
    <t>SMA</t>
  </si>
  <si>
    <t>SMB</t>
  </si>
  <si>
    <t>SMC</t>
  </si>
  <si>
    <t>PLS4</t>
  </si>
  <si>
    <t>Гребенка 4 пина</t>
  </si>
  <si>
    <t>CWF-5</t>
  </si>
  <si>
    <t>5-пиновый разъем с ключом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</si>
</sst>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4" fillId="0" borderId="0" xfId="0" applyFont="1"/>
    <xf numFmtId="4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1" sqref="D11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64</v>
      </c>
      <c r="B2" t="s">
        <v>65</v>
      </c>
      <c r="C2" s="2" t="str">
        <f>A2</f>
        <v>STM32F407VGT6</v>
      </c>
      <c r="D2" t="str">
        <f>CONCATENATE("Schematic\TVS\",A2,".SchLib")</f>
        <v>Schematic\TVS\STM32F407VGT6.SchLib</v>
      </c>
      <c r="E2" t="str">
        <f>A2</f>
        <v>STM32F407VGT6</v>
      </c>
      <c r="F2" t="str">
        <f>CONCATENATE("Footprints\",G2,".PcbLib")</f>
        <v>Footprints\LQFP100.PcbLib</v>
      </c>
      <c r="G2" t="s">
        <v>69</v>
      </c>
    </row>
    <row r="3" spans="1:20" x14ac:dyDescent="0.3">
      <c r="A3" t="s">
        <v>66</v>
      </c>
      <c r="B3" t="s">
        <v>67</v>
      </c>
      <c r="C3" s="2" t="str">
        <f>A3</f>
        <v>USBLC6-4</v>
      </c>
      <c r="D3" t="str">
        <f>CONCATENATE("Schematic\",A3,".SchLib")</f>
        <v>Schematic\USBLC6-4.SchLib</v>
      </c>
      <c r="E3" t="str">
        <f>A3</f>
        <v>USBLC6-4</v>
      </c>
      <c r="F3" t="str">
        <f>CONCATENATE("Footprints\",G3,".PcbLib")</f>
        <v>Footprints\SOT23-6.PcbLib</v>
      </c>
      <c r="G3" t="s">
        <v>68</v>
      </c>
    </row>
    <row r="4" spans="1:20" x14ac:dyDescent="0.3">
      <c r="A4" t="s">
        <v>93</v>
      </c>
      <c r="B4" t="s">
        <v>94</v>
      </c>
      <c r="C4" s="2" t="str">
        <f>A4</f>
        <v>MAX485CSA</v>
      </c>
      <c r="D4" t="str">
        <f>CONCATENATE("Schematic\",A4,".SchLib")</f>
        <v>Schematic\MAX485CSA.SchLib</v>
      </c>
      <c r="E4" t="str">
        <f>A4</f>
        <v>MAX485CSA</v>
      </c>
      <c r="F4" t="str">
        <f>CONCATENATE("Footprints\",G4,".PcbLib")</f>
        <v>Footprints\SOIC-8.PcbLib</v>
      </c>
      <c r="G4" t="s">
        <v>95</v>
      </c>
    </row>
    <row r="5" spans="1:20" x14ac:dyDescent="0.3">
      <c r="A5" t="s">
        <v>101</v>
      </c>
      <c r="B5" t="s">
        <v>65</v>
      </c>
      <c r="C5" s="2" t="str">
        <f t="shared" ref="C5:C10" si="0">A5</f>
        <v>STM32F103_48pin</v>
      </c>
      <c r="D5" t="str">
        <f t="shared" ref="D5:D10" si="1">CONCATENATE("Schematic\",A5,".SchLib")</f>
        <v>Schematic\STM32F103_48pin.SchLib</v>
      </c>
      <c r="E5" t="str">
        <f t="shared" ref="E5:E10" si="2">A5</f>
        <v>STM32F103_48pin</v>
      </c>
      <c r="F5" t="str">
        <f t="shared" ref="F5:F10" si="3">CONCATENATE("Footprints\",G5,".PcbLib")</f>
        <v>Footprints\LQFP48.PcbLib</v>
      </c>
      <c r="G5" t="s">
        <v>102</v>
      </c>
    </row>
    <row r="6" spans="1:20" x14ac:dyDescent="0.3">
      <c r="A6" t="s">
        <v>103</v>
      </c>
      <c r="B6" t="s">
        <v>104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Footprints\SOIC-8N.PcbLib</v>
      </c>
      <c r="G6" t="s">
        <v>105</v>
      </c>
    </row>
    <row r="7" spans="1:20" x14ac:dyDescent="0.3">
      <c r="A7" t="s">
        <v>106</v>
      </c>
      <c r="B7" t="s">
        <v>107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108</v>
      </c>
    </row>
    <row r="8" spans="1:20" x14ac:dyDescent="0.3">
      <c r="A8" t="s">
        <v>109</v>
      </c>
      <c r="B8" t="s">
        <v>110</v>
      </c>
      <c r="C8" s="2" t="str">
        <f t="shared" si="0"/>
        <v>74HC4050D,653</v>
      </c>
      <c r="D8" t="str">
        <f t="shared" si="1"/>
        <v>Schematic\74HC4050D,653.SchLib</v>
      </c>
      <c r="E8" t="str">
        <f t="shared" si="2"/>
        <v>74HC4050D,653</v>
      </c>
      <c r="F8" t="str">
        <f t="shared" si="3"/>
        <v>Footprints\SOIC-16.PcbLib</v>
      </c>
      <c r="G8" t="s">
        <v>111</v>
      </c>
    </row>
    <row r="9" spans="1:20" x14ac:dyDescent="0.3">
      <c r="A9" t="s">
        <v>112</v>
      </c>
      <c r="B9" t="s">
        <v>113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114</v>
      </c>
    </row>
    <row r="10" spans="1:20" x14ac:dyDescent="0.3">
      <c r="A10" t="s">
        <v>115</v>
      </c>
      <c r="B10" t="s">
        <v>107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108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F4" sqref="F4"/>
    </sheetView>
  </sheetViews>
  <sheetFormatPr defaultRowHeight="14.4" x14ac:dyDescent="0.3"/>
  <cols>
    <col min="1" max="1" width="14.77734375" customWidth="1"/>
    <col min="2" max="2" width="45.88671875" customWidth="1"/>
    <col min="4" max="4" width="10.77734375" customWidth="1"/>
    <col min="5" max="5" width="11.21875" customWidth="1"/>
    <col min="6" max="6" width="23.5546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86</v>
      </c>
      <c r="J1" t="s">
        <v>88</v>
      </c>
      <c r="K1" t="s">
        <v>25</v>
      </c>
    </row>
    <row r="2" spans="1:11" ht="13.05" customHeight="1" x14ac:dyDescent="0.3">
      <c r="A2" t="s">
        <v>87</v>
      </c>
      <c r="B2" t="str">
        <f>CONCATENATE("Стабилитрон на ", H2," В, рассеиваемая мощность ", J2," Вт")</f>
        <v>Стабилитрон на 12 В, рассеиваемая мощность 0.3 Вт</v>
      </c>
      <c r="C2" t="str">
        <f>A2</f>
        <v>BZX384-C12</v>
      </c>
      <c r="D2" t="s">
        <v>90</v>
      </c>
      <c r="E2" t="s">
        <v>91</v>
      </c>
      <c r="F2" t="str">
        <f>CONCATENATE("Footprints\",G2,".PcbLib")</f>
        <v>Footprints\SOD-323.PcbLib</v>
      </c>
      <c r="G2" t="s">
        <v>89</v>
      </c>
      <c r="H2">
        <v>12</v>
      </c>
      <c r="I2">
        <v>5</v>
      </c>
      <c r="J2">
        <v>0.3</v>
      </c>
      <c r="K2" t="str">
        <f>CONCATENATE(H2," В")</f>
        <v>12 В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tabSelected="1" workbookViewId="0">
      <selection activeCell="D8" sqref="D8"/>
    </sheetView>
  </sheetViews>
  <sheetFormatPr defaultRowHeight="14.4" x14ac:dyDescent="0.3"/>
  <cols>
    <col min="1" max="1" width="20.33203125" customWidth="1"/>
    <col min="2" max="2" width="21.21875" customWidth="1"/>
    <col min="3" max="3" width="15.77734375" customWidth="1"/>
    <col min="4" max="4" width="26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88</v>
      </c>
      <c r="J1" t="s">
        <v>25</v>
      </c>
      <c r="K1" t="s">
        <v>99</v>
      </c>
    </row>
    <row r="2" spans="1:11" x14ac:dyDescent="0.3">
      <c r="A2" t="s">
        <v>92</v>
      </c>
      <c r="B2" t="str">
        <f>CONCATENATE("Защитный диод на ", H2," В, рассеиваемая мощность ", I2," Вт")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97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>CONCATENATE(H2," В")</f>
        <v>24 В</v>
      </c>
    </row>
    <row r="3" spans="1:11" x14ac:dyDescent="0.3">
      <c r="A3" t="s">
        <v>96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98</v>
      </c>
      <c r="F3" t="str">
        <f>CONCATENATE("Footprints\",G3,".PcbLib")</f>
        <v>Footprints\SOT23-3.PcbLib</v>
      </c>
      <c r="G3" t="s">
        <v>18</v>
      </c>
      <c r="K3" t="s">
        <v>100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T6"/>
  <sheetViews>
    <sheetView workbookViewId="0">
      <selection activeCell="I5" sqref="I5"/>
    </sheetView>
  </sheetViews>
  <sheetFormatPr defaultRowHeight="14.4" x14ac:dyDescent="0.3"/>
  <cols>
    <col min="7" max="7" width="18.77734375" customWidth="1"/>
    <col min="9" max="9" width="10.77734375" customWidth="1"/>
    <col min="10" max="10" width="15.5546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/>
      <c r="G1" s="1" t="s">
        <v>12</v>
      </c>
      <c r="H1" s="1" t="s">
        <v>8</v>
      </c>
      <c r="I1" s="1" t="s">
        <v>13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5.6" x14ac:dyDescent="0.3">
      <c r="A2" s="1" t="s">
        <v>4</v>
      </c>
      <c r="B2" s="1" t="s">
        <v>5</v>
      </c>
      <c r="C2" s="2" t="str">
        <f>A2</f>
        <v>50N06</v>
      </c>
      <c r="D2" s="1" t="s">
        <v>10</v>
      </c>
      <c r="E2" s="1" t="s">
        <v>11</v>
      </c>
      <c r="G2" t="str">
        <f>CONCATENATE("Footprints\",H2,".PcbLib")</f>
        <v>Footprints\DPAK.PcbLib</v>
      </c>
      <c r="H2" s="1" t="s">
        <v>6</v>
      </c>
      <c r="I2" t="str">
        <f>CONCATENATE("Footprints\",J2,".PcbLib")</f>
        <v>Footprints\DPAK_termopad.PcbLib</v>
      </c>
      <c r="J2" t="s">
        <v>7</v>
      </c>
    </row>
    <row r="3" spans="1:20" ht="15.6" x14ac:dyDescent="0.3">
      <c r="A3" s="1" t="s">
        <v>15</v>
      </c>
      <c r="B3" s="1" t="s">
        <v>5</v>
      </c>
      <c r="C3" s="2" t="str">
        <f>A3</f>
        <v>100N03A</v>
      </c>
      <c r="D3" s="1" t="s">
        <v>10</v>
      </c>
      <c r="E3" s="1" t="s">
        <v>11</v>
      </c>
      <c r="G3" t="str">
        <f>CONCATENATE("Footprints\",H3,".PcbLib")</f>
        <v>Footprints\DPAK.PcbLib</v>
      </c>
      <c r="H3" s="1" t="s">
        <v>6</v>
      </c>
      <c r="I3" t="str">
        <f>CONCATENATE("Footprints\",J3,".PcbLib")</f>
        <v>Footprints\DPAK_termopad.PcbLib</v>
      </c>
      <c r="J3" t="s">
        <v>7</v>
      </c>
    </row>
    <row r="4" spans="1:20" ht="15.6" x14ac:dyDescent="0.3">
      <c r="A4" s="1" t="s">
        <v>16</v>
      </c>
      <c r="B4" s="1" t="s">
        <v>5</v>
      </c>
      <c r="C4" s="2" t="str">
        <f>A4</f>
        <v>AO3400A</v>
      </c>
      <c r="D4" s="1" t="s">
        <v>10</v>
      </c>
      <c r="E4" s="1" t="s">
        <v>17</v>
      </c>
      <c r="G4" t="str">
        <f>CONCATENATE("Footprints\",H4,".PcbLib")</f>
        <v>Footprints\SOT23-3.PcbLib</v>
      </c>
      <c r="H4" s="1" t="s">
        <v>18</v>
      </c>
      <c r="I4" s="1"/>
    </row>
    <row r="5" spans="1:20" ht="15.6" x14ac:dyDescent="0.3">
      <c r="A5" s="1" t="s">
        <v>19</v>
      </c>
      <c r="B5" s="1" t="s">
        <v>21</v>
      </c>
      <c r="C5" s="2" t="str">
        <f>A5</f>
        <v>AO3401A</v>
      </c>
      <c r="D5" s="1" t="s">
        <v>20</v>
      </c>
      <c r="E5" s="1" t="s">
        <v>22</v>
      </c>
      <c r="G5" t="str">
        <f>CONCATENATE("Footprints\",H5,".PcbLib")</f>
        <v>Footprints\SOT23-3.PcbLib</v>
      </c>
      <c r="H5" s="1" t="s">
        <v>18</v>
      </c>
    </row>
    <row r="6" spans="1:20" ht="15.6" x14ac:dyDescent="0.3">
      <c r="A6" s="1" t="s">
        <v>23</v>
      </c>
      <c r="B6" s="1" t="s">
        <v>21</v>
      </c>
      <c r="C6" s="2" t="str">
        <f>A6</f>
        <v>SUD50P06-15</v>
      </c>
      <c r="D6" s="1" t="s">
        <v>20</v>
      </c>
      <c r="E6" s="1" t="s">
        <v>24</v>
      </c>
      <c r="G6" t="str">
        <f>CONCATENATE("Footprints\",H6,".PcbLib")</f>
        <v>Footprints\DPAK.PcbLib</v>
      </c>
      <c r="H6" s="1" t="s">
        <v>6</v>
      </c>
      <c r="I6" t="str">
        <f>CONCATENATE("Footprints\",J6,".PcbLib")</f>
        <v>Footprints\DPAK_termopad.PcbLib</v>
      </c>
      <c r="J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topLeftCell="L1" workbookViewId="0">
      <selection activeCell="O1" sqref="O1:T1"/>
    </sheetView>
  </sheetViews>
  <sheetFormatPr defaultRowHeight="14.4" x14ac:dyDescent="0.3"/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/>
      <c r="P1" s="1"/>
      <c r="Q1" s="1"/>
      <c r="R1" s="1"/>
      <c r="S1" s="1"/>
      <c r="T1" s="1"/>
    </row>
    <row r="2" spans="1:20" ht="15.6" x14ac:dyDescent="0.3">
      <c r="A2" s="1" t="s">
        <v>26</v>
      </c>
      <c r="B2" s="1" t="s">
        <v>27</v>
      </c>
      <c r="C2" s="1" t="s">
        <v>26</v>
      </c>
      <c r="D2" s="1" t="s">
        <v>31</v>
      </c>
      <c r="E2" s="1" t="s">
        <v>26</v>
      </c>
      <c r="F2" s="1" t="s">
        <v>28</v>
      </c>
      <c r="G2" s="1" t="s">
        <v>34</v>
      </c>
      <c r="H2" s="1" t="s">
        <v>36</v>
      </c>
      <c r="I2" s="1" t="s">
        <v>34</v>
      </c>
      <c r="J2" s="1" t="s">
        <v>37</v>
      </c>
      <c r="K2" s="1" t="s">
        <v>34</v>
      </c>
      <c r="L2" s="1" t="s">
        <v>40</v>
      </c>
      <c r="M2" s="1" t="s">
        <v>34</v>
      </c>
      <c r="N2" s="1" t="s">
        <v>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sqref="A1:T1"/>
    </sheetView>
  </sheetViews>
  <sheetFormatPr defaultRowHeight="14.4" x14ac:dyDescent="0.3"/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 t="s">
        <v>54</v>
      </c>
      <c r="P1" s="1" t="s">
        <v>55</v>
      </c>
      <c r="Q1" s="1" t="s">
        <v>57</v>
      </c>
      <c r="R1" s="1" t="s">
        <v>58</v>
      </c>
      <c r="S1" s="1" t="s">
        <v>59</v>
      </c>
      <c r="T1" s="1" t="s">
        <v>60</v>
      </c>
    </row>
    <row r="2" spans="1:20" ht="15.6" x14ac:dyDescent="0.3">
      <c r="A2" s="1" t="s">
        <v>29</v>
      </c>
      <c r="B2" s="1" t="s">
        <v>30</v>
      </c>
      <c r="C2" s="1" t="s">
        <v>29</v>
      </c>
      <c r="D2" s="1" t="s">
        <v>32</v>
      </c>
      <c r="E2" s="1" t="s">
        <v>29</v>
      </c>
      <c r="F2" s="1" t="s">
        <v>33</v>
      </c>
      <c r="G2" s="1" t="s">
        <v>35</v>
      </c>
      <c r="H2" s="1" t="s">
        <v>44</v>
      </c>
      <c r="I2" s="1" t="s">
        <v>35</v>
      </c>
      <c r="J2" s="1" t="s">
        <v>45</v>
      </c>
    </row>
    <row r="3" spans="1:20" ht="15.6" x14ac:dyDescent="0.3">
      <c r="A3" s="1" t="s">
        <v>46</v>
      </c>
      <c r="B3" s="1" t="s">
        <v>47</v>
      </c>
      <c r="C3" s="1" t="s">
        <v>46</v>
      </c>
      <c r="D3" s="1" t="s">
        <v>32</v>
      </c>
      <c r="E3" s="1" t="s">
        <v>46</v>
      </c>
      <c r="F3" s="1" t="s">
        <v>49</v>
      </c>
      <c r="G3" s="1" t="s">
        <v>48</v>
      </c>
      <c r="H3" s="1" t="s">
        <v>50</v>
      </c>
      <c r="I3" s="1" t="s">
        <v>48</v>
      </c>
      <c r="J3" s="1" t="s">
        <v>51</v>
      </c>
      <c r="K3" s="1" t="s">
        <v>48</v>
      </c>
      <c r="L3" s="1" t="s">
        <v>52</v>
      </c>
      <c r="M3" s="1" t="s">
        <v>48</v>
      </c>
      <c r="N3" s="1" t="s">
        <v>53</v>
      </c>
      <c r="O3" s="1" t="s">
        <v>48</v>
      </c>
      <c r="P3" s="1" t="s">
        <v>56</v>
      </c>
      <c r="Q3" s="1" t="s">
        <v>61</v>
      </c>
      <c r="R3" t="s">
        <v>62</v>
      </c>
      <c r="S3" s="1" t="s">
        <v>61</v>
      </c>
      <c r="T3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F9FC-94AB-4028-948B-C821FF980A4B}">
  <dimension ref="A1:M2"/>
  <sheetViews>
    <sheetView workbookViewId="0">
      <selection activeCell="G2" sqref="G2"/>
    </sheetView>
  </sheetViews>
  <sheetFormatPr defaultRowHeight="14.4" x14ac:dyDescent="0.3"/>
  <cols>
    <col min="1" max="13" width="14.7773437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38</v>
      </c>
      <c r="K1" s="1" t="s">
        <v>39</v>
      </c>
      <c r="L1" s="1" t="s">
        <v>41</v>
      </c>
      <c r="M1" s="1" t="s">
        <v>42</v>
      </c>
    </row>
    <row r="2" spans="1:13" x14ac:dyDescent="0.3">
      <c r="A2" t="s">
        <v>116</v>
      </c>
      <c r="B2" t="s">
        <v>117</v>
      </c>
      <c r="C2" s="2" t="s">
        <v>116</v>
      </c>
      <c r="D2" t="s">
        <v>118</v>
      </c>
      <c r="E2" t="s">
        <v>116</v>
      </c>
      <c r="F2" t="s">
        <v>119</v>
      </c>
      <c r="G2" t="s">
        <v>120</v>
      </c>
      <c r="H2" t="s">
        <v>121</v>
      </c>
      <c r="I2" t="s">
        <v>122</v>
      </c>
      <c r="J2" t="s">
        <v>123</v>
      </c>
      <c r="K2" t="s">
        <v>124</v>
      </c>
      <c r="L2" t="s">
        <v>125</v>
      </c>
      <c r="M2" t="s">
        <v>126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E13" sqref="E13"/>
    </sheetView>
  </sheetViews>
  <sheetFormatPr defaultRowHeight="14.4" x14ac:dyDescent="0.3"/>
  <cols>
    <col min="1" max="1" width="11.33203125" customWidth="1"/>
    <col min="2" max="2" width="15.77734375" customWidth="1"/>
    <col min="3" max="3" width="12.5546875" customWidth="1"/>
    <col min="4" max="5" width="15.109375" customWidth="1"/>
    <col min="6" max="6" width="18.21875" customWidth="1"/>
    <col min="7" max="14" width="15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38</v>
      </c>
      <c r="K1" s="1" t="s">
        <v>39</v>
      </c>
      <c r="L1" s="1" t="s">
        <v>41</v>
      </c>
      <c r="M1" s="1" t="s">
        <v>42</v>
      </c>
      <c r="N1" s="1"/>
      <c r="O1" s="1"/>
      <c r="P1" s="1"/>
      <c r="Q1" s="1"/>
      <c r="R1" s="1"/>
      <c r="S1" s="1"/>
      <c r="T1" s="1"/>
    </row>
    <row r="2" spans="1:20" x14ac:dyDescent="0.3">
      <c r="A2" t="s">
        <v>70</v>
      </c>
      <c r="B2" t="s">
        <v>71</v>
      </c>
      <c r="C2" s="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72</v>
      </c>
      <c r="H2" t="str">
        <f>CONCATENATE("Footprints\Buttons\",I2,".PcbLib")</f>
        <v>Footprints\Buttons\Button_SMD_6x6.PcbLib</v>
      </c>
      <c r="I2" t="s">
        <v>73</v>
      </c>
    </row>
    <row r="3" spans="1:20" x14ac:dyDescent="0.3">
      <c r="A3" t="s">
        <v>75</v>
      </c>
      <c r="B3" t="s">
        <v>76</v>
      </c>
      <c r="C3" s="2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Footprints\LED_SMD.PcbLib</v>
      </c>
      <c r="G3" t="s">
        <v>74</v>
      </c>
    </row>
    <row r="4" spans="1:20" x14ac:dyDescent="0.3">
      <c r="A4" t="s">
        <v>77</v>
      </c>
      <c r="B4" t="s">
        <v>78</v>
      </c>
      <c r="C4" s="2" t="str">
        <f>A4</f>
        <v>XTAL</v>
      </c>
      <c r="D4" t="str">
        <f>CONCATENATE("Schematic\",A4,".SchLib")</f>
        <v>Schematic\XTAL.SchLib</v>
      </c>
      <c r="E4" t="str">
        <f>A4</f>
        <v>XTAL</v>
      </c>
    </row>
    <row r="5" spans="1:20" x14ac:dyDescent="0.3">
      <c r="A5" t="s">
        <v>79</v>
      </c>
      <c r="B5" t="s">
        <v>80</v>
      </c>
      <c r="C5" s="2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CONCATENATE("Footprints\",G5,".PcbLib")</f>
        <v>Footprints\QSMD3.2x2.5.PcbLib</v>
      </c>
      <c r="G5" t="s">
        <v>81</v>
      </c>
    </row>
    <row r="6" spans="1:20" x14ac:dyDescent="0.3">
      <c r="A6" t="s">
        <v>127</v>
      </c>
      <c r="B6" t="s">
        <v>128</v>
      </c>
      <c r="C6" s="2" t="str">
        <f>A6</f>
        <v>Schottky diode</v>
      </c>
      <c r="D6" t="str">
        <f>CONCATENATE("Schematic\",A6,".SchLib")</f>
        <v>Schematic\Schottky diode.SchLib</v>
      </c>
      <c r="E6" t="str">
        <f>A6</f>
        <v>Schottky diode</v>
      </c>
      <c r="F6" t="str">
        <f>CONCATENATE("Footprints\",G6,".PcbLib")</f>
        <v>Footprints\SMA.PcbLib</v>
      </c>
      <c r="G6" t="s">
        <v>129</v>
      </c>
      <c r="H6" t="str">
        <f>CONCATENATE("Footprints\",I6,".PcbLib")</f>
        <v>Footprints\SMB.PcbLib</v>
      </c>
      <c r="I6" t="s">
        <v>130</v>
      </c>
      <c r="J6" t="str">
        <f>CONCATENATE("Footprints\",K6,".PcbLib")</f>
        <v>Footprints\SMC.PcbLib</v>
      </c>
      <c r="K6" t="s">
        <v>131</v>
      </c>
      <c r="L6" t="str">
        <f>CONCATENATE("Footprints\",M6,".PcbLib")</f>
        <v>Footprints\SOD-323.PcbLib</v>
      </c>
      <c r="M6" t="s">
        <v>89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5"/>
  <sheetViews>
    <sheetView workbookViewId="0">
      <selection activeCell="F8" sqref="F8"/>
    </sheetView>
  </sheetViews>
  <sheetFormatPr defaultRowHeight="14.4" x14ac:dyDescent="0.3"/>
  <cols>
    <col min="1" max="1" width="13.21875" customWidth="1"/>
    <col min="2" max="2" width="12.6640625" customWidth="1"/>
    <col min="3" max="3" width="13.21875" customWidth="1"/>
    <col min="4" max="4" width="11.5546875" customWidth="1"/>
    <col min="5" max="5" width="12.21875" customWidth="1"/>
    <col min="6" max="6" width="22.88671875" customWidth="1"/>
    <col min="7" max="7" width="13.1093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t="s">
        <v>82</v>
      </c>
      <c r="B2" t="s">
        <v>83</v>
      </c>
      <c r="C2" s="2" t="str">
        <f>A2</f>
        <v>IDC-10</v>
      </c>
      <c r="D2" t="str">
        <f>CONCATENATE("Schematic\Connectors\",A2,".SchLib")</f>
        <v>Schematic\Connectors\IDC-10.SchLib</v>
      </c>
      <c r="E2" t="str">
        <f>A2</f>
        <v>IDC-10</v>
      </c>
      <c r="F2" t="str">
        <f>CONCATENATE("Footprints\Connectors\",G2,".PcbLib")</f>
        <v>Footprints\Connectors\IDC-10.PcbLib</v>
      </c>
      <c r="G2" t="str">
        <f>A2</f>
        <v>IDC-10</v>
      </c>
    </row>
    <row r="3" spans="1:9" x14ac:dyDescent="0.3">
      <c r="A3" t="s">
        <v>84</v>
      </c>
      <c r="B3" t="s">
        <v>83</v>
      </c>
      <c r="C3" s="2" t="str">
        <f>A3</f>
        <v>D-SUB-26</v>
      </c>
      <c r="D3" t="str">
        <f>CONCATENATE("Schematic\Connectors\",A3,".SchLib")</f>
        <v>Schematic\Connectors\D-SUB-26.SchLib</v>
      </c>
      <c r="E3" t="str">
        <f>A3</f>
        <v>D-SUB-26</v>
      </c>
      <c r="F3" t="str">
        <f>CONCATENATE("Footprints\Connectors\",G3,".PcbLib")</f>
        <v>Footprints\Connectors\D-SUB-26.PcbLib</v>
      </c>
      <c r="G3" t="str">
        <f>A3</f>
        <v>D-SUB-26</v>
      </c>
    </row>
    <row r="4" spans="1:9" x14ac:dyDescent="0.3">
      <c r="A4" t="s">
        <v>132</v>
      </c>
      <c r="B4" t="s">
        <v>133</v>
      </c>
      <c r="D4" t="str">
        <f t="shared" ref="D4:D5" si="0">CONCATENATE("Schematic\Connectors\",A4,".SchLib")</f>
        <v>Schematic\Connectors\PLS4.SchLib</v>
      </c>
      <c r="E4" t="str">
        <f t="shared" ref="E4:E5" si="1">A4</f>
        <v>PLS4</v>
      </c>
      <c r="F4" t="str">
        <f t="shared" ref="F4:F5" si="2">CONCATENATE("Footprints\Connectors\",G4,".PcbLib")</f>
        <v>Footprints\Connectors\PLS4.PcbLib</v>
      </c>
      <c r="G4" t="str">
        <f t="shared" ref="G4:G5" si="3">A4</f>
        <v>PLS4</v>
      </c>
    </row>
    <row r="5" spans="1:9" x14ac:dyDescent="0.3">
      <c r="A5" t="s">
        <v>134</v>
      </c>
      <c r="B5" t="s">
        <v>135</v>
      </c>
      <c r="D5" t="str">
        <f t="shared" si="0"/>
        <v>Schematic\Connectors\CWF-5.SchLib</v>
      </c>
      <c r="E5" t="str">
        <f t="shared" si="1"/>
        <v>CWF-5</v>
      </c>
      <c r="F5" t="str">
        <f t="shared" si="2"/>
        <v>Footprints\Connectors\CWF-5.PcbLib</v>
      </c>
      <c r="G5" t="str">
        <f t="shared" si="3"/>
        <v>CWF-5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Chips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2024-10-18T14:05:42Z</dcterms:modified>
</cp:coreProperties>
</file>