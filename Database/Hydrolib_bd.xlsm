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ECA5D328-0261-48CA-B7C7-344C3D4B8212}" xr6:coauthVersionLast="47" xr6:coauthVersionMax="47" xr10:uidLastSave="{00000000-0000-0000-0000-000000000000}"/>
  <bookViews>
    <workbookView xWindow="-110" yWindow="-110" windowWidth="25820" windowHeight="15500" firstSheet="7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1" i="1" l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<sst xmlns="http://schemas.openxmlformats.org/spreadsheetml/2006/main" count="3376" uniqueCount="1398">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</sst>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</cellXfs>
  <cellStyles count="2">
    <cellStyle name="Гиперссылка" xfId="1" builtinId="8"/>
    <cellStyle name="Обычный" xfId="0" builtinId="0"/>
  </cellStyles>
  <dxfs count="138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51" tableType="xml" totalsRowShown="0" headerRowDxfId="1" connectionId="6">
  <autoFilter ref="A1:L51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0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7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6">
      <xmlColumnPr mapId="30" xpath="/Schottky/Part/VoltageNominal_V" xmlDataType="string"/>
    </tableColumn>
    <tableColumn id="9" xr3:uid="{431126AD-34DC-40A1-9CB6-D627B7878BEA}" uniqueName="Current_A" name="Current (A)" dataDxfId="135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4" connectionId="19">
  <autoFilter ref="A1:L11" xr:uid="{35EAFB53-5120-48E8-B7CF-F527619EF3EB}"/>
  <tableColumns count="12">
    <tableColumn id="1" xr3:uid="{8FF51BCB-1CBC-41C4-B0E3-6994AEB249EF}" uniqueName="PartNumber" name="Part Number" dataDxfId="133">
      <xmlColumnPr mapId="6" xpath="/TVS/Part/PartNumber" xmlDataType="string"/>
    </tableColumn>
    <tableColumn id="2" xr3:uid="{254709FF-71DC-4C18-A11E-3F482A74905F}" uniqueName="Description" name="Description" dataDxfId="132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1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0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9">
      <xmlColumnPr mapId="6" xpath="/TVS/Part/LibraryRef" xmlDataType="string"/>
    </tableColumn>
    <tableColumn id="6" xr3:uid="{C5C7E783-B9B8-469C-B255-FC24F12E71DC}" uniqueName="FootprintPath1" name="Footprint Path 1" dataDxfId="128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7">
      <xmlColumnPr mapId="6" xpath="/TVS/Part/FootprintRef1" xmlDataType="string"/>
    </tableColumn>
    <tableColumn id="8" xr3:uid="{16B3AEE3-BEA7-4870-9494-F8A0EC5E9CCD}" uniqueName="VoltageNominal" name="Voltage nominal (V)" dataDxfId="126">
      <xmlColumnPr mapId="6" xpath="/TVS/Part/VoltageNominal" xmlDataType="string"/>
    </tableColumn>
    <tableColumn id="9" xr3:uid="{7DDE345A-D145-4A55-B781-91F88095B1FE}" uniqueName="Power" name="Power (W)" dataDxfId="125">
      <xmlColumnPr mapId="6" xpath="/TVS/Part/Power" xmlDataType="string"/>
    </tableColumn>
    <tableColumn id="10" xr3:uid="{EBB777BC-3BC6-4EF4-AC63-F94C7CFCFC0E}" uniqueName="Value" name="Value" dataDxfId="124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3">
      <xmlColumnPr mapId="6" xpath="/TVS/Part/Inteface" xmlDataType="string"/>
    </tableColumn>
    <tableColumn id="12" xr3:uid="{2FC69434-3445-47B6-BAFF-5BDCB5CA78D9}" uniqueName="12" name="Datasheet" dataDxfId="1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21" connectionId="18">
  <autoFilter ref="A1:L15" xr:uid="{11DAD5D3-6841-4BFD-8583-65DE6E00D680}"/>
  <tableColumns count="12">
    <tableColumn id="1" xr3:uid="{59488B22-9EFD-4960-9418-72616CC8F6CC}" uniqueName="PartNumber" name="Part Number" dataDxfId="120">
      <xmlColumnPr mapId="8" xpath="/Transistors/Part/PartNumber" xmlDataType="string"/>
    </tableColumn>
    <tableColumn id="2" xr3:uid="{B6051881-2BC5-4D5F-9AEE-A86DF4412A4C}" uniqueName="Description" name="Description" dataDxfId="119">
      <xmlColumnPr mapId="8" xpath="/Transistors/Part/Description" xmlDataType="string"/>
    </tableColumn>
    <tableColumn id="3" xr3:uid="{377CEA9C-B3A1-4F57-920A-BA1AC9164370}" uniqueName="Comment" name="Comment" dataDxfId="118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7">
      <xmlColumnPr mapId="8" xpath="/Transistors/Part/LibraryPath" xmlDataType="string"/>
    </tableColumn>
    <tableColumn id="5" xr3:uid="{02693066-D721-4B47-BEE5-D678B96A10FB}" uniqueName="LibraryRef" name="Library Ref" dataDxfId="116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5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4" dataDxfId="113" connectionId="14">
  <autoFilter ref="A1:N181" xr:uid="{02061886-A591-4FD8-8C5B-3D1D2DB1F417}"/>
  <tableColumns count="14">
    <tableColumn id="1" xr3:uid="{1DE1C76C-B7F9-47FB-9EB0-156A2D87FD9E}" uniqueName="PartNumber" name="Part Number" dataDxfId="112">
      <xmlColumnPr mapId="38" xpath="/Resistors/Part/PartNumber" xmlDataType="string"/>
    </tableColumn>
    <tableColumn id="2" xr3:uid="{64E60790-EB9B-4A0D-B52C-7CB5A6F82DE8}" uniqueName="Description" name="Description" dataDxfId="111">
      <xmlColumnPr mapId="38" xpath="/Resistors/Part/Description" xmlDataType="string"/>
    </tableColumn>
    <tableColumn id="3" xr3:uid="{497E7478-3EE2-4F8D-A572-C738B7321387}" uniqueName="Comment" name="Comment" dataDxfId="110">
      <xmlColumnPr mapId="38" xpath="/Resistors/Part/Comment" xmlDataType="string"/>
    </tableColumn>
    <tableColumn id="4" xr3:uid="{255B034D-70D9-458C-8FA7-FEB8317A497F}" uniqueName="LibraryPath" name="Library Path" dataDxfId="109">
      <xmlColumnPr mapId="38" xpath="/Resistors/Part/LibraryPath" xmlDataType="string"/>
    </tableColumn>
    <tableColumn id="5" xr3:uid="{A3865419-9EA5-4AAA-B07F-FF52D437DC02}" uniqueName="LibraryRef" name="Library Ref" dataDxfId="108">
      <xmlColumnPr mapId="38" xpath="/Resistors/Part/LibraryRef" xmlDataType="string"/>
    </tableColumn>
    <tableColumn id="6" xr3:uid="{CE64E0F7-2F9E-477F-8D1B-040D90CB5685}" uniqueName="Value" name="Value" dataDxfId="107">
      <xmlColumnPr mapId="38" xpath="/Resistors/Part/Value" xmlDataType="string"/>
    </tableColumn>
    <tableColumn id="7" xr3:uid="{41F7703B-5A2D-47F6-B9C9-B9D386FC3CF8}" uniqueName="Tolerance" name="Tolerance" dataDxfId="106">
      <xmlColumnPr mapId="38" xpath="/Resistors/Part/Tolerance" xmlDataType="double"/>
    </tableColumn>
    <tableColumn id="8" xr3:uid="{429E7452-DB30-417B-B5E7-8F2AA238A5A4}" uniqueName="FootprintPath1" name="Footprint Path 1" dataDxfId="105">
      <xmlColumnPr mapId="38" xpath="/Resistors/Part/FootprintPath1" xmlDataType="string"/>
    </tableColumn>
    <tableColumn id="9" xr3:uid="{298A4272-57F5-45C2-AFCD-965909B2DD40}" uniqueName="FootprintRef1" name="Footprint Ref 1" dataDxfId="104">
      <xmlColumnPr mapId="38" xpath="/Resistors/Part/FootprintRef1" xmlDataType="string"/>
    </tableColumn>
    <tableColumn id="10" xr3:uid="{0DFE9A6B-806A-476A-90DD-58A133FB25CD}" uniqueName="10" name="Footprint Path 2" dataDxfId="103"/>
    <tableColumn id="11" xr3:uid="{5972F9B7-4E29-40F8-85A0-ADFB6C3B63D0}" uniqueName="11" name="Footprint Ref 2" dataDxfId="102"/>
    <tableColumn id="12" xr3:uid="{2BA89A40-2C66-4CDA-B275-A463CA193B24}" uniqueName="12" name="Footprint Path 3" dataDxfId="101"/>
    <tableColumn id="13" xr3:uid="{EB6CB4D4-35E1-4CE3-A4E3-74A449E2B85B}" uniqueName="13" name="Footprint Ref 3" dataDxfId="100"/>
    <tableColumn id="14" xr3:uid="{B126E269-CC34-4371-BF7F-84DF0C0ADEDC}" uniqueName="14" name="Datasheet" dataDxfId="9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8" connectionId="12">
  <autoFilter ref="A1:K3" xr:uid="{A29CC993-9C97-4A73-9D5A-85F4F6169F0D}"/>
  <tableColumns count="11">
    <tableColumn id="1" xr3:uid="{E7E6BB90-3474-4E90-9662-90728792951F}" uniqueName="PartNumber" name="Part Number" dataDxfId="97">
      <xmlColumnPr mapId="84" xpath="/Rectifier_diodes/Part/PartNumber" xmlDataType="string"/>
    </tableColumn>
    <tableColumn id="2" xr3:uid="{98A92000-AA1B-456E-BA64-C1F29B956DE5}" uniqueName="Description" name="Description" dataDxfId="96">
      <xmlColumnPr mapId="84" xpath="/Rectifier_diodes/Part/Description" xmlDataType="string"/>
    </tableColumn>
    <tableColumn id="3" xr3:uid="{B4AB4090-17C1-4AE7-9CAE-97918340114E}" uniqueName="Comment" name="Comment" dataDxfId="95">
      <xmlColumnPr mapId="84" xpath="/Rectifier_diodes/Part/Comment" xmlDataType="string"/>
    </tableColumn>
    <tableColumn id="4" xr3:uid="{37B831E9-0546-4F3D-869B-DCA849A60D6D}" uniqueName="LibraryPath" name="Library Path" dataDxfId="94">
      <xmlColumnPr mapId="84" xpath="/Rectifier_diodes/Part/LibraryPath" xmlDataType="string"/>
    </tableColumn>
    <tableColumn id="5" xr3:uid="{D6CB281C-3F3F-4F98-A962-C06645057757}" uniqueName="LibraryRef" name="Library Ref" dataDxfId="93">
      <xmlColumnPr mapId="84" xpath="/Rectifier_diodes/Part/LibraryRef" xmlDataType="string"/>
    </tableColumn>
    <tableColumn id="6" xr3:uid="{A8BCEECB-ED11-4B88-BF6F-96CF63D897BC}" uniqueName="FootprintPath1" name="Footprint Path 1" dataDxfId="92">
      <xmlColumnPr mapId="84" xpath="/Rectifier_diodes/Part/FootprintPath1" xmlDataType="string"/>
    </tableColumn>
    <tableColumn id="7" xr3:uid="{7B9CD19C-2EC8-4C56-940C-1504C11DD55E}" uniqueName="FootprintRef1" name="Footprint Ref 1" dataDxfId="91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0">
      <xmlColumnPr mapId="84" xpath="/Rectifier_diodes/Part/RepetitivePeakReverseVoltage" xmlDataType="string"/>
    </tableColumn>
    <tableColumn id="9" xr3:uid="{EB5ACFA6-079B-4694-9B63-C1A08D4A6545}" uniqueName="Current" name="Current (A)" dataDxfId="89">
      <xmlColumnPr mapId="84" xpath="/Rectifier_diodes/Part/Current" xmlDataType="string"/>
    </tableColumn>
    <tableColumn id="10" xr3:uid="{A56E2E46-8996-40FE-9125-8C74FA00102E}" uniqueName="Power" name="Power (W)" dataDxfId="88">
      <xmlColumnPr mapId="84" xpath="/Rectifier_diodes/Part/Power" xmlDataType="string"/>
    </tableColumn>
    <tableColumn id="14" xr3:uid="{97A2782D-2BBA-490A-A60F-15D84AFDCD53}" uniqueName="0" name="Datasheet" dataDxfId="8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6" dataDxfId="85" connectionId="1">
  <autoFilter ref="A1:U3" xr:uid="{1041C5C1-00FD-47DC-8B7C-9DEBE212D9D4}"/>
  <tableColumns count="21">
    <tableColumn id="1" xr3:uid="{55BDD111-6381-449E-BF2B-3FEC8107762D}" uniqueName="PartNumber" name="Part Number" dataDxfId="84">
      <xmlColumnPr mapId="18" xpath="/Capacitors/Part/PartNumber" xmlDataType="string"/>
    </tableColumn>
    <tableColumn id="2" xr3:uid="{0D3E1F2C-B0CC-4A36-A41B-2F2DAEC98E3B}" uniqueName="Description" name="Description" dataDxfId="83">
      <xmlColumnPr mapId="18" xpath="/Capacitors/Part/Description" xmlDataType="string"/>
    </tableColumn>
    <tableColumn id="3" xr3:uid="{16739D52-8082-4E8D-B1E1-B82F60766E2A}" uniqueName="Comment" name="Comment" dataDxfId="82">
      <xmlColumnPr mapId="18" xpath="/Capacitors/Part/Comment" xmlDataType="string"/>
    </tableColumn>
    <tableColumn id="4" xr3:uid="{AC1F3F2E-0C78-451D-9178-0A9D15C49726}" uniqueName="LibraryPath" name="Library Path" dataDxfId="81">
      <xmlColumnPr mapId="18" xpath="/Capacitors/Part/LibraryPath" xmlDataType="string"/>
    </tableColumn>
    <tableColumn id="5" xr3:uid="{9169ABA3-E41E-40E0-B785-3D3B749D70BB}" uniqueName="LibraryRef" name="Library Ref" dataDxfId="80">
      <xmlColumnPr mapId="18" xpath="/Capacitors/Part/LibraryRef" xmlDataType="string"/>
    </tableColumn>
    <tableColumn id="6" xr3:uid="{01EADD2D-36E6-41EE-B894-B537CCE6649E}" uniqueName="Value" name="Value" dataDxfId="79">
      <xmlColumnPr mapId="18" xpath="/Capacitors/Part/Value" xmlDataType="string"/>
    </tableColumn>
    <tableColumn id="7" xr3:uid="{EC779EF2-47DD-4E8F-A8D2-159E83C79180}" uniqueName="FootprintPath1" name="Footprint Path 1" dataDxfId="78">
      <xmlColumnPr mapId="18" xpath="/Capacitors/Part/FootprintPath1" xmlDataType="string"/>
    </tableColumn>
    <tableColumn id="8" xr3:uid="{C244A49A-3E6F-4B22-983D-FFA97DB3DFF6}" uniqueName="FootprintRef1" name="Footprint Ref 1" dataDxfId="77">
      <xmlColumnPr mapId="18" xpath="/Capacitors/Part/FootprintRef1" xmlDataType="string"/>
    </tableColumn>
    <tableColumn id="9" xr3:uid="{85136BD9-A68F-40E0-9A6F-E71ECA929F04}" uniqueName="FootprintPath2" name="Footprint Path 2" dataDxfId="76">
      <xmlColumnPr mapId="18" xpath="/Capacitors/Part/FootprintPath2" xmlDataType="string"/>
    </tableColumn>
    <tableColumn id="10" xr3:uid="{9FB3A5B2-04CB-44F8-A289-C2FB25F43941}" uniqueName="FootprintRef2" name="Footprint Ref 2" dataDxfId="75">
      <xmlColumnPr mapId="18" xpath="/Capacitors/Part/FootprintRef2" xmlDataType="string"/>
    </tableColumn>
    <tableColumn id="11" xr3:uid="{50FA7750-FC9E-444C-8D52-C6B51BBD63C1}" uniqueName="FootprintPath3" name="Footprint Path 3" dataDxfId="74">
      <xmlColumnPr mapId="18" xpath="/Capacitors/Part/FootprintPath3" xmlDataType="string"/>
    </tableColumn>
    <tableColumn id="12" xr3:uid="{CB4B7F73-4E19-42EF-9940-4C2907529981}" uniqueName="FootprintRef3" name="Footprint Ref 3" dataDxfId="73">
      <xmlColumnPr mapId="18" xpath="/Capacitors/Part/FootprintRef3" xmlDataType="string"/>
    </tableColumn>
    <tableColumn id="13" xr3:uid="{6B23463C-82AA-426D-ACBC-49A19C1D46FA}" uniqueName="FootprintPath4" name="Footprint Path 4" dataDxfId="72">
      <xmlColumnPr mapId="18" xpath="/Capacitors/Part/FootprintPath4" xmlDataType="string"/>
    </tableColumn>
    <tableColumn id="14" xr3:uid="{AD691620-AB1F-42E2-B1E4-053F5C2B80E9}" uniqueName="FootprintRef4" name="Footprint Ref 4" dataDxfId="71">
      <xmlColumnPr mapId="18" xpath="/Capacitors/Part/FootprintRef4" xmlDataType="string"/>
    </tableColumn>
    <tableColumn id="15" xr3:uid="{FD0F620C-73A8-49FB-B6E9-F06F81ED3185}" uniqueName="FootprintPath5" name="Footprint Path 5" dataDxfId="70">
      <xmlColumnPr mapId="18" xpath="/Capacitors/Part/FootprintPath5" xmlDataType="string"/>
    </tableColumn>
    <tableColumn id="16" xr3:uid="{F3B1D3FD-D16A-41B6-BA7D-FAFB3CCAEEC4}" uniqueName="FootprintRef5" name="Footprint Ref 5" dataDxfId="69">
      <xmlColumnPr mapId="18" xpath="/Capacitors/Part/FootprintRef5" xmlDataType="string"/>
    </tableColumn>
    <tableColumn id="17" xr3:uid="{130B1CD3-35EC-447E-93DF-ED8F8DC7A59A}" uniqueName="FootprintPath6" name="Footprint Path 6" dataDxfId="68">
      <xmlColumnPr mapId="18" xpath="/Capacitors/Part/FootprintPath6" xmlDataType="string"/>
    </tableColumn>
    <tableColumn id="18" xr3:uid="{77AF5D99-AE0B-40E5-8972-14E04BB93BB4}" uniqueName="FootprintRef6" name="Footprint Ref 6" dataDxfId="67">
      <xmlColumnPr mapId="18" xpath="/Capacitors/Part/FootprintRef6" xmlDataType="string"/>
    </tableColumn>
    <tableColumn id="19" xr3:uid="{6809872D-01AC-4EF6-B33F-6B8DA2D054C9}" uniqueName="FootprintPath7" name="Footprint Path 7" dataDxfId="66">
      <xmlColumnPr mapId="18" xpath="/Capacitors/Part/FootprintPath7" xmlDataType="string"/>
    </tableColumn>
    <tableColumn id="20" xr3:uid="{352E5BAE-89D3-4F1C-AA92-CDC22EDD2B11}" uniqueName="FootprintRef7" name="Footprint Ref 7" dataDxfId="65">
      <xmlColumnPr mapId="18" xpath="/Capacitors/Part/FootprintRef7" xmlDataType="string"/>
    </tableColumn>
    <tableColumn id="21" xr3:uid="{A4B57C00-6D54-4DAD-902D-06A5DE02018A}" uniqueName="21" name="Datasheet" dataDxfId="6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3" headerRowBorderDxfId="62" tableBorderDxfId="61" connectionId="2">
  <autoFilter ref="A1:N47" xr:uid="{327E2CF9-785D-47F4-832A-C43F8CC576C1}"/>
  <tableColumns count="14">
    <tableColumn id="1" xr3:uid="{2D0493C6-3702-49E5-A0C3-4E2E8E195E17}" uniqueName="PartNumber" name="Part Number" dataDxfId="60">
      <xmlColumnPr mapId="43" xpath="/Capacitors_ceramic/Part/PartNumber" xmlDataType="string"/>
    </tableColumn>
    <tableColumn id="2" xr3:uid="{3FA58AD0-DEA9-402B-AF51-421884AC47BB}" uniqueName="Description" name="Description" dataDxfId="59">
      <calculatedColumnFormula>CONCATENATE("Конденсатор ",L2," ёмкостью ",G2, " ", H2, ", ",I2," В, ",J2)</calculatedColumnFormula>
      <xmlColumnPr mapId="43" xpath="/Capacitors_ceramic/Part/Description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5" xr3:uid="{140603B1-BC32-4AD5-86F2-E6EF9CFD08BC}" uniqueName="LibraryRef" name="Comment" dataDxfId="57">
      <xmlColumnPr mapId="43" xpath="/Capacitors_ceramic/Part/LibraryRef" xmlDataType="string"/>
    </tableColumn>
    <tableColumn id="6" xr3:uid="{BE700CC2-03BD-4386-A2EC-27DBA3DED288}" uniqueName="Value" name="Library Path2" dataDxfId="56">
      <xmlColumnPr mapId="43" xpath="/Capacitors_ceramic/Part/Value" xmlDataType="string"/>
    </tableColumn>
    <tableColumn id="7" xr3:uid="{825A321C-E6A0-4EAF-AEC4-F451D6437D35}" uniqueName="Tolerance" name="Library Ref" dataDxfId="55">
      <xmlColumnPr mapId="43" xpath="/Capacitors_ceramic/Part/Tolerance" xmlDataType="double"/>
    </tableColumn>
    <tableColumn id="8" xr3:uid="{6BBE44D9-FFC5-457D-8041-DAABC8C7BA50}" uniqueName="Voltage" name="Value" dataDxfId="54">
      <xmlColumnPr mapId="43" xpath="/Capacitors_ceramic/Part/Voltage" xmlDataType="integer"/>
    </tableColumn>
    <tableColumn id="9" xr3:uid="{40615D5C-FAC6-4DE7-AD52-985B05512BA6}" uniqueName="Dielectric" name="Tolerance" dataDxfId="53">
      <xmlColumnPr mapId="43" xpath="/Capacitors_ceramic/Part/Dielectric" xmlDataType="string"/>
    </tableColumn>
    <tableColumn id="10" xr3:uid="{A0E5BE7F-C8F6-4C6F-887E-2AC1E17340A3}" uniqueName="FootprintPath1" name="Voltage (V)" dataDxfId="52">
      <xmlColumnPr mapId="43" xpath="/Capacitors_ceramic/Part/FootprintPath1" xmlDataType="string"/>
    </tableColumn>
    <tableColumn id="11" xr3:uid="{1125B898-8A5A-4932-9E6A-70BE1D0B17C2}" uniqueName="FootprintRef1" name="Dielectric" dataDxfId="51">
      <xmlColumnPr mapId="43" xpath="/Capacitors_ceramic/Part/FootprintRef1" xmlDataType="string"/>
    </tableColumn>
    <tableColumn id="12" xr3:uid="{A0B20E33-F9DE-4128-B3C1-A5F5EF419A6A}" uniqueName="Capacity" name="Footprint Path 1" dataDxfId="50">
      <xmlColumnPr mapId="43" xpath="/Capacitors_ceramic/Part/Capacity" xmlDataType="double"/>
    </tableColumn>
    <tableColumn id="3" xr3:uid="{3CA4A3C4-175F-4D31-8C1D-DB8BDFEC6751}" uniqueName="3" name="Footprint Ref 1" dataDxfId="49"/>
    <tableColumn id="13" xr3:uid="{AC6DF023-DF8E-4431-956C-EF5B1E686C64}" uniqueName="13" name="Capacity (nF)" dataDxfId="48"/>
    <tableColumn id="14" xr3:uid="{F581E0EF-A6A3-43F4-9E9D-EE0565B490AB}" uniqueName="14" name="Datasheet" dataDxfId="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6" headerRowBorderDxfId="45" tableBorderDxfId="44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3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2"/>
    <tableColumn id="7" xr3:uid="{49B409CD-94AC-4F2C-BC5E-E8FF519C8D6F}" uniqueName="FootprintRef1" name="Library Ref" dataDxfId="41"/>
    <tableColumn id="8" xr3:uid="{71017A8D-C83B-4D64-80AC-6C5EC84419D6}" uniqueName="FootprintPath1" name="Footprint Path 1" dataDxfId="40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9">
      <xmlColumnPr mapId="66" xpath="/Inductance/Part/FootprintRef1" xmlDataType="string"/>
    </tableColumn>
    <tableColumn id="10" xr3:uid="{14D45471-DB98-4B30-AE3F-A5F2151147AD}" uniqueName="FootprintPath2" name="Footprint Path 2" dataDxfId="38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7">
      <xmlColumnPr mapId="66" xpath="/Inductance/Part/FootprintRef2" xmlDataType="string"/>
    </tableColumn>
    <tableColumn id="12" xr3:uid="{32F2E3FF-9422-4CF5-B324-9B3A82F8F97B}" uniqueName="FootprintPath3" name="Footprint Path 3" dataDxfId="36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5">
      <xmlColumnPr mapId="66" xpath="/Inductance/Part/FootprintRef3" xmlDataType="string"/>
    </tableColumn>
    <tableColumn id="14" xr3:uid="{182C547A-FB6B-4C10-86F9-E53125E130E2}" uniqueName="FootprintPath4" name="Footprint Path 4" dataDxfId="34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3">
      <xmlColumnPr mapId="66" xpath="/Inductance/Part/FootprintRef4" xmlDataType="string"/>
    </tableColumn>
    <tableColumn id="4" xr3:uid="{CA7AF69B-83D2-4752-8493-BAD0C62EE720}" uniqueName="Inductance" name="Inductance (μH)" dataDxfId="32">
      <xmlColumnPr mapId="66" xpath="/Inductance/Part/Inductance" xmlDataType="string"/>
    </tableColumn>
    <tableColumn id="5" xr3:uid="{C2963412-5B9C-4A2F-B88B-CC5D53C10CE2}" uniqueName="Current" name="Current (A)" dataDxfId="31">
      <xmlColumnPr mapId="66" xpath="/Inductance/Part/Current" xmlDataType="string"/>
    </tableColumn>
    <tableColumn id="16" xr3:uid="{CFC80C7F-7597-4120-91B5-A73734ECE731}" uniqueName="Value" name="Value" dataDxfId="30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9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8">
      <xmlColumnPr mapId="81" xpath="/Thyristors/Part/LibraryPath" xmlDataType="string"/>
    </tableColumn>
    <tableColumn id="7" xr3:uid="{80B3F569-C3F5-47F7-8D7B-28E201DA2617}" uniqueName="LibraryRef" name="Library Ref" dataDxfId="27">
      <xmlColumnPr mapId="81" xpath="/Thyristors/Part/LibraryRef" xmlDataType="string"/>
    </tableColumn>
    <tableColumn id="8" xr3:uid="{89EB4D75-A298-4A70-95A0-C55A38516DD5}" uniqueName="FootprintPath1" name="Footprint Path 1" dataDxfId="26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5">
      <xmlColumnPr mapId="81" xpath="/Thyristors/Part/FootprintRef1" xmlDataType="string"/>
    </tableColumn>
    <tableColumn id="10" xr3:uid="{9EE91FEA-9669-439B-8C30-DE7C5C8EDEAC}" uniqueName="FootprintPath2" name="Footprint Path 2" dataDxfId="24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3">
      <xmlColumnPr mapId="81" xpath="/Thyristors/Part/FootprintRef2" xmlDataType="string"/>
    </tableColumn>
    <tableColumn id="12" xr3:uid="{FBA8999D-4F5F-4375-B94D-80D73962B6E9}" uniqueName="Voltage" name="Напряжение" dataDxfId="22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1">
      <xmlColumnPr mapId="81" xpath="/Thyristors/Part/Current" xmlDataType="string"/>
    </tableColumn>
    <tableColumn id="14" xr3:uid="{DB8175AF-F0C6-47C1-8F0E-9BE83B53E316}" uniqueName="Power" name="Datasheet" dataDxfId="20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7" tableType="xml" totalsRowShown="0" headerRowDxfId="19" dataDxfId="18" connectionId="11">
  <autoFilter ref="A1:L17" xr:uid="{071F457A-0F82-4CD6-80C4-65E86DBEF353}"/>
  <tableColumns count="12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Datasheet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5" tableType="xml" totalsRowShown="0" headerRowDxfId="5" connectionId="7">
  <autoFilter ref="A1:K55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4">
      <xmlColumnPr mapId="12" xpath="/Connectors/Part/Comment" xmlDataType="string"/>
    </tableColumn>
    <tableColumn id="4" xr3:uid="{380EC291-D984-459A-9EA9-43539735BE21}" uniqueName="LibraryPath" name="Library Path" dataDxfId="3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2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18" zoomScale="85" zoomScaleNormal="85" workbookViewId="0">
      <selection activeCell="A52" sqref="A52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  <col min="12" max="12" width="13.17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948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1207</v>
      </c>
    </row>
    <row r="14" spans="1:20" x14ac:dyDescent="0.35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5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5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5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5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5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5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5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5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5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5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5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5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5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5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5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5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5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5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5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5">
      <c r="A36" t="s">
        <v>910</v>
      </c>
      <c r="B36" t="s">
        <v>911</v>
      </c>
      <c r="C36" s="2" t="str">
        <f>A36</f>
        <v>LTV354T</v>
      </c>
      <c r="D36" t="str">
        <f>CONCATENATE("Schematic\",E36,".SchLib")</f>
        <v>Schematic\LTV354.SchLib</v>
      </c>
      <c r="E36" t="s">
        <v>909</v>
      </c>
      <c r="F36" t="str">
        <f>CONCATENATE("Footprints\",G36,".PcbLib")</f>
        <v>Footprints\SOP4-2_54.PcbLib</v>
      </c>
      <c r="G36" t="s">
        <v>912</v>
      </c>
    </row>
    <row r="37" spans="1:12" x14ac:dyDescent="0.35">
      <c r="A37" t="s">
        <v>947</v>
      </c>
      <c r="B37" t="s">
        <v>946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948</v>
      </c>
    </row>
    <row r="38" spans="1:12" x14ac:dyDescent="0.35">
      <c r="A38" t="s">
        <v>1038</v>
      </c>
      <c r="B38" t="s">
        <v>1039</v>
      </c>
      <c r="C38" s="2" t="str">
        <f t="shared" ref="C38" si="15">A38</f>
        <v>USB2514BM2</v>
      </c>
      <c r="D38" t="s">
        <v>1132</v>
      </c>
      <c r="E38" s="2" t="s">
        <v>1038</v>
      </c>
      <c r="F38" t="str">
        <f>CONCATENATE("Footprints\",G38,".PcbLib")</f>
        <v>Footprints\VFQFN-36.PcbLib</v>
      </c>
      <c r="G38" t="s">
        <v>1040</v>
      </c>
    </row>
    <row r="39" spans="1:12" x14ac:dyDescent="0.35">
      <c r="A39" t="s">
        <v>1041</v>
      </c>
      <c r="B39" t="s">
        <v>1042</v>
      </c>
      <c r="C39" s="2" t="s">
        <v>1041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1043</v>
      </c>
    </row>
    <row r="40" spans="1:12" x14ac:dyDescent="0.35">
      <c r="A40" t="s">
        <v>1044</v>
      </c>
      <c r="B40" t="s">
        <v>1201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1045</v>
      </c>
    </row>
    <row r="41" spans="1:12" x14ac:dyDescent="0.35">
      <c r="A41" t="s">
        <v>1046</v>
      </c>
      <c r="B41" t="s">
        <v>1200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1198</v>
      </c>
      <c r="L41" t="s">
        <v>1202</v>
      </c>
    </row>
    <row r="42" spans="1:12" x14ac:dyDescent="0.35">
      <c r="A42" t="s">
        <v>1047</v>
      </c>
      <c r="B42" t="s">
        <v>1048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1049</v>
      </c>
      <c r="F42" t="str">
        <f>CONCATENATE("Footprints\",G27,".PcbLib")</f>
        <v>Footprints\SOT23-6.PcbLib</v>
      </c>
      <c r="G42" t="s">
        <v>52</v>
      </c>
    </row>
    <row r="43" spans="1:12" x14ac:dyDescent="0.35">
      <c r="A43" t="s">
        <v>1091</v>
      </c>
      <c r="B43" t="s">
        <v>1092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1133</v>
      </c>
    </row>
    <row r="44" spans="1:12" x14ac:dyDescent="0.35">
      <c r="A44" s="33" t="s">
        <v>1134</v>
      </c>
      <c r="B44" s="34" t="s">
        <v>1135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5">
      <c r="A45" t="s">
        <v>1136</v>
      </c>
      <c r="B45" t="s">
        <v>1137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5">
      <c r="A46" s="35" t="s">
        <v>1138</v>
      </c>
      <c r="B46" s="36" t="s">
        <v>1139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5">
      <c r="A47" t="s">
        <v>1199</v>
      </c>
      <c r="B47" t="s">
        <v>1178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1199</v>
      </c>
      <c r="F47" t="str">
        <f t="shared" si="17"/>
        <v>Footprints\LQFP128_14x14_exposed_pad.PcbLib</v>
      </c>
      <c r="G47" t="s">
        <v>1179</v>
      </c>
      <c r="L47" t="s">
        <v>1180</v>
      </c>
    </row>
    <row r="48" spans="1:12" x14ac:dyDescent="0.35">
      <c r="A48" s="35" t="s">
        <v>1181</v>
      </c>
      <c r="B48" s="36" t="s">
        <v>1182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1391</v>
      </c>
    </row>
    <row r="49" spans="1:7" x14ac:dyDescent="0.35">
      <c r="A49" t="s">
        <v>1183</v>
      </c>
      <c r="B49" t="s">
        <v>1184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1185</v>
      </c>
    </row>
    <row r="50" spans="1:7" x14ac:dyDescent="0.35">
      <c r="A50" t="s">
        <v>1389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1390</v>
      </c>
    </row>
    <row r="51" spans="1:7" x14ac:dyDescent="0.35">
      <c r="A51" t="s">
        <v>1392</v>
      </c>
      <c r="B51" t="s">
        <v>1393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18" customWidth="1"/>
    <col min="10" max="10" width="13.17968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965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5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5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5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5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5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5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5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5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5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5">
      <c r="A12" t="s">
        <v>1140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81640625" customWidth="1"/>
    <col min="13" max="13" width="15.17968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965</v>
      </c>
    </row>
    <row r="2" spans="1:13" ht="13" customHeight="1" x14ac:dyDescent="0.35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5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5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5">
      <c r="A5" t="s">
        <v>950</v>
      </c>
      <c r="B5" t="s">
        <v>949</v>
      </c>
      <c r="C5" t="s">
        <v>950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5" x14ac:dyDescent="0.35"/>
  <cols>
    <col min="1" max="1" width="20.453125" customWidth="1"/>
    <col min="2" max="2" width="49.5429687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  <col min="12" max="12" width="13.17968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965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1206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921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5">
      <c r="A10" t="s">
        <v>1141</v>
      </c>
      <c r="B10" t="s">
        <v>1142</v>
      </c>
      <c r="C10" t="str">
        <f>A10</f>
        <v>SMBJ16CA</v>
      </c>
      <c r="D10" t="str">
        <f>CONCATENATE("Schematic\TVS\",E10,".SchLib")</f>
        <v>Schematic\TVS\TVS_1_2dir.SchLib</v>
      </c>
      <c r="E10" t="s">
        <v>1206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5">
      <c r="A11" t="s">
        <v>1169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5" x14ac:dyDescent="0.35"/>
  <cols>
    <col min="1" max="1" width="14.81640625" customWidth="1"/>
    <col min="2" max="2" width="93.1796875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  <col min="12" max="12" width="13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965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918</v>
      </c>
      <c r="K2" t="s">
        <v>919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920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5" x14ac:dyDescent="0.35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5" x14ac:dyDescent="0.35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917</v>
      </c>
      <c r="H10" s="2"/>
      <c r="I10" s="2"/>
      <c r="J10" t="s">
        <v>795</v>
      </c>
      <c r="K10" t="s">
        <v>796</v>
      </c>
    </row>
    <row r="11" spans="1:19" ht="15.5" x14ac:dyDescent="0.35">
      <c r="A11" s="1" t="s">
        <v>1095</v>
      </c>
      <c r="B11" s="1" t="s">
        <v>1096</v>
      </c>
      <c r="C11" s="2" t="str">
        <f t="shared" si="2"/>
        <v>SIR426DP-T1-GE3</v>
      </c>
      <c r="D11" s="3" t="s">
        <v>1097</v>
      </c>
      <c r="E11" s="1" t="s">
        <v>1095</v>
      </c>
      <c r="F11" t="str">
        <f>CONCATENATE("Footprints\",G11,".PcbLib")</f>
        <v>Footprints\PowerPAK_SO-8.PcbLib</v>
      </c>
      <c r="G11" s="1" t="s">
        <v>1130</v>
      </c>
      <c r="J11" t="s">
        <v>1098</v>
      </c>
    </row>
    <row r="12" spans="1:19" ht="15.5" x14ac:dyDescent="0.35">
      <c r="A12" s="32" t="s">
        <v>1124</v>
      </c>
      <c r="B12" s="1" t="s">
        <v>1125</v>
      </c>
      <c r="C12" s="2" t="str">
        <f t="shared" si="2"/>
        <v>PDTC114ET</v>
      </c>
      <c r="D12" s="3" t="s">
        <v>1126</v>
      </c>
      <c r="E12" s="1" t="s">
        <v>1124</v>
      </c>
      <c r="F12" t="str">
        <f>CONCATENATE("Footprints\",G12,".PcbLib")</f>
        <v>Footprints\SOT23-3.PcbLib</v>
      </c>
      <c r="G12" s="3" t="s">
        <v>18</v>
      </c>
      <c r="J12" t="s">
        <v>1128</v>
      </c>
      <c r="K12" t="s">
        <v>1127</v>
      </c>
    </row>
    <row r="13" spans="1:19" ht="15.5" x14ac:dyDescent="0.35">
      <c r="A13" s="1" t="s">
        <v>1143</v>
      </c>
      <c r="B13" s="1" t="s">
        <v>5</v>
      </c>
      <c r="C13" s="2" t="str">
        <f t="shared" si="2"/>
        <v>IRFH7084</v>
      </c>
      <c r="D13" s="1" t="s">
        <v>1144</v>
      </c>
      <c r="E13" s="1" t="s">
        <v>1145</v>
      </c>
      <c r="F13" t="str">
        <f>CONCATENATE("Footprints\",G13,".PcbLib")</f>
        <v>Footprints\PQFN_5x6.PcbLib</v>
      </c>
      <c r="G13" s="1" t="s">
        <v>1146</v>
      </c>
      <c r="J13" t="s">
        <v>1098</v>
      </c>
      <c r="K13" t="s">
        <v>1147</v>
      </c>
    </row>
    <row r="14" spans="1:19" ht="15.5" x14ac:dyDescent="0.35">
      <c r="A14" s="1" t="s">
        <v>1174</v>
      </c>
      <c r="B14" s="1" t="s">
        <v>1176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1175</v>
      </c>
    </row>
    <row r="15" spans="1:19" ht="15.5" x14ac:dyDescent="0.35">
      <c r="A15" s="1" t="s">
        <v>1177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1098</v>
      </c>
      <c r="K15" t="s">
        <v>920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0" zoomScale="85" zoomScaleNormal="85" workbookViewId="0">
      <selection activeCell="B186" sqref="B186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41.1796875" customWidth="1"/>
    <col min="11" max="11" width="18.1796875" customWidth="1"/>
    <col min="12" max="12" width="41.179687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965</v>
      </c>
      <c r="O1" s="1"/>
    </row>
    <row r="2" spans="1:15" ht="15.5" x14ac:dyDescent="0.35">
      <c r="A2" s="3" t="s">
        <v>133</v>
      </c>
      <c r="B2" s="3" t="s">
        <v>1209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5" x14ac:dyDescent="0.35">
      <c r="A3" s="3" t="s">
        <v>137</v>
      </c>
      <c r="B3" s="3" t="s">
        <v>1210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5" x14ac:dyDescent="0.35">
      <c r="A4" s="3" t="s">
        <v>139</v>
      </c>
      <c r="B4" s="3" t="s">
        <v>1212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5" x14ac:dyDescent="0.35">
      <c r="A5" s="3" t="s">
        <v>141</v>
      </c>
      <c r="B5" s="3" t="s">
        <v>1211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5" x14ac:dyDescent="0.35">
      <c r="A6" s="3" t="s">
        <v>143</v>
      </c>
      <c r="B6" s="3" t="s">
        <v>1215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5" x14ac:dyDescent="0.35">
      <c r="A7" s="3" t="s">
        <v>145</v>
      </c>
      <c r="B7" s="3" t="s">
        <v>1213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5" x14ac:dyDescent="0.35">
      <c r="A8" s="3" t="s">
        <v>147</v>
      </c>
      <c r="B8" s="3" t="s">
        <v>1214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5" x14ac:dyDescent="0.35">
      <c r="A9" s="3" t="s">
        <v>149</v>
      </c>
      <c r="B9" s="3" t="s">
        <v>1216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5" x14ac:dyDescent="0.35">
      <c r="A10" s="3" t="s">
        <v>151</v>
      </c>
      <c r="B10" s="3" t="s">
        <v>1217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5" x14ac:dyDescent="0.35">
      <c r="A11" s="3" t="s">
        <v>153</v>
      </c>
      <c r="B11" s="3" t="s">
        <v>1218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5" x14ac:dyDescent="0.35">
      <c r="A12" s="3" t="s">
        <v>460</v>
      </c>
      <c r="B12" s="3" t="s">
        <v>1220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5" x14ac:dyDescent="0.35">
      <c r="A13" s="3" t="s">
        <v>461</v>
      </c>
      <c r="B13" s="3" t="s">
        <v>1221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5" x14ac:dyDescent="0.35">
      <c r="A14" s="3" t="s">
        <v>462</v>
      </c>
      <c r="B14" s="3" t="s">
        <v>1219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5" x14ac:dyDescent="0.35">
      <c r="A15" s="3" t="s">
        <v>463</v>
      </c>
      <c r="B15" s="3" t="s">
        <v>1224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5" x14ac:dyDescent="0.35">
      <c r="A16" s="3" t="s">
        <v>464</v>
      </c>
      <c r="B16" s="3" t="s">
        <v>1223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5" x14ac:dyDescent="0.35">
      <c r="A17" s="3" t="s">
        <v>465</v>
      </c>
      <c r="B17" s="3" t="s">
        <v>1222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5" x14ac:dyDescent="0.35">
      <c r="A18" s="3" t="s">
        <v>466</v>
      </c>
      <c r="B18" s="3" t="s">
        <v>1225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5" x14ac:dyDescent="0.35">
      <c r="A19" s="3" t="s">
        <v>155</v>
      </c>
      <c r="B19" s="3" t="s">
        <v>1227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5" x14ac:dyDescent="0.35">
      <c r="A20" s="3" t="s">
        <v>157</v>
      </c>
      <c r="B20" s="3" t="s">
        <v>1226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5" x14ac:dyDescent="0.35">
      <c r="A21" s="3" t="s">
        <v>159</v>
      </c>
      <c r="B21" s="3" t="s">
        <v>1228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5" x14ac:dyDescent="0.35">
      <c r="A22" s="3" t="s">
        <v>161</v>
      </c>
      <c r="B22" s="3" t="s">
        <v>1229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5" x14ac:dyDescent="0.35">
      <c r="A23" s="3" t="s">
        <v>163</v>
      </c>
      <c r="B23" s="3" t="s">
        <v>1230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5" x14ac:dyDescent="0.35">
      <c r="A24" s="3" t="s">
        <v>513</v>
      </c>
      <c r="B24" s="3" t="s">
        <v>1231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5" x14ac:dyDescent="0.35">
      <c r="A25" s="3" t="s">
        <v>165</v>
      </c>
      <c r="B25" s="3" t="s">
        <v>1232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5" x14ac:dyDescent="0.35">
      <c r="A26" s="3" t="s">
        <v>167</v>
      </c>
      <c r="B26" s="3" t="s">
        <v>1233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5" x14ac:dyDescent="0.35">
      <c r="A27" s="3" t="s">
        <v>168</v>
      </c>
      <c r="B27" s="3" t="s">
        <v>1234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5" x14ac:dyDescent="0.35">
      <c r="A28" s="3" t="s">
        <v>169</v>
      </c>
      <c r="B28" s="3" t="s">
        <v>1235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5" x14ac:dyDescent="0.35">
      <c r="A29" s="3" t="s">
        <v>170</v>
      </c>
      <c r="B29" s="3" t="s">
        <v>1236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5" x14ac:dyDescent="0.35">
      <c r="A30" s="3" t="s">
        <v>171</v>
      </c>
      <c r="B30" s="3" t="s">
        <v>1237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5" x14ac:dyDescent="0.35">
      <c r="A31" s="3" t="s">
        <v>172</v>
      </c>
      <c r="B31" s="3" t="s">
        <v>1238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5" x14ac:dyDescent="0.35">
      <c r="A32" s="3" t="s">
        <v>173</v>
      </c>
      <c r="B32" s="3" t="s">
        <v>1239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5" x14ac:dyDescent="0.35">
      <c r="A33" s="3" t="s">
        <v>174</v>
      </c>
      <c r="B33" s="3" t="s">
        <v>1240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5" x14ac:dyDescent="0.35">
      <c r="A34" s="3" t="s">
        <v>175</v>
      </c>
      <c r="B34" s="3" t="s">
        <v>1241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5" x14ac:dyDescent="0.35">
      <c r="A35" s="3" t="s">
        <v>176</v>
      </c>
      <c r="B35" s="3" t="s">
        <v>1242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5" x14ac:dyDescent="0.35">
      <c r="A36" s="3" t="s">
        <v>467</v>
      </c>
      <c r="B36" s="3" t="s">
        <v>1243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5" x14ac:dyDescent="0.35">
      <c r="A37" s="3" t="s">
        <v>468</v>
      </c>
      <c r="B37" s="3" t="s">
        <v>1244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5" x14ac:dyDescent="0.35">
      <c r="A38" s="3" t="s">
        <v>469</v>
      </c>
      <c r="B38" s="3" t="s">
        <v>1245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5" x14ac:dyDescent="0.35">
      <c r="A39" s="3" t="s">
        <v>470</v>
      </c>
      <c r="B39" s="3" t="s">
        <v>1246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5" x14ac:dyDescent="0.35">
      <c r="A40" s="3" t="s">
        <v>471</v>
      </c>
      <c r="B40" s="3" t="s">
        <v>1247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5" x14ac:dyDescent="0.35">
      <c r="A41" s="3" t="s">
        <v>472</v>
      </c>
      <c r="B41" s="3" t="s">
        <v>1248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5" x14ac:dyDescent="0.35">
      <c r="A42" s="3" t="s">
        <v>473</v>
      </c>
      <c r="B42" s="3" t="s">
        <v>1250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5" x14ac:dyDescent="0.35">
      <c r="A43" s="3" t="s">
        <v>177</v>
      </c>
      <c r="B43" s="3" t="s">
        <v>1249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5" x14ac:dyDescent="0.35">
      <c r="A44" s="3" t="s">
        <v>178</v>
      </c>
      <c r="B44" s="3" t="s">
        <v>1251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5" x14ac:dyDescent="0.35">
      <c r="A45" s="3" t="s">
        <v>179</v>
      </c>
      <c r="B45" s="3" t="s">
        <v>1252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5" x14ac:dyDescent="0.35">
      <c r="A46" s="3" t="s">
        <v>180</v>
      </c>
      <c r="B46" s="3" t="s">
        <v>1253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5" x14ac:dyDescent="0.35">
      <c r="A47" s="3" t="s">
        <v>181</v>
      </c>
      <c r="B47" s="3" t="s">
        <v>1254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5" x14ac:dyDescent="0.35">
      <c r="A48" s="3" t="s">
        <v>514</v>
      </c>
      <c r="B48" s="3" t="s">
        <v>1255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5" x14ac:dyDescent="0.35">
      <c r="A49" s="3" t="s">
        <v>182</v>
      </c>
      <c r="B49" s="3" t="s">
        <v>1256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5" x14ac:dyDescent="0.35">
      <c r="A50" s="3" t="s">
        <v>183</v>
      </c>
      <c r="B50" s="3" t="s">
        <v>1257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5" x14ac:dyDescent="0.35">
      <c r="A51" s="3" t="s">
        <v>184</v>
      </c>
      <c r="B51" s="3" t="s">
        <v>1259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5" x14ac:dyDescent="0.35">
      <c r="A52" s="3" t="s">
        <v>185</v>
      </c>
      <c r="B52" s="3" t="s">
        <v>1258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5" x14ac:dyDescent="0.35">
      <c r="A53" s="3" t="s">
        <v>186</v>
      </c>
      <c r="B53" s="3" t="s">
        <v>1260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5" x14ac:dyDescent="0.35">
      <c r="A54" s="3" t="s">
        <v>187</v>
      </c>
      <c r="B54" s="3" t="s">
        <v>1261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5" x14ac:dyDescent="0.35">
      <c r="A55" s="3" t="s">
        <v>188</v>
      </c>
      <c r="B55" s="3" t="s">
        <v>1262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5" x14ac:dyDescent="0.35">
      <c r="A56" s="3" t="s">
        <v>189</v>
      </c>
      <c r="B56" s="3" t="s">
        <v>1263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5" x14ac:dyDescent="0.35">
      <c r="A57" s="3" t="s">
        <v>190</v>
      </c>
      <c r="B57" s="3" t="s">
        <v>1264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5" x14ac:dyDescent="0.35">
      <c r="A58" s="3" t="s">
        <v>191</v>
      </c>
      <c r="B58" s="3" t="s">
        <v>1265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1027</v>
      </c>
      <c r="K58" s="1" t="s">
        <v>1035</v>
      </c>
      <c r="L58" s="1"/>
      <c r="M58" s="1"/>
      <c r="N58" s="24"/>
    </row>
    <row r="59" spans="1:14" ht="15.5" x14ac:dyDescent="0.35">
      <c r="A59" s="3" t="s">
        <v>192</v>
      </c>
      <c r="B59" s="3" t="s">
        <v>1266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5" x14ac:dyDescent="0.35">
      <c r="A60" s="3" t="s">
        <v>474</v>
      </c>
      <c r="B60" s="3" t="s">
        <v>1268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1027</v>
      </c>
      <c r="K60" s="1" t="s">
        <v>1036</v>
      </c>
      <c r="L60" s="1"/>
      <c r="M60" s="1"/>
      <c r="N60" s="24"/>
    </row>
    <row r="61" spans="1:14" ht="15.5" x14ac:dyDescent="0.35">
      <c r="A61" s="3" t="s">
        <v>475</v>
      </c>
      <c r="B61" s="3" t="s">
        <v>1267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5" x14ac:dyDescent="0.35">
      <c r="A62" s="3" t="s">
        <v>476</v>
      </c>
      <c r="B62" s="3" t="s">
        <v>1269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5" x14ac:dyDescent="0.35">
      <c r="A63" s="3" t="s">
        <v>477</v>
      </c>
      <c r="B63" s="3" t="s">
        <v>1270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5" x14ac:dyDescent="0.35">
      <c r="A64" s="3" t="s">
        <v>478</v>
      </c>
      <c r="B64" s="3" t="s">
        <v>1271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5" x14ac:dyDescent="0.35">
      <c r="A65" s="3" t="s">
        <v>479</v>
      </c>
      <c r="B65" s="3" t="s">
        <v>1272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5" x14ac:dyDescent="0.35">
      <c r="A66" s="3" t="s">
        <v>480</v>
      </c>
      <c r="B66" s="3" t="s">
        <v>1273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1027</v>
      </c>
      <c r="K66" s="1" t="s">
        <v>1037</v>
      </c>
      <c r="L66" s="1"/>
      <c r="M66" s="1"/>
      <c r="N66" s="24"/>
    </row>
    <row r="67" spans="1:14" ht="15.5" x14ac:dyDescent="0.35">
      <c r="A67" s="3" t="s">
        <v>193</v>
      </c>
      <c r="B67" s="3" t="s">
        <v>1274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5" x14ac:dyDescent="0.35">
      <c r="A68" s="3" t="s">
        <v>194</v>
      </c>
      <c r="B68" s="3" t="s">
        <v>1275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5" x14ac:dyDescent="0.35">
      <c r="A69" s="3" t="s">
        <v>195</v>
      </c>
      <c r="B69" s="3" t="s">
        <v>1276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5" x14ac:dyDescent="0.35">
      <c r="A70" s="3" t="s">
        <v>196</v>
      </c>
      <c r="B70" s="3" t="s">
        <v>1277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5" x14ac:dyDescent="0.35">
      <c r="A71" s="3" t="s">
        <v>197</v>
      </c>
      <c r="B71" s="3" t="s">
        <v>1278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5" x14ac:dyDescent="0.35">
      <c r="A72" s="3" t="s">
        <v>515</v>
      </c>
      <c r="B72" s="3" t="s">
        <v>1279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5" x14ac:dyDescent="0.35">
      <c r="A73" s="3" t="s">
        <v>198</v>
      </c>
      <c r="B73" s="3" t="s">
        <v>1280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5" x14ac:dyDescent="0.35">
      <c r="A74" s="3" t="s">
        <v>481</v>
      </c>
      <c r="B74" s="3" t="s">
        <v>1281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1027</v>
      </c>
      <c r="K74" s="1" t="s">
        <v>1028</v>
      </c>
      <c r="L74" s="1"/>
      <c r="M74" s="1"/>
      <c r="N74" s="24"/>
    </row>
    <row r="75" spans="1:14" ht="15.5" x14ac:dyDescent="0.35">
      <c r="A75" s="3" t="s">
        <v>199</v>
      </c>
      <c r="B75" s="3" t="s">
        <v>1282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5" x14ac:dyDescent="0.35">
      <c r="A76" s="3" t="s">
        <v>201</v>
      </c>
      <c r="B76" s="3" t="s">
        <v>1283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5">
      <c r="A77" s="3" t="s">
        <v>1106</v>
      </c>
      <c r="B77" s="3" t="s">
        <v>1284</v>
      </c>
      <c r="C77" s="3" t="s">
        <v>26</v>
      </c>
      <c r="D77" s="3" t="s">
        <v>29</v>
      </c>
      <c r="E77" s="3" t="s">
        <v>26</v>
      </c>
      <c r="F77" s="3" t="s">
        <v>1107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5" x14ac:dyDescent="0.35">
      <c r="A78" s="3" t="s">
        <v>203</v>
      </c>
      <c r="B78" s="3" t="s">
        <v>1285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5" x14ac:dyDescent="0.35">
      <c r="A79" s="3" t="s">
        <v>205</v>
      </c>
      <c r="B79" s="3" t="s">
        <v>1286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5" x14ac:dyDescent="0.35">
      <c r="A80" s="3" t="s">
        <v>207</v>
      </c>
      <c r="B80" s="3" t="s">
        <v>1287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5" x14ac:dyDescent="0.35">
      <c r="A81" s="3" t="s">
        <v>209</v>
      </c>
      <c r="B81" s="3" t="s">
        <v>1288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5" x14ac:dyDescent="0.35">
      <c r="A82" s="3" t="s">
        <v>482</v>
      </c>
      <c r="B82" s="3" t="s">
        <v>1289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1027</v>
      </c>
      <c r="K82" s="1" t="s">
        <v>1029</v>
      </c>
      <c r="L82" s="1"/>
      <c r="M82" s="1"/>
      <c r="N82" s="24"/>
    </row>
    <row r="83" spans="1:14" ht="15.5" x14ac:dyDescent="0.35">
      <c r="A83" s="3" t="s">
        <v>211</v>
      </c>
      <c r="B83" s="3" t="s">
        <v>1290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5" x14ac:dyDescent="0.35">
      <c r="A84" s="3" t="s">
        <v>213</v>
      </c>
      <c r="B84" s="3" t="s">
        <v>1291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5" x14ac:dyDescent="0.35">
      <c r="A85" s="3" t="s">
        <v>483</v>
      </c>
      <c r="B85" s="3" t="s">
        <v>1292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5" x14ac:dyDescent="0.35">
      <c r="A86" s="3" t="s">
        <v>484</v>
      </c>
      <c r="B86" s="3" t="s">
        <v>1293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5" x14ac:dyDescent="0.35">
      <c r="A87" s="3" t="s">
        <v>485</v>
      </c>
      <c r="B87" s="3" t="s">
        <v>1294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979</v>
      </c>
      <c r="K87" s="1" t="s">
        <v>980</v>
      </c>
      <c r="L87" s="1"/>
      <c r="M87" s="1"/>
      <c r="N87" s="25"/>
    </row>
    <row r="88" spans="1:14" ht="15.5" x14ac:dyDescent="0.35">
      <c r="A88" s="3" t="s">
        <v>486</v>
      </c>
      <c r="B88" s="3" t="s">
        <v>1295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5" x14ac:dyDescent="0.35">
      <c r="A89" s="3" t="s">
        <v>487</v>
      </c>
      <c r="B89" s="3" t="s">
        <v>1296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5" x14ac:dyDescent="0.35">
      <c r="A90" s="3" t="s">
        <v>488</v>
      </c>
      <c r="B90" s="3" t="s">
        <v>1297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5" x14ac:dyDescent="0.35">
      <c r="A91" s="3" t="s">
        <v>489</v>
      </c>
      <c r="B91" s="3" t="s">
        <v>1298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1027</v>
      </c>
      <c r="K91" s="1" t="s">
        <v>1030</v>
      </c>
      <c r="L91" s="1"/>
      <c r="M91" s="1"/>
      <c r="N91" s="25"/>
    </row>
    <row r="92" spans="1:14" ht="15.5" x14ac:dyDescent="0.35">
      <c r="A92" s="3" t="s">
        <v>215</v>
      </c>
      <c r="B92" s="3" t="s">
        <v>1299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5" x14ac:dyDescent="0.35">
      <c r="A93" s="3" t="s">
        <v>217</v>
      </c>
      <c r="B93" s="3" t="s">
        <v>1300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5" x14ac:dyDescent="0.35">
      <c r="A94" s="3" t="s">
        <v>219</v>
      </c>
      <c r="B94" s="3" t="s">
        <v>1301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5" x14ac:dyDescent="0.35">
      <c r="A95" s="3" t="s">
        <v>221</v>
      </c>
      <c r="B95" s="3" t="s">
        <v>1302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5" x14ac:dyDescent="0.35">
      <c r="A96" s="3" t="s">
        <v>223</v>
      </c>
      <c r="B96" s="3" t="s">
        <v>1303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5" x14ac:dyDescent="0.35">
      <c r="A97" s="3" t="s">
        <v>516</v>
      </c>
      <c r="B97" s="3" t="s">
        <v>1304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5" x14ac:dyDescent="0.35">
      <c r="A98" s="3" t="s">
        <v>225</v>
      </c>
      <c r="B98" s="3" t="s">
        <v>1305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5">
      <c r="A99" s="3" t="s">
        <v>227</v>
      </c>
      <c r="B99" s="3" t="s">
        <v>1306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977</v>
      </c>
      <c r="K99" s="1" t="s">
        <v>978</v>
      </c>
      <c r="L99" s="1" t="s">
        <v>1027</v>
      </c>
      <c r="M99" s="1" t="s">
        <v>1031</v>
      </c>
      <c r="N99" s="25"/>
    </row>
    <row r="100" spans="1:14" ht="15" customHeight="1" x14ac:dyDescent="0.35">
      <c r="A100" s="3" t="s">
        <v>1104</v>
      </c>
      <c r="B100" s="3" t="s">
        <v>1307</v>
      </c>
      <c r="C100" s="3" t="s">
        <v>26</v>
      </c>
      <c r="D100" s="3" t="s">
        <v>29</v>
      </c>
      <c r="E100" s="3" t="s">
        <v>26</v>
      </c>
      <c r="F100" s="3" t="s">
        <v>1105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5" x14ac:dyDescent="0.35">
      <c r="A101" s="3" t="s">
        <v>229</v>
      </c>
      <c r="B101" s="3" t="s">
        <v>1308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5" x14ac:dyDescent="0.35">
      <c r="A102" s="3" t="s">
        <v>490</v>
      </c>
      <c r="B102" s="3" t="s">
        <v>1309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5">
      <c r="A103" s="3" t="s">
        <v>1108</v>
      </c>
      <c r="B103" s="3" t="s">
        <v>1310</v>
      </c>
      <c r="C103" s="3" t="s">
        <v>26</v>
      </c>
      <c r="D103" s="3" t="s">
        <v>29</v>
      </c>
      <c r="E103" s="3" t="s">
        <v>26</v>
      </c>
      <c r="F103" s="3" t="s">
        <v>1109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5" x14ac:dyDescent="0.35">
      <c r="A104" s="3" t="s">
        <v>231</v>
      </c>
      <c r="B104" s="3" t="s">
        <v>1311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5" x14ac:dyDescent="0.35">
      <c r="A105" s="3" t="s">
        <v>233</v>
      </c>
      <c r="B105" s="3" t="s">
        <v>1312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5" x14ac:dyDescent="0.35">
      <c r="A106" s="3" t="s">
        <v>235</v>
      </c>
      <c r="B106" s="3" t="s">
        <v>1313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5" x14ac:dyDescent="0.35">
      <c r="A107" s="3" t="s">
        <v>237</v>
      </c>
      <c r="B107" s="3" t="s">
        <v>1314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5" x14ac:dyDescent="0.35">
      <c r="A108" s="3" t="s">
        <v>239</v>
      </c>
      <c r="B108" s="3" t="s">
        <v>1315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1027</v>
      </c>
      <c r="K108" s="1" t="s">
        <v>1032</v>
      </c>
      <c r="L108" s="1"/>
      <c r="M108" s="1"/>
      <c r="N108" s="24"/>
    </row>
    <row r="109" spans="1:14" ht="15.5" x14ac:dyDescent="0.35">
      <c r="A109" s="3" t="s">
        <v>241</v>
      </c>
      <c r="B109" s="3" t="s">
        <v>1316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1027</v>
      </c>
      <c r="K109" s="1" t="s">
        <v>1033</v>
      </c>
      <c r="L109" s="1"/>
      <c r="M109" s="1"/>
      <c r="N109" s="25"/>
    </row>
    <row r="110" spans="1:14" ht="15.5" x14ac:dyDescent="0.35">
      <c r="A110" s="3" t="s">
        <v>243</v>
      </c>
      <c r="B110" s="3" t="s">
        <v>1317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5" x14ac:dyDescent="0.35">
      <c r="A111" s="3" t="s">
        <v>491</v>
      </c>
      <c r="B111" s="3" t="s">
        <v>1318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5" x14ac:dyDescent="0.35">
      <c r="A112" s="3" t="s">
        <v>492</v>
      </c>
      <c r="B112" s="3" t="s">
        <v>1319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5" x14ac:dyDescent="0.35">
      <c r="A113" s="3" t="s">
        <v>682</v>
      </c>
      <c r="B113" s="3" t="s">
        <v>1320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5" x14ac:dyDescent="0.35">
      <c r="A114" s="3" t="s">
        <v>493</v>
      </c>
      <c r="B114" s="3" t="s">
        <v>1321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5" x14ac:dyDescent="0.35">
      <c r="A115" s="3" t="s">
        <v>494</v>
      </c>
      <c r="B115" s="3" t="s">
        <v>1322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5" x14ac:dyDescent="0.35">
      <c r="A116" s="3" t="s">
        <v>495</v>
      </c>
      <c r="B116" s="3" t="s">
        <v>1323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5" x14ac:dyDescent="0.35">
      <c r="A117" s="3" t="s">
        <v>496</v>
      </c>
      <c r="B117" s="3" t="s">
        <v>1324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5" x14ac:dyDescent="0.35">
      <c r="A118" s="3" t="s">
        <v>497</v>
      </c>
      <c r="B118" s="3" t="s">
        <v>1325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5" x14ac:dyDescent="0.35">
      <c r="A119" s="3" t="s">
        <v>245</v>
      </c>
      <c r="B119" s="3" t="s">
        <v>1326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5" x14ac:dyDescent="0.35">
      <c r="A120" s="3" t="s">
        <v>247</v>
      </c>
      <c r="B120" s="3" t="s">
        <v>1327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5" x14ac:dyDescent="0.35">
      <c r="A121" s="3" t="s">
        <v>249</v>
      </c>
      <c r="B121" s="3" t="s">
        <v>1328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5" x14ac:dyDescent="0.35">
      <c r="A122" s="3" t="s">
        <v>251</v>
      </c>
      <c r="B122" s="3" t="s">
        <v>1329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5" x14ac:dyDescent="0.35">
      <c r="A123" s="3" t="s">
        <v>253</v>
      </c>
      <c r="B123" s="3" t="s">
        <v>1330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5" x14ac:dyDescent="0.35">
      <c r="A124" s="3" t="s">
        <v>517</v>
      </c>
      <c r="B124" s="3" t="s">
        <v>1331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5" x14ac:dyDescent="0.35">
      <c r="A125" s="3" t="s">
        <v>255</v>
      </c>
      <c r="B125" s="3" t="s">
        <v>1332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5" x14ac:dyDescent="0.35">
      <c r="A126" s="3" t="s">
        <v>257</v>
      </c>
      <c r="B126" s="3" t="s">
        <v>1333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1027</v>
      </c>
      <c r="K126" s="1" t="s">
        <v>1034</v>
      </c>
      <c r="L126" s="1"/>
      <c r="M126" s="1"/>
      <c r="N126" s="24"/>
    </row>
    <row r="127" spans="1:14" ht="15.5" x14ac:dyDescent="0.35">
      <c r="A127" s="3" t="s">
        <v>259</v>
      </c>
      <c r="B127" s="3" t="s">
        <v>1334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5" x14ac:dyDescent="0.35">
      <c r="A128" s="3" t="s">
        <v>261</v>
      </c>
      <c r="B128" s="3" t="s">
        <v>1335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5" x14ac:dyDescent="0.35">
      <c r="A129" s="3" t="s">
        <v>263</v>
      </c>
      <c r="B129" s="3" t="s">
        <v>1336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5" x14ac:dyDescent="0.35">
      <c r="A130" s="3" t="s">
        <v>265</v>
      </c>
      <c r="B130" s="3" t="s">
        <v>1337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5" x14ac:dyDescent="0.35">
      <c r="A131" s="3" t="s">
        <v>267</v>
      </c>
      <c r="B131" s="3" t="s">
        <v>1338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5" x14ac:dyDescent="0.35">
      <c r="A132" s="3" t="s">
        <v>269</v>
      </c>
      <c r="B132" s="3" t="s">
        <v>1339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5" x14ac:dyDescent="0.35">
      <c r="A133" s="3" t="s">
        <v>271</v>
      </c>
      <c r="B133" s="3" t="s">
        <v>1340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5" x14ac:dyDescent="0.35">
      <c r="A134" s="3" t="s">
        <v>273</v>
      </c>
      <c r="B134" s="3" t="s">
        <v>1341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5" x14ac:dyDescent="0.35">
      <c r="A135" s="3" t="s">
        <v>275</v>
      </c>
      <c r="B135" s="3" t="s">
        <v>1342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5" x14ac:dyDescent="0.35">
      <c r="A136" s="3" t="s">
        <v>498</v>
      </c>
      <c r="B136" s="3" t="s">
        <v>1343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5" x14ac:dyDescent="0.35">
      <c r="A137" s="3" t="s">
        <v>499</v>
      </c>
      <c r="B137" s="3" t="s">
        <v>1344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5" x14ac:dyDescent="0.35">
      <c r="A138" s="3" t="s">
        <v>500</v>
      </c>
      <c r="B138" s="3" t="s">
        <v>1345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5" x14ac:dyDescent="0.35">
      <c r="A139" s="3" t="s">
        <v>501</v>
      </c>
      <c r="B139" s="3" t="s">
        <v>1346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5" x14ac:dyDescent="0.35">
      <c r="A140" s="3" t="s">
        <v>502</v>
      </c>
      <c r="B140" s="3" t="s">
        <v>1347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5" x14ac:dyDescent="0.35">
      <c r="A141" s="3" t="s">
        <v>503</v>
      </c>
      <c r="B141" s="3" t="s">
        <v>1348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5" x14ac:dyDescent="0.35">
      <c r="A142" s="3" t="s">
        <v>504</v>
      </c>
      <c r="B142" s="3" t="s">
        <v>1349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5" x14ac:dyDescent="0.35">
      <c r="A143" s="3" t="s">
        <v>277</v>
      </c>
      <c r="B143" s="3" t="s">
        <v>1350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5" x14ac:dyDescent="0.35">
      <c r="A144" s="3" t="s">
        <v>279</v>
      </c>
      <c r="B144" s="3" t="s">
        <v>1351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5" x14ac:dyDescent="0.35">
      <c r="A145" s="3" t="s">
        <v>281</v>
      </c>
      <c r="B145" s="3" t="s">
        <v>1352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5" x14ac:dyDescent="0.35">
      <c r="A146" s="3" t="s">
        <v>283</v>
      </c>
      <c r="B146" s="3" t="s">
        <v>1353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5" x14ac:dyDescent="0.35">
      <c r="A147" s="3" t="s">
        <v>285</v>
      </c>
      <c r="B147" s="3" t="s">
        <v>1354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5" x14ac:dyDescent="0.35">
      <c r="A148" s="3" t="s">
        <v>518</v>
      </c>
      <c r="B148" s="3" t="s">
        <v>1355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5" x14ac:dyDescent="0.35">
      <c r="A149" s="3" t="s">
        <v>287</v>
      </c>
      <c r="B149" s="3" t="s">
        <v>1356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5" x14ac:dyDescent="0.35">
      <c r="A150" s="3" t="s">
        <v>289</v>
      </c>
      <c r="B150" s="3" t="s">
        <v>1357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5" x14ac:dyDescent="0.35">
      <c r="A151" s="3" t="s">
        <v>291</v>
      </c>
      <c r="B151" s="3" t="s">
        <v>1358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5" x14ac:dyDescent="0.35">
      <c r="A152" s="3" t="s">
        <v>293</v>
      </c>
      <c r="B152" s="3" t="s">
        <v>1359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5" x14ac:dyDescent="0.35">
      <c r="A153" s="3" t="s">
        <v>295</v>
      </c>
      <c r="B153" s="3" t="s">
        <v>1360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5" x14ac:dyDescent="0.35">
      <c r="A154" s="3" t="s">
        <v>297</v>
      </c>
      <c r="B154" s="3" t="s">
        <v>1361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5" x14ac:dyDescent="0.35">
      <c r="A155" s="3" t="s">
        <v>299</v>
      </c>
      <c r="B155" s="3" t="s">
        <v>1362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5" x14ac:dyDescent="0.35">
      <c r="A156" s="3" t="s">
        <v>301</v>
      </c>
      <c r="B156" s="3" t="s">
        <v>1363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5" x14ac:dyDescent="0.35">
      <c r="A157" s="3" t="s">
        <v>505</v>
      </c>
      <c r="B157" s="3" t="s">
        <v>1364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5" x14ac:dyDescent="0.35">
      <c r="A158" s="3" t="s">
        <v>303</v>
      </c>
      <c r="B158" s="3" t="s">
        <v>1365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5" x14ac:dyDescent="0.35">
      <c r="A159" s="3" t="s">
        <v>305</v>
      </c>
      <c r="B159" s="3" t="s">
        <v>1366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5" x14ac:dyDescent="0.35">
      <c r="A160" s="3" t="s">
        <v>506</v>
      </c>
      <c r="B160" s="3" t="s">
        <v>1367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5" x14ac:dyDescent="0.35">
      <c r="A161" s="3" t="s">
        <v>507</v>
      </c>
      <c r="B161" s="3" t="s">
        <v>1368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5" x14ac:dyDescent="0.35">
      <c r="A162" s="3" t="s">
        <v>508</v>
      </c>
      <c r="B162" s="3" t="s">
        <v>1369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5" x14ac:dyDescent="0.35">
      <c r="A163" s="3" t="s">
        <v>509</v>
      </c>
      <c r="B163" s="3" t="s">
        <v>1370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5" x14ac:dyDescent="0.35">
      <c r="A164" s="3" t="s">
        <v>510</v>
      </c>
      <c r="B164" s="3" t="s">
        <v>1371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5" x14ac:dyDescent="0.35">
      <c r="A165" s="3" t="s">
        <v>511</v>
      </c>
      <c r="B165" s="3" t="s">
        <v>1372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5" x14ac:dyDescent="0.35">
      <c r="A166" s="3" t="s">
        <v>512</v>
      </c>
      <c r="B166" s="3" t="s">
        <v>1373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5" x14ac:dyDescent="0.35">
      <c r="A167" s="3" t="s">
        <v>307</v>
      </c>
      <c r="B167" s="3" t="s">
        <v>1374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5" x14ac:dyDescent="0.35">
      <c r="A168" s="3" t="s">
        <v>309</v>
      </c>
      <c r="B168" s="3" t="s">
        <v>1375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5" x14ac:dyDescent="0.35">
      <c r="A169" s="3" t="s">
        <v>311</v>
      </c>
      <c r="B169" s="3" t="s">
        <v>1376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5" x14ac:dyDescent="0.35">
      <c r="A170" s="3" t="s">
        <v>313</v>
      </c>
      <c r="B170" s="3" t="s">
        <v>1377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5" x14ac:dyDescent="0.35">
      <c r="A171" s="3" t="s">
        <v>315</v>
      </c>
      <c r="B171" s="3" t="s">
        <v>1378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5" x14ac:dyDescent="0.35">
      <c r="A172" s="3" t="s">
        <v>519</v>
      </c>
      <c r="B172" s="3" t="s">
        <v>1379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5" x14ac:dyDescent="0.35">
      <c r="A173" s="3" t="s">
        <v>317</v>
      </c>
      <c r="B173" s="3" t="s">
        <v>1380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5" x14ac:dyDescent="0.35">
      <c r="A174" s="3" t="s">
        <v>319</v>
      </c>
      <c r="B174" s="3" t="s">
        <v>1381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5" x14ac:dyDescent="0.35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5" x14ac:dyDescent="0.35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5" x14ac:dyDescent="0.35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5" x14ac:dyDescent="0.35">
      <c r="A178" s="3" t="s">
        <v>923</v>
      </c>
      <c r="B178" s="3" t="s">
        <v>1383</v>
      </c>
      <c r="C178" s="3" t="s">
        <v>26</v>
      </c>
      <c r="D178" s="3" t="s">
        <v>29</v>
      </c>
      <c r="E178" s="3" t="s">
        <v>26</v>
      </c>
      <c r="F178" s="3" t="s">
        <v>922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5" x14ac:dyDescent="0.35">
      <c r="A179" s="1" t="s">
        <v>1093</v>
      </c>
      <c r="B179" s="1" t="s">
        <v>1384</v>
      </c>
      <c r="C179" s="1" t="s">
        <v>26</v>
      </c>
      <c r="D179" s="3" t="s">
        <v>29</v>
      </c>
      <c r="E179" s="3" t="s">
        <v>26</v>
      </c>
      <c r="F179" s="3" t="s">
        <v>1094</v>
      </c>
      <c r="G179" s="4">
        <v>0.01</v>
      </c>
      <c r="H179" s="3" t="s">
        <v>979</v>
      </c>
      <c r="I179" s="3" t="s">
        <v>980</v>
      </c>
      <c r="J179" s="1"/>
      <c r="K179" s="1"/>
      <c r="L179" s="1"/>
      <c r="M179" s="1"/>
      <c r="N179" s="1"/>
    </row>
    <row r="180" spans="1:14" ht="15.5" x14ac:dyDescent="0.35">
      <c r="A180" s="3" t="s">
        <v>1119</v>
      </c>
      <c r="B180" s="3" t="s">
        <v>1120</v>
      </c>
      <c r="C180" s="3" t="s">
        <v>26</v>
      </c>
      <c r="D180" s="3" t="s">
        <v>29</v>
      </c>
      <c r="E180" s="3" t="s">
        <v>26</v>
      </c>
      <c r="F180" s="3" t="s">
        <v>1121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5" x14ac:dyDescent="0.35">
      <c r="A181" s="1" t="s">
        <v>1148</v>
      </c>
      <c r="B181" s="1" t="s">
        <v>1382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5" x14ac:dyDescent="0.35"/>
  <cols>
    <col min="1" max="1" width="14.453125" customWidth="1"/>
    <col min="2" max="2" width="40.81640625" customWidth="1"/>
    <col min="3" max="3" width="12.81640625" customWidth="1"/>
    <col min="4" max="4" width="28.54296875" customWidth="1"/>
    <col min="5" max="5" width="14.81640625" customWidth="1"/>
    <col min="6" max="6" width="20.81640625" customWidth="1"/>
    <col min="7" max="7" width="14.1796875" customWidth="1"/>
    <col min="8" max="8" width="35" customWidth="1"/>
    <col min="9" max="10" width="13.1796875" customWidth="1"/>
    <col min="11" max="11" width="12.17968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924</v>
      </c>
      <c r="I1" t="s">
        <v>84</v>
      </c>
      <c r="J1" t="s">
        <v>71</v>
      </c>
      <c r="K1" t="s">
        <v>965</v>
      </c>
    </row>
    <row r="2" spans="1:12" x14ac:dyDescent="0.35">
      <c r="A2" s="19" t="s">
        <v>927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926</v>
      </c>
      <c r="E2" s="20" t="s">
        <v>925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5">
      <c r="A3" s="2" t="s">
        <v>1099</v>
      </c>
      <c r="B3" s="2" t="s">
        <v>1100</v>
      </c>
      <c r="C3" s="2" t="s">
        <v>1099</v>
      </c>
      <c r="D3" s="2" t="s">
        <v>926</v>
      </c>
      <c r="E3" s="2" t="s">
        <v>925</v>
      </c>
      <c r="F3" s="2" t="s">
        <v>1101</v>
      </c>
      <c r="G3" s="2" t="s">
        <v>130</v>
      </c>
      <c r="H3" s="2" t="s">
        <v>412</v>
      </c>
      <c r="I3" s="2" t="s">
        <v>1129</v>
      </c>
      <c r="J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  <col min="21" max="21" width="14.179687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965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zoomScale="85" zoomScaleNormal="85" workbookViewId="0">
      <selection activeCell="B2" sqref="B2"/>
    </sheetView>
  </sheetViews>
  <sheetFormatPr defaultRowHeight="14.5" x14ac:dyDescent="0.35"/>
  <cols>
    <col min="1" max="1" width="32" bestFit="1" customWidth="1"/>
    <col min="2" max="2" width="58.81640625" customWidth="1"/>
    <col min="3" max="3" width="26.54296875" customWidth="1"/>
    <col min="4" max="4" width="13.1796875" customWidth="1"/>
    <col min="5" max="5" width="25.1796875" customWidth="1"/>
    <col min="6" max="6" width="14.453125" customWidth="1"/>
    <col min="7" max="7" width="9.81640625" customWidth="1"/>
    <col min="8" max="8" width="12.54296875" style="2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81640625" customWidth="1"/>
    <col min="14" max="14" width="12.17968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907</v>
      </c>
      <c r="F1" s="6" t="s">
        <v>3</v>
      </c>
      <c r="G1" s="6" t="s">
        <v>25</v>
      </c>
      <c r="H1" s="39" t="s">
        <v>321</v>
      </c>
      <c r="I1" s="8" t="s">
        <v>528</v>
      </c>
      <c r="J1" s="8" t="s">
        <v>527</v>
      </c>
      <c r="K1" s="6" t="s">
        <v>12</v>
      </c>
      <c r="L1" s="6" t="s">
        <v>8</v>
      </c>
      <c r="M1" s="8" t="s">
        <v>529</v>
      </c>
      <c r="N1" s="8" t="s">
        <v>965</v>
      </c>
    </row>
    <row r="2" spans="1:14" x14ac:dyDescent="0.35">
      <c r="A2" s="27" t="s">
        <v>1113</v>
      </c>
      <c r="B2" s="34" t="str">
        <f>CONCATENATE("Конденсатор ",L2," ёмкостью ",G2, " ", H2, ", ",I2," В, ",J2)</f>
        <v>Конденсатор 0603C ёмкостью 0,01 н 10%, 50 В, X7R</v>
      </c>
      <c r="C2" s="28" t="s">
        <v>30</v>
      </c>
      <c r="D2" s="28" t="s">
        <v>27</v>
      </c>
      <c r="E2" s="28" t="s">
        <v>30</v>
      </c>
      <c r="F2" s="28" t="s">
        <v>27</v>
      </c>
      <c r="G2" s="28" t="s">
        <v>1114</v>
      </c>
      <c r="H2" s="28" t="s">
        <v>1208</v>
      </c>
      <c r="I2" s="28">
        <v>50</v>
      </c>
      <c r="J2" s="28" t="s">
        <v>602</v>
      </c>
      <c r="K2" s="28" t="s">
        <v>603</v>
      </c>
      <c r="L2" s="28" t="s">
        <v>37</v>
      </c>
      <c r="M2" s="28" t="s">
        <v>1115</v>
      </c>
      <c r="N2" s="29"/>
    </row>
    <row r="3" spans="1:14" x14ac:dyDescent="0.35">
      <c r="A3" s="2" t="s">
        <v>1189</v>
      </c>
      <c r="B3" s="34" t="str">
        <f t="shared" ref="B3:B47" si="0">CONCATENATE("Конденсатор ",L3," ёмкостью ",G3, " ", H3, ", ",I3," В, ",J3)</f>
        <v>Конденсатор 0603C ёмкостью 100 п 10%, 50 В, X7R</v>
      </c>
      <c r="C3" s="28" t="s">
        <v>30</v>
      </c>
      <c r="D3" s="28" t="s">
        <v>27</v>
      </c>
      <c r="E3" s="28" t="s">
        <v>30</v>
      </c>
      <c r="F3" s="28" t="s">
        <v>27</v>
      </c>
      <c r="G3" s="28" t="s">
        <v>1190</v>
      </c>
      <c r="H3" s="28" t="s">
        <v>1208</v>
      </c>
      <c r="I3" s="28">
        <v>50</v>
      </c>
      <c r="J3" s="28" t="s">
        <v>602</v>
      </c>
      <c r="K3" s="28" t="s">
        <v>603</v>
      </c>
      <c r="L3" s="28" t="s">
        <v>37</v>
      </c>
      <c r="M3" s="28" t="s">
        <v>1191</v>
      </c>
      <c r="N3" s="2"/>
    </row>
    <row r="4" spans="1:14" x14ac:dyDescent="0.35">
      <c r="A4" s="19" t="s">
        <v>1116</v>
      </c>
      <c r="B4" s="34" t="str">
        <f t="shared" si="0"/>
        <v>Конденсатор 0603C ёмкостью 0,15 н 10%, 50 В, X7R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1117</v>
      </c>
      <c r="H4" s="28" t="s">
        <v>1208</v>
      </c>
      <c r="I4" s="20">
        <v>50</v>
      </c>
      <c r="J4" s="20" t="s">
        <v>602</v>
      </c>
      <c r="K4" s="20" t="s">
        <v>603</v>
      </c>
      <c r="L4" s="20" t="s">
        <v>37</v>
      </c>
      <c r="M4" s="20" t="s">
        <v>1118</v>
      </c>
      <c r="N4" s="26"/>
    </row>
    <row r="5" spans="1:14" x14ac:dyDescent="0.35">
      <c r="A5" s="19" t="s">
        <v>1110</v>
      </c>
      <c r="B5" s="34" t="str">
        <f t="shared" si="0"/>
        <v>Конденсатор 0603C ёмкостью 0,75 н 10%, 50 В, X7R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1111</v>
      </c>
      <c r="H5" s="28" t="s">
        <v>1208</v>
      </c>
      <c r="I5" s="20">
        <v>50</v>
      </c>
      <c r="J5" s="20" t="s">
        <v>602</v>
      </c>
      <c r="K5" s="20" t="s">
        <v>603</v>
      </c>
      <c r="L5" s="20" t="s">
        <v>37</v>
      </c>
      <c r="M5" s="20" t="s">
        <v>1112</v>
      </c>
      <c r="N5" s="26"/>
    </row>
    <row r="6" spans="1:14" x14ac:dyDescent="0.35">
      <c r="A6" s="2" t="s">
        <v>908</v>
      </c>
      <c r="B6" s="34" t="str">
        <f t="shared" si="0"/>
        <v>Конденсатор 0603C ёмкостью 1 н 10%, 50 В, X7R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566</v>
      </c>
      <c r="H6" s="28" t="s">
        <v>1208</v>
      </c>
      <c r="I6" s="2">
        <v>50</v>
      </c>
      <c r="J6" s="2" t="s">
        <v>602</v>
      </c>
      <c r="K6" s="2" t="s">
        <v>603</v>
      </c>
      <c r="L6" s="2" t="s">
        <v>37</v>
      </c>
      <c r="M6" s="2">
        <v>1</v>
      </c>
      <c r="N6" s="2"/>
    </row>
    <row r="7" spans="1:14" x14ac:dyDescent="0.35">
      <c r="A7" s="2" t="s">
        <v>530</v>
      </c>
      <c r="B7" s="34" t="str">
        <f t="shared" si="0"/>
        <v>Конденсатор 0603C ёмкостью 1,2 н 10%, 50 В, X7R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567</v>
      </c>
      <c r="H7" s="28" t="s">
        <v>1208</v>
      </c>
      <c r="I7" s="2">
        <v>50</v>
      </c>
      <c r="J7" s="2" t="s">
        <v>602</v>
      </c>
      <c r="K7" s="2" t="s">
        <v>603</v>
      </c>
      <c r="L7" s="2" t="s">
        <v>37</v>
      </c>
      <c r="M7" s="2">
        <v>1.2</v>
      </c>
      <c r="N7" s="2"/>
    </row>
    <row r="8" spans="1:14" x14ac:dyDescent="0.35">
      <c r="A8" s="2" t="s">
        <v>531</v>
      </c>
      <c r="B8" s="34" t="str">
        <f t="shared" si="0"/>
        <v>Конденсатор 0603C ёмкостью 1,5 н 10%, 50 В, X7R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568</v>
      </c>
      <c r="H8" s="28" t="s">
        <v>1208</v>
      </c>
      <c r="I8" s="2">
        <v>50</v>
      </c>
      <c r="J8" s="2" t="s">
        <v>602</v>
      </c>
      <c r="K8" s="2" t="s">
        <v>603</v>
      </c>
      <c r="L8" s="2" t="s">
        <v>37</v>
      </c>
      <c r="M8" s="2">
        <v>1.5</v>
      </c>
      <c r="N8" s="2"/>
    </row>
    <row r="9" spans="1:14" x14ac:dyDescent="0.35">
      <c r="A9" s="2" t="s">
        <v>532</v>
      </c>
      <c r="B9" s="34" t="str">
        <f t="shared" si="0"/>
        <v>Конденсатор 0603C ёмкостью 1,8 н 10%, 50 В, X7R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569</v>
      </c>
      <c r="H9" s="28" t="s">
        <v>1208</v>
      </c>
      <c r="I9" s="2">
        <v>50</v>
      </c>
      <c r="J9" s="2" t="s">
        <v>602</v>
      </c>
      <c r="K9" s="2" t="s">
        <v>603</v>
      </c>
      <c r="L9" s="2" t="s">
        <v>37</v>
      </c>
      <c r="M9" s="2">
        <v>1.8</v>
      </c>
      <c r="N9" s="2"/>
    </row>
    <row r="10" spans="1:14" x14ac:dyDescent="0.35">
      <c r="A10" s="2" t="s">
        <v>533</v>
      </c>
      <c r="B10" s="34" t="str">
        <f t="shared" si="0"/>
        <v>Конденсатор 0603C ёмкостью 2,2 н 10%, 50 В, X7R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570</v>
      </c>
      <c r="H10" s="28" t="s">
        <v>1208</v>
      </c>
      <c r="I10" s="2">
        <v>50</v>
      </c>
      <c r="J10" s="2" t="s">
        <v>602</v>
      </c>
      <c r="K10" s="2" t="s">
        <v>603</v>
      </c>
      <c r="L10" s="2" t="s">
        <v>37</v>
      </c>
      <c r="M10" s="2">
        <v>2.2000000000000002</v>
      </c>
      <c r="N10" s="2"/>
    </row>
    <row r="11" spans="1:14" x14ac:dyDescent="0.35">
      <c r="A11" s="2" t="s">
        <v>534</v>
      </c>
      <c r="B11" s="34" t="str">
        <f t="shared" si="0"/>
        <v>Конденсатор 0603C ёмкостью 2,7 н 10%, 50 В, X7R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571</v>
      </c>
      <c r="H11" s="28" t="s">
        <v>1208</v>
      </c>
      <c r="I11" s="2">
        <v>50</v>
      </c>
      <c r="J11" s="2" t="s">
        <v>602</v>
      </c>
      <c r="K11" s="2" t="s">
        <v>603</v>
      </c>
      <c r="L11" s="2" t="s">
        <v>37</v>
      </c>
      <c r="M11" s="2">
        <v>2.7</v>
      </c>
      <c r="N11" s="2"/>
    </row>
    <row r="12" spans="1:14" x14ac:dyDescent="0.35">
      <c r="A12" s="2" t="s">
        <v>535</v>
      </c>
      <c r="B12" s="34" t="str">
        <f t="shared" si="0"/>
        <v>Конденсатор 0603C ёмкостью 3,3 н 10%, 50 В, X7R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572</v>
      </c>
      <c r="H12" s="28" t="s">
        <v>1208</v>
      </c>
      <c r="I12" s="2">
        <v>50</v>
      </c>
      <c r="J12" s="2" t="s">
        <v>602</v>
      </c>
      <c r="K12" s="2" t="s">
        <v>603</v>
      </c>
      <c r="L12" s="2" t="s">
        <v>37</v>
      </c>
      <c r="M12" s="2">
        <v>3.3</v>
      </c>
      <c r="N12" s="2"/>
    </row>
    <row r="13" spans="1:14" x14ac:dyDescent="0.35">
      <c r="A13" s="2" t="s">
        <v>536</v>
      </c>
      <c r="B13" s="34" t="str">
        <f t="shared" si="0"/>
        <v>Конденсатор 0603C ёмкостью 3,9 н 10%, 50 В, X7R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573</v>
      </c>
      <c r="H13" s="28" t="s">
        <v>1208</v>
      </c>
      <c r="I13" s="2">
        <v>50</v>
      </c>
      <c r="J13" s="2" t="s">
        <v>602</v>
      </c>
      <c r="K13" s="2" t="s">
        <v>603</v>
      </c>
      <c r="L13" s="2" t="s">
        <v>37</v>
      </c>
      <c r="M13" s="2">
        <v>3.9</v>
      </c>
      <c r="N13" s="2"/>
    </row>
    <row r="14" spans="1:14" x14ac:dyDescent="0.35">
      <c r="A14" s="2" t="s">
        <v>537</v>
      </c>
      <c r="B14" s="34" t="str">
        <f t="shared" si="0"/>
        <v>Конденсатор 0603C ёмкостью 4,7 н 10%, 50 В, X7R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574</v>
      </c>
      <c r="H14" s="28" t="s">
        <v>1208</v>
      </c>
      <c r="I14" s="2">
        <v>50</v>
      </c>
      <c r="J14" s="2" t="s">
        <v>602</v>
      </c>
      <c r="K14" s="2" t="s">
        <v>603</v>
      </c>
      <c r="L14" s="2" t="s">
        <v>37</v>
      </c>
      <c r="M14" s="2">
        <v>4.7</v>
      </c>
      <c r="N14" s="2"/>
    </row>
    <row r="15" spans="1:14" x14ac:dyDescent="0.35">
      <c r="A15" s="2" t="s">
        <v>538</v>
      </c>
      <c r="B15" s="34" t="str">
        <f t="shared" si="0"/>
        <v>Конденсатор 0603C ёмкостью 5,6 н 10%, 50 В, X7R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575</v>
      </c>
      <c r="H15" s="28" t="s">
        <v>1208</v>
      </c>
      <c r="I15" s="2">
        <v>50</v>
      </c>
      <c r="J15" s="2" t="s">
        <v>602</v>
      </c>
      <c r="K15" s="2" t="s">
        <v>603</v>
      </c>
      <c r="L15" s="2" t="s">
        <v>37</v>
      </c>
      <c r="M15" s="2">
        <v>5.6</v>
      </c>
      <c r="N15" s="2"/>
    </row>
    <row r="16" spans="1:14" x14ac:dyDescent="0.35">
      <c r="A16" s="2" t="s">
        <v>539</v>
      </c>
      <c r="B16" s="34" t="str">
        <f t="shared" si="0"/>
        <v>Конденсатор 0603C ёмкостью 6,8 н 10%, 50 В, X7R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576</v>
      </c>
      <c r="H16" s="28" t="s">
        <v>1208</v>
      </c>
      <c r="I16" s="2">
        <v>50</v>
      </c>
      <c r="J16" s="2" t="s">
        <v>602</v>
      </c>
      <c r="K16" s="2" t="s">
        <v>603</v>
      </c>
      <c r="L16" s="2" t="s">
        <v>37</v>
      </c>
      <c r="M16" s="2">
        <v>6.8</v>
      </c>
      <c r="N16" s="2"/>
    </row>
    <row r="17" spans="1:14" x14ac:dyDescent="0.35">
      <c r="A17" s="2" t="s">
        <v>540</v>
      </c>
      <c r="B17" s="34" t="str">
        <f t="shared" si="0"/>
        <v>Конденсатор 0603C ёмкостью 8,2 н 10%, 50 В, X7R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577</v>
      </c>
      <c r="H17" s="28" t="s">
        <v>1208</v>
      </c>
      <c r="I17" s="2">
        <v>50</v>
      </c>
      <c r="J17" s="2" t="s">
        <v>602</v>
      </c>
      <c r="K17" s="2" t="s">
        <v>603</v>
      </c>
      <c r="L17" s="2" t="s">
        <v>37</v>
      </c>
      <c r="M17" s="2">
        <v>8.1999999999999993</v>
      </c>
      <c r="N17" s="2"/>
    </row>
    <row r="18" spans="1:14" x14ac:dyDescent="0.35">
      <c r="A18" s="2" t="s">
        <v>541</v>
      </c>
      <c r="B18" s="34" t="str">
        <f t="shared" si="0"/>
        <v>Конденсатор 0603C ёмкостью 10 н 10%, 50 В, X7R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578</v>
      </c>
      <c r="H18" s="28" t="s">
        <v>1208</v>
      </c>
      <c r="I18" s="2">
        <v>50</v>
      </c>
      <c r="J18" s="2" t="s">
        <v>602</v>
      </c>
      <c r="K18" s="2" t="s">
        <v>603</v>
      </c>
      <c r="L18" s="2" t="s">
        <v>37</v>
      </c>
      <c r="M18" s="2">
        <v>10</v>
      </c>
      <c r="N18" s="2"/>
    </row>
    <row r="19" spans="1:14" x14ac:dyDescent="0.35">
      <c r="A19" s="2" t="s">
        <v>542</v>
      </c>
      <c r="B19" s="34" t="str">
        <f t="shared" si="0"/>
        <v>Конденсатор 0603C ёмкостью 12 н 10%, 50 В, X7R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579</v>
      </c>
      <c r="H19" s="28" t="s">
        <v>1208</v>
      </c>
      <c r="I19" s="2">
        <v>50</v>
      </c>
      <c r="J19" s="2" t="s">
        <v>602</v>
      </c>
      <c r="K19" s="2" t="s">
        <v>603</v>
      </c>
      <c r="L19" s="2" t="s">
        <v>37</v>
      </c>
      <c r="M19" s="2">
        <v>12</v>
      </c>
      <c r="N19" s="2"/>
    </row>
    <row r="20" spans="1:14" x14ac:dyDescent="0.35">
      <c r="A20" s="2" t="s">
        <v>543</v>
      </c>
      <c r="B20" s="34" t="str">
        <f t="shared" si="0"/>
        <v>Конденсатор 0603C ёмкостью 15 н 10%, 50 В, X7R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580</v>
      </c>
      <c r="H20" s="28" t="s">
        <v>1208</v>
      </c>
      <c r="I20" s="2">
        <v>50</v>
      </c>
      <c r="J20" s="2" t="s">
        <v>602</v>
      </c>
      <c r="K20" s="2" t="s">
        <v>603</v>
      </c>
      <c r="L20" s="2" t="s">
        <v>37</v>
      </c>
      <c r="M20" s="2">
        <v>15</v>
      </c>
      <c r="N20" s="2"/>
    </row>
    <row r="21" spans="1:14" x14ac:dyDescent="0.35">
      <c r="A21" s="2" t="s">
        <v>544</v>
      </c>
      <c r="B21" s="34" t="str">
        <f t="shared" si="0"/>
        <v>Конденсатор 0603C ёмкостью 18 н 10%, 50 В, X7R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581</v>
      </c>
      <c r="H21" s="28" t="s">
        <v>1208</v>
      </c>
      <c r="I21" s="2">
        <v>50</v>
      </c>
      <c r="J21" s="2" t="s">
        <v>602</v>
      </c>
      <c r="K21" s="2" t="s">
        <v>603</v>
      </c>
      <c r="L21" s="2" t="s">
        <v>37</v>
      </c>
      <c r="M21" s="2">
        <v>18</v>
      </c>
      <c r="N21" s="2"/>
    </row>
    <row r="22" spans="1:14" x14ac:dyDescent="0.35">
      <c r="A22" s="2" t="s">
        <v>545</v>
      </c>
      <c r="B22" s="34" t="str">
        <f t="shared" si="0"/>
        <v>Конденсатор 0603C ёмкостью 22 н 10%, 50 В, X7R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582</v>
      </c>
      <c r="H22" s="28" t="s">
        <v>1208</v>
      </c>
      <c r="I22" s="2">
        <v>50</v>
      </c>
      <c r="J22" s="2" t="s">
        <v>602</v>
      </c>
      <c r="K22" s="2" t="s">
        <v>603</v>
      </c>
      <c r="L22" s="2" t="s">
        <v>37</v>
      </c>
      <c r="M22" s="2">
        <v>22</v>
      </c>
      <c r="N22" s="2"/>
    </row>
    <row r="23" spans="1:14" x14ac:dyDescent="0.35">
      <c r="A23" s="2" t="s">
        <v>546</v>
      </c>
      <c r="B23" s="34" t="str">
        <f t="shared" si="0"/>
        <v>Конденсатор 0603C ёмкостью 27 н 10%, 50 В, X7R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583</v>
      </c>
      <c r="H23" s="28" t="s">
        <v>1208</v>
      </c>
      <c r="I23" s="2">
        <v>50</v>
      </c>
      <c r="J23" s="2" t="s">
        <v>602</v>
      </c>
      <c r="K23" s="2" t="s">
        <v>603</v>
      </c>
      <c r="L23" s="2" t="s">
        <v>37</v>
      </c>
      <c r="M23" s="2">
        <v>27</v>
      </c>
      <c r="N23" s="2"/>
    </row>
    <row r="24" spans="1:14" x14ac:dyDescent="0.35">
      <c r="A24" s="2" t="s">
        <v>547</v>
      </c>
      <c r="B24" s="34" t="str">
        <f t="shared" si="0"/>
        <v>Конденсатор 0603C ёмкостью 33 н 10%, 50 В, X7R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584</v>
      </c>
      <c r="H24" s="28" t="s">
        <v>1208</v>
      </c>
      <c r="I24" s="2">
        <v>50</v>
      </c>
      <c r="J24" s="2" t="s">
        <v>602</v>
      </c>
      <c r="K24" s="2" t="s">
        <v>603</v>
      </c>
      <c r="L24" s="2" t="s">
        <v>37</v>
      </c>
      <c r="M24" s="2">
        <v>33</v>
      </c>
      <c r="N24" s="2"/>
    </row>
    <row r="25" spans="1:14" x14ac:dyDescent="0.35">
      <c r="A25" s="2" t="s">
        <v>548</v>
      </c>
      <c r="B25" s="34" t="str">
        <f t="shared" si="0"/>
        <v>Конденсатор 0603C ёмкостью 39 н 10%, 50 В, X7R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585</v>
      </c>
      <c r="H25" s="28" t="s">
        <v>1208</v>
      </c>
      <c r="I25" s="2">
        <v>50</v>
      </c>
      <c r="J25" s="2" t="s">
        <v>602</v>
      </c>
      <c r="K25" s="2" t="s">
        <v>603</v>
      </c>
      <c r="L25" s="2" t="s">
        <v>37</v>
      </c>
      <c r="M25" s="2">
        <v>39</v>
      </c>
      <c r="N25" s="2"/>
    </row>
    <row r="26" spans="1:14" x14ac:dyDescent="0.35">
      <c r="A26" s="2" t="s">
        <v>549</v>
      </c>
      <c r="B26" s="34" t="str">
        <f t="shared" si="0"/>
        <v>Конденсатор 0603C ёмкостью 47 н 10%, 50 В, X7R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586</v>
      </c>
      <c r="H26" s="28" t="s">
        <v>1208</v>
      </c>
      <c r="I26" s="2">
        <v>50</v>
      </c>
      <c r="J26" s="2" t="s">
        <v>602</v>
      </c>
      <c r="K26" s="2" t="s">
        <v>603</v>
      </c>
      <c r="L26" s="2" t="s">
        <v>37</v>
      </c>
      <c r="M26" s="2">
        <v>47</v>
      </c>
      <c r="N26" s="2"/>
    </row>
    <row r="27" spans="1:14" x14ac:dyDescent="0.35">
      <c r="A27" s="2" t="s">
        <v>550</v>
      </c>
      <c r="B27" s="34" t="str">
        <f t="shared" si="0"/>
        <v>Конденсатор 0603C ёмкостью 56 н 10%, 50 В, X7R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587</v>
      </c>
      <c r="H27" s="28" t="s">
        <v>1208</v>
      </c>
      <c r="I27" s="2">
        <v>50</v>
      </c>
      <c r="J27" s="2" t="s">
        <v>602</v>
      </c>
      <c r="K27" s="2" t="s">
        <v>603</v>
      </c>
      <c r="L27" s="2" t="s">
        <v>37</v>
      </c>
      <c r="M27" s="2">
        <v>56</v>
      </c>
      <c r="N27" s="2"/>
    </row>
    <row r="28" spans="1:14" x14ac:dyDescent="0.35">
      <c r="A28" s="2" t="s">
        <v>551</v>
      </c>
      <c r="B28" s="34" t="str">
        <f t="shared" si="0"/>
        <v>Конденсатор 0603C ёмкостью 68 н 10%, 50 В, X7R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588</v>
      </c>
      <c r="H28" s="28" t="s">
        <v>1208</v>
      </c>
      <c r="I28" s="2">
        <v>50</v>
      </c>
      <c r="J28" s="2" t="s">
        <v>602</v>
      </c>
      <c r="K28" s="2" t="s">
        <v>603</v>
      </c>
      <c r="L28" s="2" t="s">
        <v>37</v>
      </c>
      <c r="M28" s="2">
        <v>68</v>
      </c>
      <c r="N28" s="2"/>
    </row>
    <row r="29" spans="1:14" x14ac:dyDescent="0.35">
      <c r="A29" s="2" t="s">
        <v>552</v>
      </c>
      <c r="B29" s="34" t="str">
        <f t="shared" si="0"/>
        <v>Конденсатор 0603C ёмкостью 82 н 10%, 50 В, X7R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589</v>
      </c>
      <c r="H29" s="28" t="s">
        <v>1208</v>
      </c>
      <c r="I29" s="2">
        <v>50</v>
      </c>
      <c r="J29" s="2" t="s">
        <v>602</v>
      </c>
      <c r="K29" s="2" t="s">
        <v>603</v>
      </c>
      <c r="L29" s="2" t="s">
        <v>37</v>
      </c>
      <c r="M29" s="2">
        <v>82</v>
      </c>
      <c r="N29" s="2"/>
    </row>
    <row r="30" spans="1:14" x14ac:dyDescent="0.35">
      <c r="A30" s="2" t="s">
        <v>553</v>
      </c>
      <c r="B30" s="34" t="str">
        <f t="shared" si="0"/>
        <v>Конденсатор 0603C ёмкостью 0,1 мк 10%, 50 В, X7R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28" t="s">
        <v>1208</v>
      </c>
      <c r="I30" s="2">
        <v>50</v>
      </c>
      <c r="J30" s="2" t="s">
        <v>602</v>
      </c>
      <c r="K30" s="2" t="s">
        <v>603</v>
      </c>
      <c r="L30" s="2" t="s">
        <v>37</v>
      </c>
      <c r="M30" s="2">
        <v>100</v>
      </c>
      <c r="N30" s="2"/>
    </row>
    <row r="31" spans="1:14" x14ac:dyDescent="0.35">
      <c r="A31" s="2" t="s">
        <v>554</v>
      </c>
      <c r="B31" s="34" t="str">
        <f t="shared" si="0"/>
        <v>Конденсатор 0603C ёмкостью 0,12 мк 10%, 50 В, X7R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590</v>
      </c>
      <c r="H31" s="28" t="s">
        <v>1208</v>
      </c>
      <c r="I31" s="2">
        <v>50</v>
      </c>
      <c r="J31" s="2" t="s">
        <v>602</v>
      </c>
      <c r="K31" s="2" t="s">
        <v>603</v>
      </c>
      <c r="L31" s="2" t="s">
        <v>37</v>
      </c>
      <c r="M31" s="2">
        <v>120</v>
      </c>
      <c r="N31" s="2"/>
    </row>
    <row r="32" spans="1:14" x14ac:dyDescent="0.35">
      <c r="A32" s="2" t="s">
        <v>555</v>
      </c>
      <c r="B32" s="34" t="str">
        <f t="shared" si="0"/>
        <v>Конденсатор 0603C ёмкостью 0,15 мк 10%, 50 В, X7R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591</v>
      </c>
      <c r="H32" s="28" t="s">
        <v>1208</v>
      </c>
      <c r="I32" s="2">
        <v>50</v>
      </c>
      <c r="J32" s="2" t="s">
        <v>602</v>
      </c>
      <c r="K32" s="2" t="s">
        <v>603</v>
      </c>
      <c r="L32" s="2" t="s">
        <v>37</v>
      </c>
      <c r="M32" s="2">
        <v>150</v>
      </c>
      <c r="N32" s="2"/>
    </row>
    <row r="33" spans="1:14" x14ac:dyDescent="0.35">
      <c r="A33" s="2" t="s">
        <v>556</v>
      </c>
      <c r="B33" s="34" t="str">
        <f t="shared" si="0"/>
        <v>Конденсатор 0603C ёмкостью 0,18 мк 10%, 50 В, X7R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592</v>
      </c>
      <c r="H33" s="28" t="s">
        <v>1208</v>
      </c>
      <c r="I33" s="2">
        <v>50</v>
      </c>
      <c r="J33" s="2" t="s">
        <v>602</v>
      </c>
      <c r="K33" s="2" t="s">
        <v>603</v>
      </c>
      <c r="L33" s="2" t="s">
        <v>37</v>
      </c>
      <c r="M33" s="2">
        <v>180</v>
      </c>
      <c r="N33" s="2"/>
    </row>
    <row r="34" spans="1:14" x14ac:dyDescent="0.35">
      <c r="A34" s="2" t="s">
        <v>557</v>
      </c>
      <c r="B34" s="34" t="str">
        <f t="shared" si="0"/>
        <v>Конденсатор 0603C ёмкостью 0,22 мк 10%, 50 В, X7R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593</v>
      </c>
      <c r="H34" s="28" t="s">
        <v>1208</v>
      </c>
      <c r="I34" s="2">
        <v>50</v>
      </c>
      <c r="J34" s="2" t="s">
        <v>602</v>
      </c>
      <c r="K34" s="2" t="s">
        <v>603</v>
      </c>
      <c r="L34" s="2" t="s">
        <v>37</v>
      </c>
      <c r="M34" s="2">
        <v>220</v>
      </c>
      <c r="N34" s="2"/>
    </row>
    <row r="35" spans="1:14" x14ac:dyDescent="0.35">
      <c r="A35" s="2" t="s">
        <v>558</v>
      </c>
      <c r="B35" s="34" t="str">
        <f t="shared" si="0"/>
        <v>Конденсатор 0603C ёмкостью 0,27 мк 10%, 50 В, X7R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594</v>
      </c>
      <c r="H35" s="28" t="s">
        <v>1208</v>
      </c>
      <c r="I35" s="2">
        <v>50</v>
      </c>
      <c r="J35" s="2" t="s">
        <v>602</v>
      </c>
      <c r="K35" s="2" t="s">
        <v>603</v>
      </c>
      <c r="L35" s="2" t="s">
        <v>37</v>
      </c>
      <c r="M35" s="2">
        <v>270</v>
      </c>
      <c r="N35" s="2"/>
    </row>
    <row r="36" spans="1:14" x14ac:dyDescent="0.35">
      <c r="A36" s="2" t="s">
        <v>559</v>
      </c>
      <c r="B36" s="34" t="str">
        <f t="shared" si="0"/>
        <v>Конденсатор 0603C ёмкостью 0,33 мк 10%, 50 В, X7R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595</v>
      </c>
      <c r="H36" s="28" t="s">
        <v>1208</v>
      </c>
      <c r="I36" s="2">
        <v>50</v>
      </c>
      <c r="J36" s="2" t="s">
        <v>602</v>
      </c>
      <c r="K36" s="2" t="s">
        <v>603</v>
      </c>
      <c r="L36" s="2" t="s">
        <v>37</v>
      </c>
      <c r="M36" s="2">
        <v>330</v>
      </c>
      <c r="N36" s="2"/>
    </row>
    <row r="37" spans="1:14" x14ac:dyDescent="0.35">
      <c r="A37" s="2" t="s">
        <v>560</v>
      </c>
      <c r="B37" s="34" t="str">
        <f t="shared" si="0"/>
        <v>Конденсатор 0603C ёмкостью 0,39 мк 10%, 50 В, X7R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596</v>
      </c>
      <c r="H37" s="28" t="s">
        <v>1208</v>
      </c>
      <c r="I37" s="2">
        <v>50</v>
      </c>
      <c r="J37" s="2" t="s">
        <v>602</v>
      </c>
      <c r="K37" s="2" t="s">
        <v>603</v>
      </c>
      <c r="L37" s="2" t="s">
        <v>37</v>
      </c>
      <c r="M37" s="2">
        <v>390</v>
      </c>
      <c r="N37" s="2"/>
    </row>
    <row r="38" spans="1:14" x14ac:dyDescent="0.35">
      <c r="A38" s="2" t="s">
        <v>561</v>
      </c>
      <c r="B38" s="34" t="str">
        <f t="shared" si="0"/>
        <v>Конденсатор 0603C ёмкостью 0,47 мк 10%, 50 В, X7R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597</v>
      </c>
      <c r="H38" s="28" t="s">
        <v>1208</v>
      </c>
      <c r="I38" s="2">
        <v>50</v>
      </c>
      <c r="J38" s="2" t="s">
        <v>602</v>
      </c>
      <c r="K38" s="2" t="s">
        <v>603</v>
      </c>
      <c r="L38" s="2" t="s">
        <v>37</v>
      </c>
      <c r="M38" s="2">
        <v>470</v>
      </c>
      <c r="N38" s="2"/>
    </row>
    <row r="39" spans="1:14" x14ac:dyDescent="0.35">
      <c r="A39" s="2" t="s">
        <v>562</v>
      </c>
      <c r="B39" s="34" t="str">
        <f t="shared" si="0"/>
        <v>Конденсатор 0603C ёмкостью 0,56 мк 10%, 50 В, X7R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598</v>
      </c>
      <c r="H39" s="28" t="s">
        <v>1208</v>
      </c>
      <c r="I39" s="2">
        <v>50</v>
      </c>
      <c r="J39" s="2" t="s">
        <v>602</v>
      </c>
      <c r="K39" s="2" t="s">
        <v>603</v>
      </c>
      <c r="L39" s="2" t="s">
        <v>37</v>
      </c>
      <c r="M39" s="2">
        <v>560</v>
      </c>
      <c r="N39" s="2"/>
    </row>
    <row r="40" spans="1:14" x14ac:dyDescent="0.35">
      <c r="A40" s="2" t="s">
        <v>563</v>
      </c>
      <c r="B40" s="34" t="str">
        <f t="shared" si="0"/>
        <v>Конденсатор 0603C ёмкостью 0,68 мк 10%, 50 В, X7R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599</v>
      </c>
      <c r="H40" s="28" t="s">
        <v>1208</v>
      </c>
      <c r="I40" s="2">
        <v>50</v>
      </c>
      <c r="J40" s="2" t="s">
        <v>602</v>
      </c>
      <c r="K40" s="2" t="s">
        <v>603</v>
      </c>
      <c r="L40" s="2" t="s">
        <v>37</v>
      </c>
      <c r="M40" s="2">
        <v>680</v>
      </c>
      <c r="N40" s="2"/>
    </row>
    <row r="41" spans="1:14" x14ac:dyDescent="0.35">
      <c r="A41" s="2" t="s">
        <v>564</v>
      </c>
      <c r="B41" s="34" t="str">
        <f t="shared" si="0"/>
        <v>Конденсатор 0603C ёмкостью 0,82 мк 10%, 50 В, X7R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600</v>
      </c>
      <c r="H41" s="28" t="s">
        <v>1208</v>
      </c>
      <c r="I41" s="2">
        <v>50</v>
      </c>
      <c r="J41" s="2" t="s">
        <v>602</v>
      </c>
      <c r="K41" s="2" t="s">
        <v>603</v>
      </c>
      <c r="L41" s="2" t="s">
        <v>37</v>
      </c>
      <c r="M41" s="2">
        <v>820</v>
      </c>
      <c r="N41" s="2"/>
    </row>
    <row r="42" spans="1:14" x14ac:dyDescent="0.35">
      <c r="A42" s="2" t="s">
        <v>565</v>
      </c>
      <c r="B42" s="34" t="str">
        <f t="shared" si="0"/>
        <v>Конденсатор 0603C ёмкостью 1 мк 10%, 50 В, X7R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601</v>
      </c>
      <c r="H42" s="28" t="s">
        <v>1208</v>
      </c>
      <c r="I42" s="2">
        <v>50</v>
      </c>
      <c r="J42" s="2" t="s">
        <v>602</v>
      </c>
      <c r="K42" s="2" t="s">
        <v>603</v>
      </c>
      <c r="L42" s="2" t="s">
        <v>37</v>
      </c>
      <c r="M42" s="2">
        <v>1000</v>
      </c>
      <c r="N42" s="2"/>
    </row>
    <row r="43" spans="1:14" x14ac:dyDescent="0.35">
      <c r="A43" s="2" t="s">
        <v>1122</v>
      </c>
      <c r="B43" s="34" t="str">
        <f t="shared" si="0"/>
        <v>Конденсатор 1206C ёмкостью 2,2 мк 10%, 50 В, X7R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633</v>
      </c>
      <c r="H43" s="28" t="s">
        <v>1208</v>
      </c>
      <c r="I43" s="2">
        <v>50</v>
      </c>
      <c r="J43" s="2" t="s">
        <v>602</v>
      </c>
      <c r="K43" s="2" t="s">
        <v>684</v>
      </c>
      <c r="L43" s="2" t="s">
        <v>685</v>
      </c>
      <c r="M43" s="2" t="s">
        <v>1123</v>
      </c>
      <c r="N43" s="2"/>
    </row>
    <row r="44" spans="1:14" x14ac:dyDescent="0.35">
      <c r="A44" s="2" t="s">
        <v>711</v>
      </c>
      <c r="B44" s="34" t="str">
        <f t="shared" si="0"/>
        <v>Конденсатор 1206C ёмкостью 4,7 мк 10%, 50 В, X7R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28" t="s">
        <v>1208</v>
      </c>
      <c r="I44" s="2">
        <v>50</v>
      </c>
      <c r="J44" s="2" t="s">
        <v>602</v>
      </c>
      <c r="K44" s="2" t="s">
        <v>684</v>
      </c>
      <c r="L44" s="2" t="s">
        <v>685</v>
      </c>
      <c r="M44" s="2">
        <v>4700</v>
      </c>
      <c r="N44" s="2"/>
    </row>
    <row r="45" spans="1:14" x14ac:dyDescent="0.35">
      <c r="A45" s="2" t="s">
        <v>713</v>
      </c>
      <c r="B45" s="34" t="str">
        <f t="shared" si="0"/>
        <v>Конденсатор 1210C ёмкостью 10 мк 10%, 35 В, X7R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636</v>
      </c>
      <c r="H45" s="28" t="s">
        <v>1208</v>
      </c>
      <c r="I45" s="2">
        <v>35</v>
      </c>
      <c r="J45" s="2" t="s">
        <v>602</v>
      </c>
      <c r="K45" s="2" t="s">
        <v>686</v>
      </c>
      <c r="L45" s="2" t="s">
        <v>687</v>
      </c>
      <c r="M45" s="2">
        <v>10000</v>
      </c>
      <c r="N45" s="2"/>
    </row>
    <row r="46" spans="1:14" x14ac:dyDescent="0.35">
      <c r="A46" s="2" t="s">
        <v>712</v>
      </c>
      <c r="B46" s="34" t="str">
        <f t="shared" si="0"/>
        <v>Конденсатор 1210C ёмкостью 22 мк 10%, 25 В, X7R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638</v>
      </c>
      <c r="H46" s="28" t="s">
        <v>1208</v>
      </c>
      <c r="I46" s="2">
        <v>25</v>
      </c>
      <c r="J46" s="2" t="s">
        <v>602</v>
      </c>
      <c r="K46" s="2" t="s">
        <v>686</v>
      </c>
      <c r="L46" s="2" t="s">
        <v>687</v>
      </c>
      <c r="M46" s="2">
        <v>22000</v>
      </c>
      <c r="N46" s="2"/>
    </row>
    <row r="47" spans="1:14" x14ac:dyDescent="0.35">
      <c r="A47" s="2" t="s">
        <v>957</v>
      </c>
      <c r="B47" s="34" t="str">
        <f t="shared" si="0"/>
        <v>Конденсатор 1812C ёмкостью 0,1 мк 10%, 1000 В, X7R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28" t="s">
        <v>1208</v>
      </c>
      <c r="I47" s="2">
        <v>1000</v>
      </c>
      <c r="J47" s="2" t="s">
        <v>602</v>
      </c>
      <c r="K47" s="2" t="s">
        <v>955</v>
      </c>
      <c r="L47" s="2" t="s">
        <v>956</v>
      </c>
      <c r="M47" s="2">
        <v>100</v>
      </c>
      <c r="N47" s="2"/>
    </row>
    <row r="48" spans="1:14" x14ac:dyDescent="0.35">
      <c r="A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ignoredErrors>
    <ignoredError sqref="M2:M3 M43 M4:M5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  <col min="15" max="15" width="13.179687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965</v>
      </c>
    </row>
    <row r="2" spans="1:15" x14ac:dyDescent="0.35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5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5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5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5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5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5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5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5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5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5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5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5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5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5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5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5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5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5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5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5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5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5">
      <c r="A24" t="s">
        <v>931</v>
      </c>
      <c r="B24" t="s">
        <v>932</v>
      </c>
      <c r="C24" s="2" t="s">
        <v>27</v>
      </c>
      <c r="D24" s="2" t="s">
        <v>631</v>
      </c>
      <c r="E24" s="2" t="s">
        <v>39</v>
      </c>
      <c r="F24" t="s">
        <v>933</v>
      </c>
      <c r="G24">
        <v>20</v>
      </c>
      <c r="H24">
        <v>400</v>
      </c>
      <c r="I24" t="s">
        <v>737</v>
      </c>
      <c r="J24" s="2" t="s">
        <v>937</v>
      </c>
      <c r="K24" t="s">
        <v>938</v>
      </c>
      <c r="L24">
        <v>3.3</v>
      </c>
      <c r="M24" s="2" t="s">
        <v>936</v>
      </c>
      <c r="N24" t="s">
        <v>935</v>
      </c>
    </row>
    <row r="25" spans="1:14" x14ac:dyDescent="0.35">
      <c r="A25" t="s">
        <v>981</v>
      </c>
      <c r="B25" t="s">
        <v>982</v>
      </c>
      <c r="C25" s="2" t="s">
        <v>27</v>
      </c>
      <c r="D25" s="2" t="s">
        <v>631</v>
      </c>
      <c r="E25" s="2" t="s">
        <v>39</v>
      </c>
      <c r="F25" t="s">
        <v>983</v>
      </c>
      <c r="G25">
        <v>20</v>
      </c>
      <c r="H25">
        <v>400</v>
      </c>
      <c r="I25" t="s">
        <v>737</v>
      </c>
      <c r="J25" s="2" t="s">
        <v>985</v>
      </c>
      <c r="K25" t="s">
        <v>984</v>
      </c>
      <c r="L25">
        <v>2700</v>
      </c>
    </row>
    <row r="26" spans="1:14" x14ac:dyDescent="0.35">
      <c r="A26" t="s">
        <v>1149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1150</v>
      </c>
      <c r="K26" t="s">
        <v>1151</v>
      </c>
      <c r="L26">
        <v>330</v>
      </c>
    </row>
    <row r="27" spans="1:14" x14ac:dyDescent="0.35">
      <c r="A27" t="s">
        <v>1152</v>
      </c>
      <c r="B27" t="s">
        <v>1153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1154</v>
      </c>
      <c r="K27" t="s">
        <v>1155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5" x14ac:dyDescent="0.35"/>
  <cols>
    <col min="1" max="1" width="14.81640625" customWidth="1"/>
    <col min="2" max="2" width="77.81640625" customWidth="1"/>
    <col min="3" max="3" width="12" customWidth="1"/>
    <col min="4" max="4" width="27.1796875" customWidth="1"/>
    <col min="5" max="5" width="12.81640625" customWidth="1"/>
    <col min="6" max="6" width="36.179687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17968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965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5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913</v>
      </c>
      <c r="B11" t="s">
        <v>914</v>
      </c>
      <c r="C11" t="s">
        <v>958</v>
      </c>
      <c r="D11" s="2" t="s">
        <v>915</v>
      </c>
      <c r="E11" s="2" t="s">
        <v>913</v>
      </c>
      <c r="F11" s="2" t="str">
        <f t="shared" si="12"/>
        <v>Footprints\Inductance\M20VN.PcbLib</v>
      </c>
      <c r="G11" s="2" t="s">
        <v>913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916</v>
      </c>
    </row>
    <row r="12" spans="1:17" x14ac:dyDescent="0.35">
      <c r="A12" t="s">
        <v>928</v>
      </c>
      <c r="B12" t="s">
        <v>929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930</v>
      </c>
      <c r="B13" t="s">
        <v>934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951</v>
      </c>
      <c r="B14" t="s">
        <v>953</v>
      </c>
      <c r="C14" t="str">
        <f t="shared" si="11"/>
        <v>HV_trans</v>
      </c>
      <c r="D14" s="2" t="s">
        <v>952</v>
      </c>
      <c r="E14" s="2" t="s">
        <v>951</v>
      </c>
      <c r="F14" s="2" t="str">
        <f t="shared" si="12"/>
        <v>Footprints\Inductance\EE16_transformer.PcbLib</v>
      </c>
      <c r="G14" s="2" t="s">
        <v>954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1102</v>
      </c>
      <c r="B15" t="s">
        <v>1103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5">
      <c r="A16" t="s">
        <v>1156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5">
      <c r="A17" t="s">
        <v>1157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5">
      <c r="A18" t="s">
        <v>1186</v>
      </c>
      <c r="B18" t="s">
        <v>1187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1796875" customWidth="1"/>
    <col min="5" max="5" width="20.54296875" customWidth="1"/>
    <col min="6" max="6" width="21.81640625" customWidth="1"/>
    <col min="7" max="7" width="17.81640625" customWidth="1"/>
    <col min="8" max="8" width="22.81640625" customWidth="1"/>
    <col min="9" max="9" width="18.453125" customWidth="1"/>
    <col min="10" max="10" width="16.81640625" customWidth="1"/>
    <col min="11" max="11" width="12.453125" customWidth="1"/>
    <col min="12" max="12" width="13.17968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969</v>
      </c>
      <c r="L1" s="1" t="s">
        <v>965</v>
      </c>
      <c r="M1" s="1"/>
      <c r="N1" s="17"/>
      <c r="O1" s="1"/>
      <c r="P1" s="1"/>
      <c r="Q1" s="1"/>
    </row>
    <row r="2" spans="1:17" ht="15.5" x14ac:dyDescent="0.35">
      <c r="A2" s="21" t="s">
        <v>939</v>
      </c>
      <c r="B2" s="22" t="s">
        <v>940</v>
      </c>
      <c r="C2" s="20" t="str">
        <f>A2</f>
        <v>TS820-600B-TR</v>
      </c>
      <c r="D2" s="22" t="s">
        <v>942</v>
      </c>
      <c r="E2" s="22" t="s">
        <v>941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943</v>
      </c>
      <c r="K2" s="26" t="s">
        <v>945</v>
      </c>
      <c r="L2" s="26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7"/>
  <sheetViews>
    <sheetView topLeftCell="C1" zoomScale="104" zoomScaleNormal="104" workbookViewId="0">
      <selection activeCell="F24" sqref="F24"/>
    </sheetView>
  </sheetViews>
  <sheetFormatPr defaultRowHeight="14.5" x14ac:dyDescent="0.35"/>
  <cols>
    <col min="1" max="1" width="14.81640625" customWidth="1"/>
    <col min="2" max="2" width="120" bestFit="1" customWidth="1"/>
    <col min="3" max="3" width="12.54296875" customWidth="1"/>
    <col min="4" max="4" width="19.5429687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1026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1021</v>
      </c>
      <c r="I3" s="2" t="s">
        <v>1020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35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35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35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35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35">
      <c r="A13" s="2" t="s">
        <v>993</v>
      </c>
      <c r="B13" s="2" t="s">
        <v>995</v>
      </c>
      <c r="C13" s="2" t="s">
        <v>994</v>
      </c>
      <c r="D13" t="s">
        <v>996</v>
      </c>
      <c r="E13" s="2" t="s">
        <v>997</v>
      </c>
      <c r="F13" s="2" t="s">
        <v>992</v>
      </c>
      <c r="G13" s="2" t="s">
        <v>991</v>
      </c>
      <c r="H13" s="2"/>
      <c r="I13" s="2"/>
      <c r="J13" s="2"/>
      <c r="K13" s="2"/>
      <c r="L13" s="23" t="s">
        <v>998</v>
      </c>
    </row>
    <row r="14" spans="1:20" x14ac:dyDescent="0.35">
      <c r="A14" t="s">
        <v>999</v>
      </c>
      <c r="B14" t="s">
        <v>1001</v>
      </c>
      <c r="C14" t="s">
        <v>1000</v>
      </c>
      <c r="D14" t="s">
        <v>996</v>
      </c>
      <c r="E14" s="2" t="s">
        <v>997</v>
      </c>
      <c r="F14" s="2" t="str">
        <f t="shared" ref="F14:F15" si="5">CONCATENATE("Footprints\",G14,".PcbLib")</f>
        <v>Footprints\spacer_m2.5_h16.PcbLib</v>
      </c>
      <c r="G14" t="s">
        <v>999</v>
      </c>
      <c r="J14" t="str">
        <f>CONCATENATE("Footprints\",K14,".PcbLib")</f>
        <v>Footprints\.PcbLib</v>
      </c>
    </row>
    <row r="15" spans="1:20" x14ac:dyDescent="0.35">
      <c r="A15" t="s">
        <v>1022</v>
      </c>
      <c r="B15" t="s">
        <v>1023</v>
      </c>
      <c r="C15" t="str">
        <f>A15</f>
        <v>CR2032-VAY3-15.2</v>
      </c>
      <c r="D15" t="s">
        <v>1024</v>
      </c>
      <c r="E15" t="s">
        <v>1025</v>
      </c>
      <c r="F15" s="2" t="str">
        <f t="shared" si="5"/>
        <v>Footprints\CR2032-VAY3-15.2.PcbLib</v>
      </c>
      <c r="G15" t="s">
        <v>1022</v>
      </c>
      <c r="J15" t="str">
        <f>CONCATENATE("Footprints\",K15,".PcbLib")</f>
        <v>Footprints\.PcbLib</v>
      </c>
    </row>
    <row r="16" spans="1:20" x14ac:dyDescent="0.35">
      <c r="A16" t="s">
        <v>1050</v>
      </c>
      <c r="B16" t="s">
        <v>1051</v>
      </c>
      <c r="C16" t="s">
        <v>1052</v>
      </c>
      <c r="D16" t="str">
        <f t="shared" ref="D16" si="6">CONCATENATE("Schematic\",A16,".SchLib")</f>
        <v>Schematic\4WayDIP.SchLib</v>
      </c>
      <c r="E16" t="s">
        <v>1053</v>
      </c>
      <c r="F16" t="s">
        <v>1054</v>
      </c>
      <c r="G16" t="s">
        <v>1055</v>
      </c>
      <c r="J16" t="str">
        <f t="shared" ref="J16" si="7">CONCATENATE("Footprints\",K16,".PcbLib")</f>
        <v>Footprints\.PcbLib</v>
      </c>
    </row>
    <row r="17" spans="1:10" x14ac:dyDescent="0.35">
      <c r="A17" t="s">
        <v>1385</v>
      </c>
      <c r="B17" t="s">
        <v>1386</v>
      </c>
      <c r="C17" t="str">
        <f>A17</f>
        <v>Button_DIP_12x12</v>
      </c>
      <c r="D17" t="s">
        <v>1387</v>
      </c>
      <c r="E17" s="2" t="s">
        <v>54</v>
      </c>
      <c r="F17" t="s">
        <v>1388</v>
      </c>
      <c r="G17" t="s">
        <v>1385</v>
      </c>
      <c r="J17" t="str">
        <f>CONCATENATE("Footprints\",K17,".PcbLib")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5"/>
  <sheetViews>
    <sheetView tabSelected="1" topLeftCell="A32" zoomScaleNormal="100" workbookViewId="0">
      <selection activeCell="D59" sqref="D59"/>
    </sheetView>
  </sheetViews>
  <sheetFormatPr defaultRowHeight="14.5" x14ac:dyDescent="0.35"/>
  <cols>
    <col min="1" max="1" width="14.81640625" customWidth="1"/>
    <col min="2" max="2" width="40.453125" customWidth="1"/>
    <col min="3" max="3" width="13.1796875" customWidth="1"/>
    <col min="4" max="4" width="45.81640625" customWidth="1"/>
    <col min="5" max="5" width="17.1796875" customWidth="1"/>
    <col min="6" max="6" width="51" customWidth="1"/>
    <col min="7" max="7" width="16.81640625" customWidth="1"/>
    <col min="8" max="8" width="44.453125" customWidth="1"/>
    <col min="9" max="9" width="23.81640625" customWidth="1"/>
    <col min="10" max="10" width="28.81640625" customWidth="1"/>
    <col min="11" max="11" width="11.816406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965</v>
      </c>
      <c r="K1" s="1" t="s">
        <v>989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990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990</v>
      </c>
    </row>
    <row r="4" spans="1:11" x14ac:dyDescent="0.35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959</v>
      </c>
      <c r="G4" t="s">
        <v>109</v>
      </c>
      <c r="K4" t="s">
        <v>990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990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990</v>
      </c>
    </row>
    <row r="7" spans="1:11" x14ac:dyDescent="0.35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990</v>
      </c>
    </row>
    <row r="8" spans="1:11" x14ac:dyDescent="0.35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990</v>
      </c>
    </row>
    <row r="9" spans="1:11" x14ac:dyDescent="0.35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990</v>
      </c>
    </row>
    <row r="10" spans="1:11" x14ac:dyDescent="0.35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990</v>
      </c>
    </row>
    <row r="11" spans="1:11" x14ac:dyDescent="0.35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990</v>
      </c>
    </row>
    <row r="12" spans="1:11" x14ac:dyDescent="0.35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990</v>
      </c>
    </row>
    <row r="13" spans="1:11" x14ac:dyDescent="0.35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990</v>
      </c>
    </row>
    <row r="14" spans="1:11" x14ac:dyDescent="0.35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990</v>
      </c>
    </row>
    <row r="15" spans="1:11" x14ac:dyDescent="0.35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990</v>
      </c>
    </row>
    <row r="16" spans="1:11" x14ac:dyDescent="0.35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990</v>
      </c>
    </row>
    <row r="17" spans="1:11" x14ac:dyDescent="0.35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990</v>
      </c>
    </row>
    <row r="18" spans="1:11" x14ac:dyDescent="0.35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990</v>
      </c>
    </row>
    <row r="19" spans="1:11" x14ac:dyDescent="0.35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990</v>
      </c>
    </row>
    <row r="20" spans="1:11" x14ac:dyDescent="0.35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990</v>
      </c>
    </row>
    <row r="21" spans="1:11" x14ac:dyDescent="0.35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990</v>
      </c>
    </row>
    <row r="22" spans="1:11" x14ac:dyDescent="0.35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990</v>
      </c>
    </row>
    <row r="23" spans="1:11" x14ac:dyDescent="0.35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990</v>
      </c>
    </row>
    <row r="24" spans="1:11" x14ac:dyDescent="0.35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990</v>
      </c>
    </row>
    <row r="25" spans="1:11" x14ac:dyDescent="0.35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990</v>
      </c>
    </row>
    <row r="26" spans="1:11" x14ac:dyDescent="0.35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990</v>
      </c>
    </row>
    <row r="27" spans="1:11" x14ac:dyDescent="0.35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959</v>
      </c>
      <c r="G27" t="s">
        <v>885</v>
      </c>
      <c r="K27" t="s">
        <v>990</v>
      </c>
    </row>
    <row r="28" spans="1:11" x14ac:dyDescent="0.35">
      <c r="A28" t="s">
        <v>960</v>
      </c>
      <c r="B28" t="s">
        <v>967</v>
      </c>
      <c r="C28" t="s">
        <v>960</v>
      </c>
      <c r="D28" t="s">
        <v>351</v>
      </c>
      <c r="E28" s="2" t="s">
        <v>115</v>
      </c>
      <c r="F28" t="s">
        <v>961</v>
      </c>
      <c r="G28" t="s">
        <v>962</v>
      </c>
      <c r="J28" t="s">
        <v>966</v>
      </c>
      <c r="K28" t="s">
        <v>990</v>
      </c>
    </row>
    <row r="29" spans="1:11" x14ac:dyDescent="0.35">
      <c r="A29" t="s">
        <v>963</v>
      </c>
      <c r="B29" t="s">
        <v>968</v>
      </c>
      <c r="C29" t="s">
        <v>963</v>
      </c>
      <c r="D29" t="s">
        <v>356</v>
      </c>
      <c r="E29" s="2" t="s">
        <v>121</v>
      </c>
      <c r="F29" t="s">
        <v>961</v>
      </c>
      <c r="G29" t="s">
        <v>964</v>
      </c>
      <c r="J29" t="s">
        <v>966</v>
      </c>
      <c r="K29" t="s">
        <v>990</v>
      </c>
    </row>
    <row r="30" spans="1:11" x14ac:dyDescent="0.35">
      <c r="A30" t="s">
        <v>971</v>
      </c>
      <c r="B30" t="s">
        <v>970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975</v>
      </c>
      <c r="G30" t="s">
        <v>973</v>
      </c>
      <c r="J30" t="s">
        <v>976</v>
      </c>
      <c r="K30" t="s">
        <v>990</v>
      </c>
    </row>
    <row r="31" spans="1:11" x14ac:dyDescent="0.35">
      <c r="A31" t="s">
        <v>972</v>
      </c>
      <c r="B31" t="s">
        <v>970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975</v>
      </c>
      <c r="G31" t="s">
        <v>974</v>
      </c>
      <c r="J31" t="s">
        <v>976</v>
      </c>
      <c r="K31" t="s">
        <v>990</v>
      </c>
    </row>
    <row r="32" spans="1:11" x14ac:dyDescent="0.35">
      <c r="A32" t="s">
        <v>986</v>
      </c>
      <c r="B32" t="s">
        <v>120</v>
      </c>
      <c r="C32" t="s">
        <v>986</v>
      </c>
      <c r="D32" t="s">
        <v>356</v>
      </c>
      <c r="E32" s="2" t="s">
        <v>121</v>
      </c>
      <c r="F32" t="s">
        <v>987</v>
      </c>
      <c r="G32" t="s">
        <v>986</v>
      </c>
      <c r="J32" t="s">
        <v>988</v>
      </c>
      <c r="K32" t="s">
        <v>990</v>
      </c>
    </row>
    <row r="33" spans="1:11" x14ac:dyDescent="0.35">
      <c r="A33" t="s">
        <v>1002</v>
      </c>
      <c r="B33" t="s">
        <v>1003</v>
      </c>
      <c r="C33" t="s">
        <v>1002</v>
      </c>
      <c r="D33" t="s">
        <v>352</v>
      </c>
      <c r="E33" s="2" t="s">
        <v>116</v>
      </c>
      <c r="F33" t="s">
        <v>959</v>
      </c>
      <c r="G33" t="s">
        <v>1004</v>
      </c>
      <c r="J33" t="s">
        <v>1016</v>
      </c>
      <c r="K33" t="s">
        <v>990</v>
      </c>
    </row>
    <row r="34" spans="1:11" x14ac:dyDescent="0.35">
      <c r="A34" t="s">
        <v>1005</v>
      </c>
      <c r="B34" t="s">
        <v>1006</v>
      </c>
      <c r="C34" t="s">
        <v>1005</v>
      </c>
      <c r="D34" t="s">
        <v>1166</v>
      </c>
      <c r="E34" s="2" t="s">
        <v>1167</v>
      </c>
      <c r="F34" t="s">
        <v>1007</v>
      </c>
      <c r="G34" t="s">
        <v>1008</v>
      </c>
      <c r="J34" t="s">
        <v>976</v>
      </c>
      <c r="K34" t="s">
        <v>990</v>
      </c>
    </row>
    <row r="35" spans="1:11" x14ac:dyDescent="0.35">
      <c r="A35" t="s">
        <v>1203</v>
      </c>
      <c r="B35" t="s">
        <v>1006</v>
      </c>
      <c r="C35" t="s">
        <v>1203</v>
      </c>
      <c r="D35" t="s">
        <v>1166</v>
      </c>
      <c r="E35" s="2" t="s">
        <v>1167</v>
      </c>
      <c r="F35" t="s">
        <v>1204</v>
      </c>
      <c r="G35" t="s">
        <v>1205</v>
      </c>
      <c r="J35" s="38" t="s">
        <v>1016</v>
      </c>
      <c r="K35" t="s">
        <v>990</v>
      </c>
    </row>
    <row r="36" spans="1:11" x14ac:dyDescent="0.35">
      <c r="A36" t="s">
        <v>1009</v>
      </c>
      <c r="B36" t="s">
        <v>1010</v>
      </c>
      <c r="C36" s="2" t="s">
        <v>1011</v>
      </c>
      <c r="D36" t="s">
        <v>1012</v>
      </c>
      <c r="E36" t="s">
        <v>1013</v>
      </c>
      <c r="F36" t="s">
        <v>1014</v>
      </c>
      <c r="G36" t="s">
        <v>1009</v>
      </c>
      <c r="J36" t="s">
        <v>1015</v>
      </c>
      <c r="K36" t="s">
        <v>990</v>
      </c>
    </row>
    <row r="37" spans="1:11" x14ac:dyDescent="0.35">
      <c r="A37" t="s">
        <v>1017</v>
      </c>
      <c r="B37" t="s">
        <v>1018</v>
      </c>
      <c r="C37" s="2" t="s">
        <v>1017</v>
      </c>
      <c r="D37" t="s">
        <v>354</v>
      </c>
      <c r="E37" s="2" t="s">
        <v>119</v>
      </c>
      <c r="F37" t="s">
        <v>959</v>
      </c>
      <c r="G37" t="s">
        <v>1019</v>
      </c>
      <c r="J37" t="s">
        <v>1016</v>
      </c>
      <c r="K37" t="s">
        <v>990</v>
      </c>
    </row>
    <row r="38" spans="1:11" x14ac:dyDescent="0.35">
      <c r="A38" t="s">
        <v>1056</v>
      </c>
      <c r="B38" t="s">
        <v>1057</v>
      </c>
      <c r="C38" s="2" t="s">
        <v>1056</v>
      </c>
      <c r="D38" t="s">
        <v>1058</v>
      </c>
      <c r="E38" t="s">
        <v>1056</v>
      </c>
      <c r="F38" t="s">
        <v>1059</v>
      </c>
      <c r="G38" t="s">
        <v>1056</v>
      </c>
      <c r="K38" t="s">
        <v>990</v>
      </c>
    </row>
    <row r="39" spans="1:11" x14ac:dyDescent="0.35">
      <c r="A39" t="s">
        <v>1060</v>
      </c>
      <c r="B39" t="s">
        <v>1061</v>
      </c>
      <c r="C39" s="2" t="s">
        <v>1060</v>
      </c>
      <c r="D39" t="s">
        <v>1062</v>
      </c>
      <c r="E39" t="s">
        <v>1060</v>
      </c>
      <c r="F39" t="s">
        <v>1063</v>
      </c>
      <c r="G39" t="s">
        <v>1060</v>
      </c>
      <c r="K39" t="s">
        <v>990</v>
      </c>
    </row>
    <row r="40" spans="1:11" x14ac:dyDescent="0.35">
      <c r="A40" t="s">
        <v>1064</v>
      </c>
      <c r="B40" t="s">
        <v>1065</v>
      </c>
      <c r="C40" s="2" t="s">
        <v>1066</v>
      </c>
      <c r="D40" t="s">
        <v>1067</v>
      </c>
      <c r="E40" t="s">
        <v>1064</v>
      </c>
      <c r="F40" t="s">
        <v>1068</v>
      </c>
      <c r="G40" t="s">
        <v>1064</v>
      </c>
      <c r="K40" t="s">
        <v>990</v>
      </c>
    </row>
    <row r="41" spans="1:11" x14ac:dyDescent="0.35">
      <c r="A41" t="s">
        <v>1069</v>
      </c>
      <c r="B41" t="s">
        <v>1070</v>
      </c>
      <c r="C41" s="2" t="s">
        <v>1071</v>
      </c>
      <c r="D41" t="s">
        <v>1072</v>
      </c>
      <c r="E41" t="s">
        <v>1073</v>
      </c>
      <c r="F41" t="s">
        <v>1074</v>
      </c>
      <c r="G41" t="s">
        <v>1075</v>
      </c>
      <c r="K41" t="s">
        <v>990</v>
      </c>
    </row>
    <row r="42" spans="1:11" x14ac:dyDescent="0.35">
      <c r="A42" s="2" t="s">
        <v>1078</v>
      </c>
      <c r="B42" t="s">
        <v>1076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1079</v>
      </c>
      <c r="F42" t="str">
        <f>CONCATENATE("Footprints\Connectors\", G42, ".PcbLib")</f>
        <v>Footprints\Connectors\DF12(3.0)-32DP.PcbLib</v>
      </c>
      <c r="G42" t="s">
        <v>1078</v>
      </c>
      <c r="K42" t="s">
        <v>990</v>
      </c>
    </row>
    <row r="43" spans="1:11" x14ac:dyDescent="0.35">
      <c r="A43" s="2" t="s">
        <v>1077</v>
      </c>
      <c r="B43" t="s">
        <v>1080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1079</v>
      </c>
      <c r="F43" t="str">
        <f>CONCATENATE("Footprints\Connectors\", G43, ".PcbLib")</f>
        <v>Footprints\Connectors\DF12(3.0)-32DS.PcbLib</v>
      </c>
      <c r="G43" t="s">
        <v>1077</v>
      </c>
      <c r="K43" t="s">
        <v>990</v>
      </c>
    </row>
    <row r="44" spans="1:11" x14ac:dyDescent="0.35">
      <c r="A44" t="s">
        <v>1081</v>
      </c>
      <c r="B44" t="s">
        <v>1082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1083</v>
      </c>
      <c r="F44" t="str">
        <f t="shared" ref="F44:F46" si="2">CONCATENATE("Footprints\Connectors\", G44, ".PcbLib")</f>
        <v>Footprints\Connectors\DF40C-50DP.PcbLib</v>
      </c>
      <c r="G44" t="s">
        <v>1081</v>
      </c>
      <c r="K44" t="s">
        <v>990</v>
      </c>
    </row>
    <row r="45" spans="1:11" x14ac:dyDescent="0.35">
      <c r="A45" t="s">
        <v>1084</v>
      </c>
      <c r="B45" t="s">
        <v>1085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1083</v>
      </c>
      <c r="F45" t="str">
        <f t="shared" si="2"/>
        <v>Footprints\Connectors\DF40C-50DS.PcbLib</v>
      </c>
      <c r="G45" t="s">
        <v>1084</v>
      </c>
      <c r="K45" t="s">
        <v>990</v>
      </c>
    </row>
    <row r="46" spans="1:11" x14ac:dyDescent="0.35">
      <c r="A46" t="s">
        <v>1086</v>
      </c>
      <c r="B46" t="s">
        <v>1085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1083</v>
      </c>
      <c r="F46" t="str">
        <f t="shared" si="2"/>
        <v>Footprints\Connectors\DF40HC(4.0)-50DS.PcbLib</v>
      </c>
      <c r="G46" t="s">
        <v>1086</v>
      </c>
      <c r="K46" t="s">
        <v>990</v>
      </c>
    </row>
    <row r="47" spans="1:11" x14ac:dyDescent="0.35">
      <c r="A47" t="s">
        <v>1087</v>
      </c>
      <c r="B47" t="s">
        <v>1088</v>
      </c>
      <c r="C47" s="2" t="str">
        <f t="shared" si="0"/>
        <v>PLS-6</v>
      </c>
      <c r="D47" t="str">
        <f t="shared" si="1"/>
        <v>Schematic\Connectors\Conn_6pin.SchLib</v>
      </c>
      <c r="E47" t="s">
        <v>1089</v>
      </c>
      <c r="F47" t="s">
        <v>959</v>
      </c>
      <c r="G47" t="s">
        <v>1090</v>
      </c>
      <c r="K47" t="s">
        <v>990</v>
      </c>
    </row>
    <row r="48" spans="1:11" x14ac:dyDescent="0.35">
      <c r="A48" t="s">
        <v>1158</v>
      </c>
      <c r="B48" t="s">
        <v>1159</v>
      </c>
      <c r="C48" s="2" t="s">
        <v>1158</v>
      </c>
      <c r="D48" t="s">
        <v>354</v>
      </c>
      <c r="E48" s="2" t="s">
        <v>119</v>
      </c>
      <c r="F48" t="s">
        <v>1160</v>
      </c>
      <c r="G48" t="s">
        <v>1158</v>
      </c>
      <c r="K48" t="s">
        <v>990</v>
      </c>
    </row>
    <row r="49" spans="1:11" x14ac:dyDescent="0.35">
      <c r="A49" t="s">
        <v>1161</v>
      </c>
      <c r="B49" t="s">
        <v>1162</v>
      </c>
      <c r="C49" s="2" t="s">
        <v>1161</v>
      </c>
      <c r="D49" t="s">
        <v>663</v>
      </c>
      <c r="E49" s="2" t="s">
        <v>661</v>
      </c>
      <c r="F49" t="s">
        <v>1163</v>
      </c>
      <c r="G49" t="s">
        <v>1161</v>
      </c>
      <c r="K49" t="s">
        <v>990</v>
      </c>
    </row>
    <row r="50" spans="1:11" x14ac:dyDescent="0.35">
      <c r="A50" t="s">
        <v>1164</v>
      </c>
      <c r="B50" t="s">
        <v>1165</v>
      </c>
      <c r="C50" s="2" t="s">
        <v>1164</v>
      </c>
      <c r="D50" t="s">
        <v>1166</v>
      </c>
      <c r="E50" s="2" t="s">
        <v>1167</v>
      </c>
      <c r="F50" t="s">
        <v>1168</v>
      </c>
      <c r="G50" t="s">
        <v>1164</v>
      </c>
      <c r="K50" t="s">
        <v>990</v>
      </c>
    </row>
    <row r="51" spans="1:11" x14ac:dyDescent="0.35">
      <c r="A51" t="s">
        <v>1170</v>
      </c>
      <c r="B51" t="s">
        <v>1171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1167</v>
      </c>
      <c r="F51" t="str">
        <f t="shared" ref="F51:F54" si="5">CONCATENATE("Footprints\Connectors\", G51, ".PcbLib")</f>
        <v>Footprints\Connectors\DF40C-40DP.PcbLib</v>
      </c>
      <c r="G51" t="s">
        <v>1170</v>
      </c>
      <c r="K51" t="s">
        <v>990</v>
      </c>
    </row>
    <row r="52" spans="1:11" x14ac:dyDescent="0.35">
      <c r="A52" t="s">
        <v>1172</v>
      </c>
      <c r="B52" t="s">
        <v>1173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1167</v>
      </c>
      <c r="F52" t="str">
        <f t="shared" si="5"/>
        <v>Footprints\Connectors\DF40C-40DS.PcbLib</v>
      </c>
      <c r="G52" t="s">
        <v>1172</v>
      </c>
      <c r="K52" t="s">
        <v>990</v>
      </c>
    </row>
    <row r="53" spans="1:11" x14ac:dyDescent="0.35">
      <c r="A53" t="s">
        <v>1192</v>
      </c>
      <c r="B53" t="s">
        <v>1193</v>
      </c>
      <c r="C53" s="2" t="s">
        <v>1192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1192</v>
      </c>
      <c r="J53" t="s">
        <v>1194</v>
      </c>
      <c r="K53" t="s">
        <v>990</v>
      </c>
    </row>
    <row r="54" spans="1:11" x14ac:dyDescent="0.35">
      <c r="A54" t="s">
        <v>1196</v>
      </c>
      <c r="B54" t="s">
        <v>1195</v>
      </c>
      <c r="C54" t="s">
        <v>1192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1197</v>
      </c>
      <c r="J54" t="s">
        <v>1194</v>
      </c>
      <c r="K54" t="s">
        <v>990</v>
      </c>
    </row>
    <row r="55" spans="1:11" x14ac:dyDescent="0.35">
      <c r="A55" s="33" t="s">
        <v>1394</v>
      </c>
      <c r="B55" s="34" t="s">
        <v>1395</v>
      </c>
      <c r="C55" s="34" t="s">
        <v>1394</v>
      </c>
      <c r="D55" s="34" t="s">
        <v>996</v>
      </c>
      <c r="E55" s="34" t="s">
        <v>997</v>
      </c>
      <c r="F55" s="34" t="s">
        <v>1396</v>
      </c>
      <c r="G55" s="34" t="s">
        <v>1397</v>
      </c>
      <c r="H55" s="34"/>
      <c r="I55" s="34"/>
      <c r="J55" s="34"/>
      <c r="K55" s="40" t="s">
        <v>990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2025-09-19T14:24:50Z</dcterms:modified>
</cp:coreProperties>
</file>