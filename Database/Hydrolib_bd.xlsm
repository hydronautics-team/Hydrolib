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5CB152DA-F59C-4195-B0C0-4E235C8D7B36}" xr6:coauthVersionLast="47" xr6:coauthVersionMax="47" xr10:uidLastSave="{00000000-0000-0000-0000-000000000000}"/>
  <bookViews>
    <workbookView xWindow="-108" yWindow="-108" windowWidth="23256" windowHeight="12456" firstSheet="7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<sst xmlns="http://schemas.openxmlformats.org/spreadsheetml/2006/main" count="3395" uniqueCount="1411">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</sst>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37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20" tableType="xml" totalsRowShown="0" headerRowDxfId="41" connectionId="9">
  <autoFilter ref="A1:Q20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7" dataDxfId="16" connectionId="11">
  <autoFilter ref="A1:L17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6" tableType="xml" totalsRowShown="0" headerRowDxfId="3" connectionId="7">
  <autoFilter ref="A1:K5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18" zoomScale="85" zoomScaleNormal="85" workbookViewId="0">
      <selection activeCell="A52" sqref="A52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  <row r="51" spans="1:7" x14ac:dyDescent="0.3">
      <c r="A51" t="s">
        <v>1392</v>
      </c>
      <c r="B51" t="s">
        <v>1393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6" x14ac:dyDescent="0.3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6" x14ac:dyDescent="0.3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6" x14ac:dyDescent="0.3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6" x14ac:dyDescent="0.3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6" x14ac:dyDescent="0.3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6" x14ac:dyDescent="0.3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6" x14ac:dyDescent="0.3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6" x14ac:dyDescent="0.3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6" x14ac:dyDescent="0.3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6" x14ac:dyDescent="0.3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6" x14ac:dyDescent="0.3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6" x14ac:dyDescent="0.3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6" x14ac:dyDescent="0.3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6" x14ac:dyDescent="0.3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6" x14ac:dyDescent="0.3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6" x14ac:dyDescent="0.3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4.4" x14ac:dyDescent="0.3"/>
  <cols>
    <col min="1" max="1" width="32" bestFit="1" customWidth="1"/>
    <col min="2" max="2" width="58.77734375" customWidth="1"/>
    <col min="3" max="3" width="26.5546875" customWidth="1"/>
    <col min="4" max="4" width="13.21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20"/>
  <sheetViews>
    <sheetView tabSelected="1" zoomScaleNormal="100" workbookViewId="0">
      <selection activeCell="B23" sqref="B23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6" x14ac:dyDescent="0.3">
      <c r="A19" t="s">
        <v>1404</v>
      </c>
      <c r="B19" t="s">
        <v>1405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s="41">
        <v>2.5</v>
      </c>
      <c r="P19" t="str">
        <f t="shared" ref="P19:P20" si="19">CONCATENATE(N19, " мк")</f>
        <v>4,7 мк</v>
      </c>
    </row>
    <row r="20" spans="1:16" x14ac:dyDescent="0.3">
      <c r="A20" t="s">
        <v>1406</v>
      </c>
      <c r="B20" t="s">
        <v>1407</v>
      </c>
      <c r="C20" t="str">
        <f>A20</f>
        <v>CDRH6D12NP-2R2NC</v>
      </c>
      <c r="D20" s="2" t="s">
        <v>1408</v>
      </c>
      <c r="E20" s="2" t="s">
        <v>1409</v>
      </c>
      <c r="F20" s="2" t="str">
        <f>CONCATENATE("Footprints\Inductance\",G20,".PcbLib")</f>
        <v>Footprints\Inductance\CDRH6D12.PcbLib</v>
      </c>
      <c r="G20" s="2" t="s">
        <v>1410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s="41">
        <v>2.5</v>
      </c>
      <c r="P20" t="str">
        <f t="shared" si="19"/>
        <v>2,2 мк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6" x14ac:dyDescent="0.3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4" x14ac:dyDescent="0.3"/>
  <cols>
    <col min="1" max="1" width="14.77734375" customWidth="1"/>
    <col min="2" max="2" width="120" bestFit="1" customWidth="1"/>
    <col min="3" max="3" width="12.5546875" customWidth="1"/>
    <col min="4" max="4" width="19.554687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6"/>
  <sheetViews>
    <sheetView topLeftCell="A45" zoomScaleNormal="100" workbookViewId="0">
      <selection activeCell="F59" sqref="F5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  <row r="55" spans="1:11" x14ac:dyDescent="0.3">
      <c r="A55" s="33" t="s">
        <v>1394</v>
      </c>
      <c r="B55" s="34" t="s">
        <v>1395</v>
      </c>
      <c r="C55" s="34" t="s">
        <v>1394</v>
      </c>
      <c r="D55" s="34" t="s">
        <v>996</v>
      </c>
      <c r="E55" s="34" t="s">
        <v>997</v>
      </c>
      <c r="F55" s="34" t="s">
        <v>1396</v>
      </c>
      <c r="G55" s="34" t="s">
        <v>1397</v>
      </c>
      <c r="H55" s="34"/>
      <c r="I55" s="34"/>
      <c r="J55" s="34"/>
      <c r="K55" s="40" t="s">
        <v>990</v>
      </c>
    </row>
    <row r="56" spans="1:11" x14ac:dyDescent="0.3">
      <c r="A56" t="s">
        <v>1398</v>
      </c>
      <c r="B56" t="s">
        <v>1399</v>
      </c>
      <c r="C56" s="2" t="s">
        <v>1398</v>
      </c>
      <c r="D56" s="34" t="s">
        <v>1400</v>
      </c>
      <c r="E56" t="s">
        <v>1398</v>
      </c>
      <c r="F56" s="34" t="s">
        <v>1402</v>
      </c>
      <c r="G56" t="s">
        <v>1403</v>
      </c>
      <c r="J56" t="s">
        <v>1401</v>
      </c>
      <c r="K56" s="40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2025-09-28T18:01:10Z</dcterms:modified>
</cp:coreProperties>
</file>