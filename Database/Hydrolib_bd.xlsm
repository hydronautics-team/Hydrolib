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66F52079-3631-4CB0-BA2B-99F02AC2BE5D}" xr6:coauthVersionLast="47" xr6:coauthVersionMax="47" xr10:uidLastSave="{00000000-0000-0000-0000-000000000000}"/>
  <bookViews>
    <workbookView xWindow="-108" yWindow="-108" windowWidth="23256" windowHeight="12456" tabRatio="896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2" i="11" l="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<sst xmlns="http://schemas.openxmlformats.org/spreadsheetml/2006/main" count="3868" uniqueCount="1601">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</sst>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  <xf numFmtId="0" fontId="0" fillId="0" borderId="0" xfId="0" applyNumberFormat="1" applyBorder="1"/>
    <xf numFmtId="49" fontId="0" fillId="0" borderId="0" xfId="0" applyNumberFormat="1" applyBorder="1"/>
  </cellXfs>
  <cellStyles count="2">
    <cellStyle name="Гиперссылка" xfId="1" builtinId="8"/>
    <cellStyle name="Обычный" xfId="0" builtinId="0"/>
  </cellStyles>
  <dxfs count="147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6" tableType="xml" totalsRowShown="0" headerRowDxfId="146" connectionId="6">
  <autoFilter ref="A1:M56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41" connectionId="19">
  <autoFilter ref="A1:M13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7" connectionId="18">
  <autoFilter ref="A1:M18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20" dataDxfId="119" connectionId="14">
  <autoFilter ref="A1:O185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3" connectionId="12">
  <autoFilter ref="A1:L3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2" tableType="xml" totalsRowShown="0" headerRowDxfId="16" headerRowBorderDxfId="14" tableBorderDxfId="15" connectionId="2">
  <autoFilter ref="A1:N52" xr:uid="{327E2CF9-785D-47F4-832A-C43F8CC576C1}"/>
  <tableColumns count="14">
    <tableColumn id="1" xr3:uid="{2D0493C6-3702-49E5-A0C3-4E2E8E195E17}" uniqueName="PartNumber" name="Part Number" dataDxfId="13">
      <xmlColumnPr mapId="43" xpath="/Capacitors_ceramic/Part/PartNumber" xmlDataType="string"/>
    </tableColumn>
    <tableColumn id="2" xr3:uid="{3FA58AD0-DEA9-402B-AF51-421884AC47BB}" uniqueName="Description" name="Description" dataDxfId="1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11">
      <xmlColumnPr mapId="43" xpath="/Capacitors_ceramic/Part/LibraryRef" xmlDataType="string"/>
    </tableColumn>
    <tableColumn id="4" xr3:uid="{EC600B45-0E9F-4512-A8BA-DAE1BBEF89DB}" uniqueName="LibraryPath" name="Library Path" dataDxfId="10">
      <xmlColumnPr mapId="43" xpath="/Capacitors_ceramic/Part/LibraryPath" xmlDataType="string"/>
    </tableColumn>
    <tableColumn id="7" xr3:uid="{825A321C-E6A0-4EAF-AEC4-F451D6437D35}" uniqueName="Tolerance" name="Library Ref" dataDxfId="9">
      <xmlColumnPr mapId="43" xpath="/Capacitors_ceramic/Part/Tolerance" xmlDataType="double"/>
    </tableColumn>
    <tableColumn id="8" xr3:uid="{6BBE44D9-FFC5-457D-8041-DAABC8C7BA50}" uniqueName="Voltage" name="Value" dataDxfId="8">
      <xmlColumnPr mapId="43" xpath="/Capacitors_ceramic/Part/Voltage" xmlDataType="integer"/>
    </tableColumn>
    <tableColumn id="9" xr3:uid="{40615D5C-FAC6-4DE7-AD52-985B05512BA6}" uniqueName="Dielectric" name="Tolerance" dataDxfId="7">
      <xmlColumnPr mapId="43" xpath="/Capacitors_ceramic/Part/Dielectric" xmlDataType="string"/>
    </tableColumn>
    <tableColumn id="10" xr3:uid="{A0E5BE7F-C8F6-4C6F-887E-2AC1E17340A3}" uniqueName="FootprintPath1" name="Voltage (V)" dataDxfId="6">
      <xmlColumnPr mapId="43" xpath="/Capacitors_ceramic/Part/FootprintPath1" xmlDataType="string"/>
    </tableColumn>
    <tableColumn id="11" xr3:uid="{1125B898-8A5A-4932-9E6A-70BE1D0B17C2}" uniqueName="FootprintRef1" name="Dielectric" dataDxfId="5">
      <xmlColumnPr mapId="43" xpath="/Capacitors_ceramic/Part/FootprintRef1" xmlDataType="string"/>
    </tableColumn>
    <tableColumn id="12" xr3:uid="{A0B20E33-F9DE-4128-B3C1-A5F5EF419A6A}" uniqueName="Capacity" name="Footprint Path 1" dataDxfId="4">
      <xmlColumnPr mapId="43" xpath="/Capacitors_ceramic/Part/Capacity" xmlDataType="double"/>
    </tableColumn>
    <tableColumn id="3" xr3:uid="{3CA4A3C4-175F-4D31-8C1D-DB8BDFEC6751}" uniqueName="3" name="Footprint Ref 1" dataDxfId="3"/>
    <tableColumn id="13" xr3:uid="{AC6DF023-DF8E-4431-956C-EF5B1E686C64}" uniqueName="13" name="Capacity (nF)" dataDxfId="2"/>
    <tableColumn id="14" xr3:uid="{F581E0EF-A6A3-43F4-9E9D-EE0565B490AB}" uniqueName="14" name="Datasheet" dataDxfId="1"/>
    <tableColumn id="6" xr3:uid="{6441484A-4B24-46D3-8427-885C43151488}" uniqueName="6" name="Автор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66" headerRowBorderDxfId="65" tableBorderDxfId="64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4" tableType="xml" totalsRowShown="0" headerRowDxfId="63" connectionId="9">
  <autoFilter ref="A1:R24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62"/>
    <tableColumn id="7" xr3:uid="{49B409CD-94AC-4F2C-BC5E-E8FF519C8D6F}" uniqueName="FootprintRef1" name="Library Ref" dataDxfId="61"/>
    <tableColumn id="8" xr3:uid="{71017A8D-C83B-4D64-80AC-6C5EC84419D6}" uniqueName="FootprintPath1" name="Footprint Path 1" dataDxfId="60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59">
      <xmlColumnPr mapId="66" xpath="/Inductance/Part/FootprintRef1" xmlDataType="string"/>
    </tableColumn>
    <tableColumn id="10" xr3:uid="{14D45471-DB98-4B30-AE3F-A5F2151147AD}" uniqueName="FootprintPath2" name="Footprint Path 2" dataDxfId="58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57">
      <xmlColumnPr mapId="66" xpath="/Inductance/Part/FootprintRef2" xmlDataType="string"/>
    </tableColumn>
    <tableColumn id="12" xr3:uid="{32F2E3FF-9422-4CF5-B324-9B3A82F8F97B}" uniqueName="FootprintPath3" name="Footprint Path 3" dataDxfId="56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55">
      <xmlColumnPr mapId="66" xpath="/Inductance/Part/FootprintRef3" xmlDataType="string"/>
    </tableColumn>
    <tableColumn id="14" xr3:uid="{182C547A-FB6B-4C10-86F9-E53125E130E2}" uniqueName="FootprintPath4" name="Footprint Path 4" dataDxfId="54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53">
      <xmlColumnPr mapId="66" xpath="/Inductance/Part/FootprintRef4" xmlDataType="string"/>
    </tableColumn>
    <tableColumn id="4" xr3:uid="{CA7AF69B-83D2-4752-8493-BAD0C62EE720}" uniqueName="Inductance" name="Inductance (μH)" dataDxfId="52">
      <xmlColumnPr mapId="66" xpath="/Inductance/Part/Inductance" xmlDataType="string"/>
    </tableColumn>
    <tableColumn id="5" xr3:uid="{C2963412-5B9C-4A2F-B88B-CC5D53C10CE2}" uniqueName="Current" name="Current" dataDxfId="51">
      <xmlColumnPr mapId="66" xpath="/Inductance/Part/Current" xmlDataType="string"/>
    </tableColumn>
    <tableColumn id="16" xr3:uid="{CFC80C7F-7597-4120-91B5-A73734ECE731}" uniqueName="Value" name="Value" dataDxfId="50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49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48">
      <xmlColumnPr mapId="81" xpath="/Thyristors/Part/LibraryPath" xmlDataType="string"/>
    </tableColumn>
    <tableColumn id="7" xr3:uid="{80B3F569-C3F5-47F7-8D7B-28E201DA2617}" uniqueName="LibraryRef" name="Library Ref" dataDxfId="47">
      <xmlColumnPr mapId="81" xpath="/Thyristors/Part/LibraryRef" xmlDataType="string"/>
    </tableColumn>
    <tableColumn id="8" xr3:uid="{89EB4D75-A298-4A70-95A0-C55A38516DD5}" uniqueName="FootprintPath1" name="Footprint Path 1" dataDxfId="46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45">
      <xmlColumnPr mapId="81" xpath="/Thyristors/Part/FootprintRef1" xmlDataType="string"/>
    </tableColumn>
    <tableColumn id="10" xr3:uid="{9EE91FEA-9669-439B-8C30-DE7C5C8EDEAC}" uniqueName="FootprintPath2" name="Footprint Path 2" dataDxfId="44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43">
      <xmlColumnPr mapId="81" xpath="/Thyristors/Part/FootprintRef2" xmlDataType="string"/>
    </tableColumn>
    <tableColumn id="12" xr3:uid="{FBA8999D-4F5F-4375-B94D-80D73962B6E9}" uniqueName="Voltage" name="Voltage (V)" dataDxfId="42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41">
      <xmlColumnPr mapId="81" xpath="/Thyristors/Part/Current" xmlDataType="string"/>
    </tableColumn>
    <tableColumn id="14" xr3:uid="{DB8175AF-F0C6-47C1-8F0E-9BE83B53E316}" uniqueName="Power" name="Datasheet" dataDxfId="40">
      <calculatedColumnFormula>CONCATENATE("Footprints\Inductance\",M2,".PcbLib")</calculatedColumnFormula>
    </tableColumn>
    <tableColumn id="4" xr3:uid="{D9995BFB-85DE-45BC-8357-32D82CDF7ADB}" uniqueName="4" name="Автор" dataDxfId="3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5" tableType="xml" totalsRowShown="0" headerRowDxfId="38" dataDxfId="37" connectionId="11">
  <autoFilter ref="A1:P25" xr:uid="{071F457A-0F82-4CD6-80C4-65E86DBEF353}"/>
  <tableColumns count="16">
    <tableColumn id="1" xr3:uid="{AE9DCB61-0A9B-41D9-AC76-56D9ED6F9D71}" uniqueName="PartNumber" name="Part Number" dataDxfId="36">
      <xmlColumnPr mapId="73" xpath="/Other/Part/PartNumber" xmlDataType="string"/>
    </tableColumn>
    <tableColumn id="2" xr3:uid="{8662C04B-9C7C-48A2-ACC7-0FAAF1F41588}" uniqueName="Description" name="Description" dataDxfId="35">
      <xmlColumnPr mapId="73" xpath="/Other/Part/Description" xmlDataType="string"/>
    </tableColumn>
    <tableColumn id="3" xr3:uid="{7CF3CA75-1923-4F19-999C-14E1807BD3F5}" uniqueName="Comment" name="Comment" dataDxfId="34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33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32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31">
      <xmlColumnPr mapId="73" xpath="/Other/Part/FootprintPath1" xmlDataType="string"/>
    </tableColumn>
    <tableColumn id="7" xr3:uid="{78484622-732C-4ACF-9F43-B1AC2CDD73FA}" uniqueName="FootprintRef1" name="Footprint Ref 1" dataDxfId="30">
      <xmlColumnPr mapId="73" xpath="/Other/Part/FootprintRef1" xmlDataType="string"/>
    </tableColumn>
    <tableColumn id="8" xr3:uid="{9B1D9BE1-3884-44C5-88CA-6A2CCE154C24}" uniqueName="FootprintPath2" name="Footprint Path 2" dataDxfId="29">
      <xmlColumnPr mapId="73" xpath="/Other/Part/FootprintPath2" xmlDataType="string"/>
    </tableColumn>
    <tableColumn id="9" xr3:uid="{41DD9B28-B52E-42E2-980C-18F4A1B9EC96}" uniqueName="FootprintRef2" name="Footprint Ref 2" dataDxfId="28">
      <xmlColumnPr mapId="73" xpath="/Other/Part/FootprintRef2" xmlDataType="string"/>
    </tableColumn>
    <tableColumn id="10" xr3:uid="{93223D18-9C09-4B7B-8F23-E7B288A9B36F}" uniqueName="FootprintPath3" name="Footprint Path 3" dataDxfId="27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26">
      <xmlColumnPr mapId="73" xpath="/Other/Part/FootprintRef3" xmlDataType="string"/>
    </tableColumn>
    <tableColumn id="12" xr3:uid="{7C7EE8D3-0879-4E51-BE9D-9FFCF5159E00}" uniqueName="12" name="Footprint Path 4" dataDxfId="25">
      <calculatedColumnFormula>CONCATENATE("Footprints\",M2,".PcbLib")</calculatedColumnFormula>
    </tableColumn>
    <tableColumn id="13" xr3:uid="{C52E9A30-4E71-4BA8-BCEB-15C10C4A25CB}" uniqueName="13" name="Footprint Ref 4" dataDxfId="24"/>
    <tableColumn id="14" xr3:uid="{DF464249-2F59-4FAB-86C7-C3B8ACB81D99}" uniqueName="14" name="Value" dataDxfId="23"/>
    <tableColumn id="15" xr3:uid="{078A2BF1-2982-44EA-B14E-8AD36C6A8565}" uniqueName="15" name="Datasheet" dataDxfId="22"/>
    <tableColumn id="16" xr3:uid="{63FCD68C-47BF-4FDE-8472-6A537D68D453}" uniqueName="16" name="Автор" dataDxfId="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7" tableType="xml" totalsRowShown="0" headerRowDxfId="20" connectionId="7">
  <autoFilter ref="A1:L67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9">
      <xmlColumnPr mapId="12" xpath="/Connectors/Part/Comment" xmlDataType="string"/>
    </tableColumn>
    <tableColumn id="4" xr3:uid="{380EC291-D984-459A-9EA9-43539735BE21}" uniqueName="LibraryPath" name="Library Path" dataDxfId="18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7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3/10/13/NSi8100NC_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6"/>
  <sheetViews>
    <sheetView topLeftCell="A3" zoomScale="85" zoomScaleNormal="85" workbookViewId="0">
      <selection activeCell="F62" sqref="F62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1426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1426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1426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1193</v>
      </c>
      <c r="M13" t="s">
        <v>1426</v>
      </c>
    </row>
    <row r="14" spans="1:20" x14ac:dyDescent="0.3">
      <c r="A14" t="s">
        <v>327</v>
      </c>
      <c r="B14" t="s">
        <v>1520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1426</v>
      </c>
    </row>
    <row r="15" spans="1:20" x14ac:dyDescent="0.3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1426</v>
      </c>
    </row>
    <row r="16" spans="1:20" x14ac:dyDescent="0.3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1426</v>
      </c>
    </row>
    <row r="17" spans="1:13" x14ac:dyDescent="0.3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1426</v>
      </c>
    </row>
    <row r="18" spans="1:13" x14ac:dyDescent="0.3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1426</v>
      </c>
    </row>
    <row r="19" spans="1:13" x14ac:dyDescent="0.3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1426</v>
      </c>
    </row>
    <row r="20" spans="1:13" x14ac:dyDescent="0.3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1426</v>
      </c>
    </row>
    <row r="21" spans="1:13" x14ac:dyDescent="0.3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1426</v>
      </c>
    </row>
    <row r="22" spans="1:13" x14ac:dyDescent="0.3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1426</v>
      </c>
    </row>
    <row r="23" spans="1:13" x14ac:dyDescent="0.3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1426</v>
      </c>
    </row>
    <row r="24" spans="1:13" x14ac:dyDescent="0.3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1426</v>
      </c>
    </row>
    <row r="25" spans="1:13" x14ac:dyDescent="0.3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1426</v>
      </c>
    </row>
    <row r="26" spans="1:13" x14ac:dyDescent="0.3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1426</v>
      </c>
    </row>
    <row r="27" spans="1:13" x14ac:dyDescent="0.3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1426</v>
      </c>
    </row>
    <row r="28" spans="1:13" x14ac:dyDescent="0.3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1426</v>
      </c>
    </row>
    <row r="29" spans="1:13" x14ac:dyDescent="0.3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1426</v>
      </c>
    </row>
    <row r="33" spans="1:13" x14ac:dyDescent="0.3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1426</v>
      </c>
    </row>
    <row r="34" spans="1:13" x14ac:dyDescent="0.3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1426</v>
      </c>
    </row>
    <row r="35" spans="1:13" x14ac:dyDescent="0.3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1426</v>
      </c>
    </row>
    <row r="36" spans="1:13" x14ac:dyDescent="0.3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1426</v>
      </c>
    </row>
    <row r="37" spans="1:13" x14ac:dyDescent="0.3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">
      <c r="A38" t="s">
        <v>1027</v>
      </c>
      <c r="B38" t="s">
        <v>1028</v>
      </c>
      <c r="C38" s="2" t="str">
        <f t="shared" ref="C38" si="15">A38</f>
        <v>USB2514BM2</v>
      </c>
      <c r="D38" t="s">
        <v>1118</v>
      </c>
      <c r="E38" s="2" t="s">
        <v>1027</v>
      </c>
      <c r="F38" t="str">
        <f>CONCATENATE("Footprints\",G38,".PcbLib")</f>
        <v>Footprints\VFQFN-36.PcbLib</v>
      </c>
      <c r="G38" t="s">
        <v>1029</v>
      </c>
    </row>
    <row r="39" spans="1:13" x14ac:dyDescent="0.3">
      <c r="A39" t="s">
        <v>1030</v>
      </c>
      <c r="B39" t="s">
        <v>1031</v>
      </c>
      <c r="C39" s="2" t="s">
        <v>1030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1032</v>
      </c>
    </row>
    <row r="40" spans="1:13" x14ac:dyDescent="0.3">
      <c r="A40" t="s">
        <v>1033</v>
      </c>
      <c r="B40" t="s">
        <v>1187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1034</v>
      </c>
    </row>
    <row r="41" spans="1:13" x14ac:dyDescent="0.3">
      <c r="A41" t="s">
        <v>1035</v>
      </c>
      <c r="B41" t="s">
        <v>1186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1184</v>
      </c>
      <c r="L41" t="s">
        <v>1188</v>
      </c>
    </row>
    <row r="42" spans="1:13" x14ac:dyDescent="0.3">
      <c r="A42" t="s">
        <v>1036</v>
      </c>
      <c r="B42" t="s">
        <v>1037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1077</v>
      </c>
      <c r="B43" t="s">
        <v>1078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1119</v>
      </c>
    </row>
    <row r="44" spans="1:13" x14ac:dyDescent="0.3">
      <c r="A44" s="33" t="s">
        <v>1120</v>
      </c>
      <c r="B44" s="34" t="s">
        <v>1121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1122</v>
      </c>
      <c r="B45" t="s">
        <v>1123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1124</v>
      </c>
      <c r="B46" s="36" t="s">
        <v>1125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1185</v>
      </c>
      <c r="B47" t="s">
        <v>1164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1185</v>
      </c>
      <c r="F47" t="str">
        <f t="shared" si="17"/>
        <v>Footprints\LQFP128_14x14_exposed_pad.PcbLib</v>
      </c>
      <c r="G47" t="s">
        <v>1165</v>
      </c>
      <c r="L47" t="s">
        <v>1166</v>
      </c>
      <c r="M47" t="s">
        <v>1426</v>
      </c>
    </row>
    <row r="48" spans="1:13" x14ac:dyDescent="0.3">
      <c r="A48" s="35" t="s">
        <v>1167</v>
      </c>
      <c r="B48" s="36" t="s">
        <v>1168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1377</v>
      </c>
      <c r="M48" t="s">
        <v>1451</v>
      </c>
    </row>
    <row r="49" spans="1:13" x14ac:dyDescent="0.3">
      <c r="A49" t="s">
        <v>1169</v>
      </c>
      <c r="B49" t="s">
        <v>1170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1171</v>
      </c>
    </row>
    <row r="50" spans="1:13" x14ac:dyDescent="0.3">
      <c r="A50" t="s">
        <v>1375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1376</v>
      </c>
      <c r="M50" t="s">
        <v>1451</v>
      </c>
    </row>
    <row r="51" spans="1:13" x14ac:dyDescent="0.3">
      <c r="A51" t="s">
        <v>1378</v>
      </c>
      <c r="B51" t="s">
        <v>1379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1171</v>
      </c>
    </row>
    <row r="52" spans="1:13" x14ac:dyDescent="0.3">
      <c r="A52" s="35" t="s">
        <v>1505</v>
      </c>
      <c r="B52" s="36" t="s">
        <v>1506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1507</v>
      </c>
      <c r="M52" t="s">
        <v>1451</v>
      </c>
    </row>
    <row r="53" spans="1:13" x14ac:dyDescent="0.3">
      <c r="A53" t="s">
        <v>1513</v>
      </c>
      <c r="B53" t="s">
        <v>1514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1513</v>
      </c>
      <c r="L53" t="s">
        <v>1515</v>
      </c>
      <c r="M53" t="s">
        <v>1426</v>
      </c>
    </row>
    <row r="54" spans="1:13" x14ac:dyDescent="0.3">
      <c r="A54" t="s">
        <v>1521</v>
      </c>
      <c r="B54" t="s">
        <v>1524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1522</v>
      </c>
      <c r="L54" s="38" t="s">
        <v>1523</v>
      </c>
      <c r="M54" t="s">
        <v>1426</v>
      </c>
    </row>
    <row r="55" spans="1:13" x14ac:dyDescent="0.3">
      <c r="A55" t="s">
        <v>1578</v>
      </c>
      <c r="B55" t="s">
        <v>1579</v>
      </c>
      <c r="C55" s="2" t="str">
        <f>A55</f>
        <v>MT9700</v>
      </c>
      <c r="D55" t="str">
        <f>CONCATENATE("Schematic\",A55,".SchLib")</f>
        <v>Schematic\MT9700.SchLib</v>
      </c>
      <c r="E55" t="str">
        <f>A55</f>
        <v>MT9700</v>
      </c>
      <c r="F55" t="str">
        <f>CONCATENATE("Footprints\",G55,".PcbLib")</f>
        <v>Footprints\SOT23-5.PcbLib</v>
      </c>
      <c r="G55" t="s">
        <v>1377</v>
      </c>
      <c r="L55" t="s">
        <v>1577</v>
      </c>
      <c r="M55" t="s">
        <v>1426</v>
      </c>
    </row>
    <row r="56" spans="1:13" x14ac:dyDescent="0.3">
      <c r="A56" t="s">
        <v>1588</v>
      </c>
      <c r="B56" t="s">
        <v>1585</v>
      </c>
      <c r="C56" s="2" t="str">
        <f>A56</f>
        <v>NSi8100NC</v>
      </c>
      <c r="D56" t="str">
        <f>CONCATENATE("Schematic\",A56,".SchLib")</f>
        <v>Schematic\NSi8100NC.SchLib</v>
      </c>
      <c r="E56" t="str">
        <f>A56</f>
        <v>NSi8100NC</v>
      </c>
      <c r="F56" t="str">
        <f>CONCATENATE("Footprints\",G56,".PcbLib")</f>
        <v>Footprints\SOIC-8.PcbLib</v>
      </c>
      <c r="G56" s="2" t="s">
        <v>76</v>
      </c>
      <c r="L56" s="38" t="s">
        <v>1586</v>
      </c>
      <c r="M56" t="s">
        <v>1587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1459</v>
      </c>
      <c r="J1" t="s">
        <v>955</v>
      </c>
      <c r="K1" t="s">
        <v>1425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1461</v>
      </c>
      <c r="K2" t="s">
        <v>1451</v>
      </c>
    </row>
    <row r="3" spans="1:11" x14ac:dyDescent="0.3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1461</v>
      </c>
      <c r="K3" t="s">
        <v>1451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1466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1465</v>
      </c>
      <c r="K5" t="s">
        <v>1426</v>
      </c>
    </row>
    <row r="6" spans="1:11" x14ac:dyDescent="0.3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1426</v>
      </c>
    </row>
    <row r="7" spans="1:11" x14ac:dyDescent="0.3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1464</v>
      </c>
    </row>
    <row r="8" spans="1:11" x14ac:dyDescent="0.3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1463</v>
      </c>
    </row>
    <row r="9" spans="1:11" x14ac:dyDescent="0.3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1462</v>
      </c>
      <c r="K9" t="s">
        <v>1451</v>
      </c>
    </row>
    <row r="10" spans="1:11" x14ac:dyDescent="0.3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1462</v>
      </c>
      <c r="K10" t="s">
        <v>1451</v>
      </c>
    </row>
    <row r="11" spans="1:11" x14ac:dyDescent="0.3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1462</v>
      </c>
    </row>
    <row r="12" spans="1:11" x14ac:dyDescent="0.3">
      <c r="A12" t="s">
        <v>1126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1459</v>
      </c>
      <c r="J1" t="s">
        <v>69</v>
      </c>
      <c r="K1" t="s">
        <v>25</v>
      </c>
      <c r="L1" t="s">
        <v>889</v>
      </c>
      <c r="M1" t="s">
        <v>955</v>
      </c>
      <c r="N1" t="s">
        <v>1425</v>
      </c>
    </row>
    <row r="2" spans="1:14" ht="13.2" customHeight="1" x14ac:dyDescent="0.3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1460</v>
      </c>
      <c r="J2" s="2" t="s">
        <v>603</v>
      </c>
      <c r="K2" s="2" t="s">
        <v>604</v>
      </c>
      <c r="L2" s="11">
        <v>0.05</v>
      </c>
    </row>
    <row r="3" spans="1:14" x14ac:dyDescent="0.3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1460</v>
      </c>
      <c r="J3" s="2" t="s">
        <v>886</v>
      </c>
      <c r="K3" s="2" t="s">
        <v>763</v>
      </c>
      <c r="L3" s="11">
        <v>0.02</v>
      </c>
      <c r="N3" t="s">
        <v>1426</v>
      </c>
    </row>
    <row r="4" spans="1:14" x14ac:dyDescent="0.3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1460</v>
      </c>
      <c r="J4" s="2" t="s">
        <v>887</v>
      </c>
      <c r="K4" s="2" t="s">
        <v>888</v>
      </c>
      <c r="L4" s="11">
        <v>0.02</v>
      </c>
      <c r="N4" t="s">
        <v>1426</v>
      </c>
    </row>
    <row r="5" spans="1:14" x14ac:dyDescent="0.3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1460</v>
      </c>
      <c r="J5" s="2" t="s">
        <v>886</v>
      </c>
      <c r="K5" s="2" t="s">
        <v>604</v>
      </c>
      <c r="L5" s="11">
        <v>0.02</v>
      </c>
      <c r="N5" t="s">
        <v>1426</v>
      </c>
    </row>
    <row r="6" spans="1:14" x14ac:dyDescent="0.3">
      <c r="A6" t="s">
        <v>1422</v>
      </c>
      <c r="B6" t="s">
        <v>1428</v>
      </c>
      <c r="C6" t="s">
        <v>1422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1460</v>
      </c>
      <c r="J6" s="2" t="s">
        <v>886</v>
      </c>
      <c r="K6" s="2" t="s">
        <v>1423</v>
      </c>
      <c r="L6" s="11">
        <v>0.02</v>
      </c>
      <c r="M6" t="s">
        <v>1424</v>
      </c>
      <c r="N6" t="s">
        <v>1426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1425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1192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1127</v>
      </c>
      <c r="B10" t="s">
        <v>1128</v>
      </c>
      <c r="C10" t="str">
        <f>A10</f>
        <v>SMBJ16CA</v>
      </c>
      <c r="D10" t="str">
        <f>CONCATENATE("Schematic\TVS\",E10,".SchLib")</f>
        <v>Schematic\TVS\TVS_1_2dir.SchLib</v>
      </c>
      <c r="E10" t="s">
        <v>1192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1451</v>
      </c>
    </row>
    <row r="12" spans="1:13" x14ac:dyDescent="0.3">
      <c r="A12" t="s">
        <v>1432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1451</v>
      </c>
    </row>
    <row r="13" spans="1:13" x14ac:dyDescent="0.3">
      <c r="A13" s="53" t="s">
        <v>1512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1451</v>
      </c>
    </row>
    <row r="8" spans="1:19" ht="15.6" x14ac:dyDescent="0.3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1426</v>
      </c>
    </row>
    <row r="9" spans="1:19" ht="15.6" x14ac:dyDescent="0.3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1426</v>
      </c>
    </row>
    <row r="10" spans="1:19" ht="15.6" x14ac:dyDescent="0.3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1426</v>
      </c>
    </row>
    <row r="11" spans="1:19" ht="15.6" x14ac:dyDescent="0.3">
      <c r="A11" s="1" t="s">
        <v>1081</v>
      </c>
      <c r="B11" s="1" t="s">
        <v>1082</v>
      </c>
      <c r="C11" s="2" t="str">
        <f t="shared" si="2"/>
        <v>SIR426DP-T1-GE3</v>
      </c>
      <c r="D11" s="3" t="s">
        <v>1083</v>
      </c>
      <c r="E11" s="1" t="s">
        <v>1081</v>
      </c>
      <c r="F11" t="str">
        <f t="shared" ref="F11:F17" si="4">CONCATENATE("Footprints\",G11,".PcbLib")</f>
        <v>Footprints\PowerPAK_SO-8.PcbLib</v>
      </c>
      <c r="G11" s="1" t="s">
        <v>1116</v>
      </c>
      <c r="J11" t="s">
        <v>1084</v>
      </c>
    </row>
    <row r="12" spans="1:19" ht="15.6" x14ac:dyDescent="0.3">
      <c r="A12" s="32" t="s">
        <v>1110</v>
      </c>
      <c r="B12" s="1" t="s">
        <v>1111</v>
      </c>
      <c r="C12" s="2" t="str">
        <f t="shared" si="2"/>
        <v>PDTC114ET</v>
      </c>
      <c r="D12" s="3" t="s">
        <v>1112</v>
      </c>
      <c r="E12" s="1" t="s">
        <v>1110</v>
      </c>
      <c r="F12" t="str">
        <f t="shared" si="4"/>
        <v>Footprints\SOT23-3.PcbLib</v>
      </c>
      <c r="G12" s="3" t="s">
        <v>18</v>
      </c>
      <c r="J12" t="s">
        <v>1114</v>
      </c>
      <c r="K12" t="s">
        <v>1113</v>
      </c>
    </row>
    <row r="13" spans="1:19" ht="15.6" x14ac:dyDescent="0.3">
      <c r="A13" s="1" t="s">
        <v>1129</v>
      </c>
      <c r="B13" s="1" t="s">
        <v>5</v>
      </c>
      <c r="C13" s="2" t="str">
        <f t="shared" si="2"/>
        <v>IRFH7084</v>
      </c>
      <c r="D13" s="1" t="s">
        <v>1130</v>
      </c>
      <c r="E13" s="1" t="s">
        <v>1131</v>
      </c>
      <c r="F13" t="str">
        <f t="shared" si="4"/>
        <v>Footprints\PQFN_5x6.PcbLib</v>
      </c>
      <c r="G13" s="1" t="s">
        <v>1132</v>
      </c>
      <c r="J13" t="s">
        <v>1084</v>
      </c>
      <c r="K13" t="s">
        <v>1133</v>
      </c>
    </row>
    <row r="14" spans="1:19" ht="15.6" x14ac:dyDescent="0.3">
      <c r="A14" s="1" t="s">
        <v>1160</v>
      </c>
      <c r="B14" s="1" t="s">
        <v>1162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1161</v>
      </c>
      <c r="M14" t="s">
        <v>1451</v>
      </c>
    </row>
    <row r="15" spans="1:19" ht="15.6" x14ac:dyDescent="0.3">
      <c r="A15" s="1" t="s">
        <v>1163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1084</v>
      </c>
      <c r="K15" t="s">
        <v>912</v>
      </c>
      <c r="M15" t="s">
        <v>1451</v>
      </c>
    </row>
    <row r="16" spans="1:19" ht="15.6" x14ac:dyDescent="0.3">
      <c r="A16" s="1" t="s">
        <v>1490</v>
      </c>
      <c r="B16" s="1" t="s">
        <v>1491</v>
      </c>
      <c r="C16" s="2" t="str">
        <f>A16</f>
        <v>BC857BS</v>
      </c>
      <c r="D16" s="3" t="s">
        <v>1492</v>
      </c>
      <c r="E16" s="1" t="s">
        <v>1493</v>
      </c>
      <c r="F16" t="str">
        <f t="shared" si="4"/>
        <v>Footprints\SOT-363.PcbLib</v>
      </c>
      <c r="G16" s="1" t="s">
        <v>1494</v>
      </c>
      <c r="H16" t="str">
        <f>CONCATENATE("Footprints\",I16,".PcbLib")</f>
        <v>Footprints\SOT-363_35um.PcbLib</v>
      </c>
      <c r="I16" t="s">
        <v>1498</v>
      </c>
      <c r="J16" t="s">
        <v>768</v>
      </c>
      <c r="K16" t="s">
        <v>1161</v>
      </c>
      <c r="M16" t="s">
        <v>1451</v>
      </c>
    </row>
    <row r="17" spans="1:13" ht="15.6" x14ac:dyDescent="0.3">
      <c r="A17" s="1" t="s">
        <v>1495</v>
      </c>
      <c r="B17" s="3" t="s">
        <v>1496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1497</v>
      </c>
      <c r="M17" t="s">
        <v>1451</v>
      </c>
    </row>
    <row r="18" spans="1:13" ht="15.6" x14ac:dyDescent="0.3">
      <c r="A18" s="1" t="s">
        <v>1508</v>
      </c>
      <c r="B18" s="1" t="s">
        <v>1511</v>
      </c>
      <c r="C18" s="2" t="str">
        <f>A18</f>
        <v>IRFH3702</v>
      </c>
      <c r="D18" s="1" t="s">
        <v>1130</v>
      </c>
      <c r="E18" s="1" t="s">
        <v>1131</v>
      </c>
      <c r="F18" t="str">
        <f>CONCATENATE("Footprints\",G18,".PcbLib")</f>
        <v>Footprints\PQFN_3x3.PcbLib</v>
      </c>
      <c r="G18" s="1" t="s">
        <v>1509</v>
      </c>
      <c r="J18" t="s">
        <v>770</v>
      </c>
      <c r="K18" t="s">
        <v>1510</v>
      </c>
      <c r="M18" t="s">
        <v>1451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3" zoomScale="70" zoomScaleNormal="70" workbookViewId="0">
      <selection activeCell="D187" sqref="D187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955</v>
      </c>
      <c r="O1" s="1" t="s">
        <v>1425</v>
      </c>
    </row>
    <row r="2" spans="1:15" ht="15.6" x14ac:dyDescent="0.3">
      <c r="A2" s="3" t="s">
        <v>131</v>
      </c>
      <c r="B2" s="3" t="s">
        <v>1195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1196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1198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1197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1201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1199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1200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1202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1203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1204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1206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1207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1205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1210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1209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1208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1211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1213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1212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1214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1215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1216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1217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1218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1219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1220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1221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1222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1223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1224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1225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1226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1227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1228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1229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1230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1231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1232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1233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1234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1236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1235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1237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1238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1239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1240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1241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1242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1243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1245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1244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1246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1247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1248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1249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1250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1251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1016</v>
      </c>
      <c r="K58" s="1" t="s">
        <v>1024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1252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1254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1016</v>
      </c>
      <c r="K60" s="1" t="s">
        <v>1025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1253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1255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1256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1257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1258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1259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1016</v>
      </c>
      <c r="K66" s="1" t="s">
        <v>1026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1260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1261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1262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1263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1264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1265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1266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1267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1016</v>
      </c>
      <c r="K74" s="1" t="s">
        <v>1017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1268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1269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1092</v>
      </c>
      <c r="B77" s="3" t="s">
        <v>1270</v>
      </c>
      <c r="C77" s="3" t="s">
        <v>26</v>
      </c>
      <c r="D77" s="3" t="s">
        <v>29</v>
      </c>
      <c r="E77" s="3" t="s">
        <v>26</v>
      </c>
      <c r="F77" s="3" t="s">
        <v>1093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1271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1272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1273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1274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1275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1016</v>
      </c>
      <c r="K82" s="1" t="s">
        <v>1018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1276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1277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1278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1279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1280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1281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1282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1283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1284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1016</v>
      </c>
      <c r="K91" s="1" t="s">
        <v>1019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1285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1286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1287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1288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1289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1290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1291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1292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1016</v>
      </c>
      <c r="M99" s="1" t="s">
        <v>1020</v>
      </c>
      <c r="N99" s="25"/>
      <c r="O99" s="1"/>
    </row>
    <row r="100" spans="1:15" ht="15" customHeight="1" x14ac:dyDescent="0.3">
      <c r="A100" s="3" t="s">
        <v>1090</v>
      </c>
      <c r="B100" s="3" t="s">
        <v>1293</v>
      </c>
      <c r="C100" s="3" t="s">
        <v>26</v>
      </c>
      <c r="D100" s="3" t="s">
        <v>29</v>
      </c>
      <c r="E100" s="3" t="s">
        <v>26</v>
      </c>
      <c r="F100" s="3" t="s">
        <v>1091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1294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1295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1094</v>
      </c>
      <c r="B103" s="3" t="s">
        <v>1296</v>
      </c>
      <c r="C103" s="3" t="s">
        <v>26</v>
      </c>
      <c r="D103" s="3" t="s">
        <v>29</v>
      </c>
      <c r="E103" s="3" t="s">
        <v>26</v>
      </c>
      <c r="F103" s="3" t="s">
        <v>1095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1297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1298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1299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1300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1301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1016</v>
      </c>
      <c r="K108" s="1" t="s">
        <v>1021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1302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1016</v>
      </c>
      <c r="K109" s="1" t="s">
        <v>1022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1303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1304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1305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678</v>
      </c>
      <c r="B113" s="3" t="s">
        <v>1306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1307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1308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1309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1310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1311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1312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1313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1314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1315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1316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1317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1318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1319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1016</v>
      </c>
      <c r="K126" s="1" t="s">
        <v>1023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1320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1321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1322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1323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1324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1325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1326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1327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1328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1329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1330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1331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1332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1333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1334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1335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1336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1337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1338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1339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1340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1341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1342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1343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1344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1345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1346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1347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1348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1349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1350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1351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1352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1353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1354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1355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1356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1357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1358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1359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1360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1361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1362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1363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1364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1365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1366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1367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5"/>
      <c r="O175" s="1" t="s">
        <v>1426</v>
      </c>
    </row>
    <row r="176" spans="1:15" ht="15.6" x14ac:dyDescent="0.3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1426</v>
      </c>
    </row>
    <row r="177" spans="1:15" ht="15.6" x14ac:dyDescent="0.3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1426</v>
      </c>
    </row>
    <row r="178" spans="1:15" ht="15.6" x14ac:dyDescent="0.3">
      <c r="A178" s="3" t="s">
        <v>915</v>
      </c>
      <c r="B178" s="3" t="s">
        <v>1369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1079</v>
      </c>
      <c r="B179" s="1" t="s">
        <v>1370</v>
      </c>
      <c r="C179" s="1" t="s">
        <v>26</v>
      </c>
      <c r="D179" s="3" t="s">
        <v>29</v>
      </c>
      <c r="E179" s="3" t="s">
        <v>26</v>
      </c>
      <c r="F179" s="3" t="s">
        <v>1080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1105</v>
      </c>
      <c r="B180" s="3" t="s">
        <v>1106</v>
      </c>
      <c r="C180" s="3" t="s">
        <v>26</v>
      </c>
      <c r="D180" s="3" t="s">
        <v>29</v>
      </c>
      <c r="E180" s="3" t="s">
        <v>26</v>
      </c>
      <c r="F180" s="3" t="s">
        <v>1107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1134</v>
      </c>
      <c r="B181" s="1" t="s">
        <v>1368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1419</v>
      </c>
      <c r="B182" s="1" t="s">
        <v>1420</v>
      </c>
      <c r="C182" s="1" t="s">
        <v>1419</v>
      </c>
      <c r="D182" s="1" t="s">
        <v>29</v>
      </c>
      <c r="E182" s="1" t="s">
        <v>26</v>
      </c>
      <c r="F182" s="1" t="s">
        <v>1421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1426</v>
      </c>
    </row>
    <row r="183" spans="1:15" ht="15.6" x14ac:dyDescent="0.3">
      <c r="A183" s="3" t="s">
        <v>1446</v>
      </c>
      <c r="B183" s="3" t="s">
        <v>1267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1447</v>
      </c>
      <c r="I183" s="3" t="s">
        <v>1448</v>
      </c>
      <c r="J183" s="3"/>
      <c r="K183" s="1"/>
      <c r="L183" s="1"/>
      <c r="M183" s="1"/>
      <c r="N183" s="51"/>
      <c r="O183" s="1" t="s">
        <v>1426</v>
      </c>
    </row>
    <row r="184" spans="1:15" ht="15" customHeight="1" x14ac:dyDescent="0.3">
      <c r="A184" s="3" t="s">
        <v>1449</v>
      </c>
      <c r="B184" s="3" t="s">
        <v>1284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1447</v>
      </c>
      <c r="I184" s="3" t="s">
        <v>1448</v>
      </c>
      <c r="J184" s="1"/>
      <c r="K184" s="1"/>
      <c r="L184" s="1"/>
      <c r="M184" s="1"/>
      <c r="N184" s="50"/>
      <c r="O184" s="1" t="s">
        <v>1426</v>
      </c>
    </row>
    <row r="185" spans="1:15" ht="15" customHeight="1" x14ac:dyDescent="0.3">
      <c r="A185" s="3" t="s">
        <v>1580</v>
      </c>
      <c r="B185" s="3" t="s">
        <v>1259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1447</v>
      </c>
      <c r="I185" s="3" t="s">
        <v>1448</v>
      </c>
      <c r="J185" s="1"/>
      <c r="K185" s="1"/>
      <c r="L185" s="1"/>
      <c r="M185" s="1"/>
      <c r="N185" s="1"/>
      <c r="O185" s="1" t="s">
        <v>1426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1468</v>
      </c>
      <c r="J1" s="42" t="s">
        <v>69</v>
      </c>
      <c r="K1" s="42" t="s">
        <v>955</v>
      </c>
      <c r="L1" s="1" t="s">
        <v>1425</v>
      </c>
    </row>
    <row r="2" spans="1:12" x14ac:dyDescent="0.3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1467</v>
      </c>
      <c r="J2" s="2"/>
      <c r="L2" t="s">
        <v>1426</v>
      </c>
    </row>
    <row r="3" spans="1:12" x14ac:dyDescent="0.3">
      <c r="A3" s="2" t="s">
        <v>1085</v>
      </c>
      <c r="B3" s="2" t="s">
        <v>1086</v>
      </c>
      <c r="C3" s="2" t="s">
        <v>1085</v>
      </c>
      <c r="D3" s="2" t="s">
        <v>917</v>
      </c>
      <c r="E3" s="2" t="s">
        <v>916</v>
      </c>
      <c r="F3" s="2" t="s">
        <v>1087</v>
      </c>
      <c r="G3" s="2" t="s">
        <v>128</v>
      </c>
      <c r="H3" s="2" t="s">
        <v>409</v>
      </c>
      <c r="I3" s="2" t="s">
        <v>1469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1425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2"/>
  <sheetViews>
    <sheetView tabSelected="1" topLeftCell="A27" zoomScale="85" zoomScaleNormal="85" workbookViewId="0">
      <selection activeCell="B55" sqref="B55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1425</v>
      </c>
    </row>
    <row r="2" spans="1:14" x14ac:dyDescent="0.3">
      <c r="A2" s="27" t="s">
        <v>1099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1100</v>
      </c>
      <c r="G2" s="28" t="s">
        <v>1194</v>
      </c>
      <c r="H2" s="28">
        <v>50</v>
      </c>
      <c r="I2" s="28" t="s">
        <v>599</v>
      </c>
      <c r="J2" s="28" t="s">
        <v>600</v>
      </c>
      <c r="K2" s="28" t="s">
        <v>37</v>
      </c>
      <c r="L2" s="28" t="s">
        <v>1101</v>
      </c>
      <c r="M2" s="29"/>
      <c r="N2" s="2" t="s">
        <v>1426</v>
      </c>
    </row>
    <row r="3" spans="1:14" x14ac:dyDescent="0.3">
      <c r="A3" s="2" t="s">
        <v>1175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1176</v>
      </c>
      <c r="G3" s="28" t="s">
        <v>1194</v>
      </c>
      <c r="H3" s="28">
        <v>50</v>
      </c>
      <c r="I3" s="28" t="s">
        <v>599</v>
      </c>
      <c r="J3" s="28" t="s">
        <v>600</v>
      </c>
      <c r="K3" s="28" t="s">
        <v>37</v>
      </c>
      <c r="L3" s="28" t="s">
        <v>1177</v>
      </c>
      <c r="M3" s="2"/>
      <c r="N3" s="2"/>
    </row>
    <row r="4" spans="1:14" x14ac:dyDescent="0.3">
      <c r="A4" s="19" t="s">
        <v>1102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1103</v>
      </c>
      <c r="G4" s="28" t="s">
        <v>1194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1104</v>
      </c>
      <c r="M4" s="26"/>
      <c r="N4" s="2"/>
    </row>
    <row r="5" spans="1:14" x14ac:dyDescent="0.3">
      <c r="A5" s="43" t="s">
        <v>1096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1097</v>
      </c>
      <c r="G5" s="46" t="s">
        <v>1194</v>
      </c>
      <c r="H5" s="45">
        <v>50</v>
      </c>
      <c r="I5" s="45" t="s">
        <v>599</v>
      </c>
      <c r="J5" s="45" t="s">
        <v>600</v>
      </c>
      <c r="K5" s="45" t="s">
        <v>37</v>
      </c>
      <c r="L5" s="45" t="s">
        <v>1098</v>
      </c>
      <c r="M5" s="47"/>
      <c r="N5" s="48"/>
    </row>
    <row r="6" spans="1:14" x14ac:dyDescent="0.3">
      <c r="A6" s="2" t="s">
        <v>900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8" t="s">
        <v>1194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8" t="s">
        <v>1194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8" t="s">
        <v>1194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8" t="s">
        <v>1194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8" t="s">
        <v>1194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8" t="s">
        <v>1194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8" t="s">
        <v>1194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8" t="s">
        <v>1194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8" t="s">
        <v>1194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8" t="s">
        <v>1194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8" t="s">
        <v>1194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8" t="s">
        <v>1194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8" t="s">
        <v>1194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8" t="s">
        <v>1194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8" t="s">
        <v>1194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8" t="s">
        <v>1194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8" t="s">
        <v>1194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8" t="s">
        <v>1194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8" t="s">
        <v>1194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8" t="s">
        <v>1194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8" t="s">
        <v>1194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8" t="s">
        <v>1194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8" t="s">
        <v>1194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8" t="s">
        <v>1194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1194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8" t="s">
        <v>1194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8" t="s">
        <v>1194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8" t="s">
        <v>1194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8" t="s">
        <v>1194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8" t="s">
        <v>1194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8" t="s">
        <v>1194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8" t="s">
        <v>1194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8" t="s">
        <v>1194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8" t="s">
        <v>1194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8" t="s">
        <v>1194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8" t="s">
        <v>1194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562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8" t="s">
        <v>1194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1108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8" t="s">
        <v>1194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1109</v>
      </c>
      <c r="M43" s="2"/>
      <c r="N43" s="2"/>
    </row>
    <row r="44" spans="1:14" x14ac:dyDescent="0.3">
      <c r="A44" s="2" t="s">
        <v>707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1194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">
      <c r="A45" s="2" t="s">
        <v>709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8" t="s">
        <v>1194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">
      <c r="A46" s="2" t="s">
        <v>708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8" t="s">
        <v>1194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">
      <c r="A47" s="2" t="s">
        <v>947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1194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">
      <c r="A48" s="2" t="s">
        <v>1403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1404</v>
      </c>
      <c r="G48" s="28" t="s">
        <v>1194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1115</v>
      </c>
      <c r="M48" s="2" t="s">
        <v>1405</v>
      </c>
      <c r="N48" s="2" t="s">
        <v>1426</v>
      </c>
    </row>
    <row r="49" spans="1:14" x14ac:dyDescent="0.3">
      <c r="A49" s="2" t="s">
        <v>1416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1416</v>
      </c>
      <c r="D49" s="2" t="s">
        <v>30</v>
      </c>
      <c r="E49" s="2" t="s">
        <v>27</v>
      </c>
      <c r="F49" s="2" t="s">
        <v>1412</v>
      </c>
      <c r="G49" s="37" t="s">
        <v>1413</v>
      </c>
      <c r="H49" s="2" t="s">
        <v>1414</v>
      </c>
      <c r="I49" s="2" t="s">
        <v>1415</v>
      </c>
      <c r="J49" s="2" t="s">
        <v>600</v>
      </c>
      <c r="K49" s="2" t="s">
        <v>37</v>
      </c>
      <c r="L49" s="2" t="s">
        <v>1417</v>
      </c>
      <c r="M49" s="2" t="s">
        <v>1418</v>
      </c>
      <c r="N49" s="2" t="s">
        <v>1426</v>
      </c>
    </row>
    <row r="50" spans="1:14" x14ac:dyDescent="0.3">
      <c r="A50" s="2" t="s">
        <v>1445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1194</v>
      </c>
      <c r="H50" s="2" t="s">
        <v>384</v>
      </c>
      <c r="I50" s="2" t="s">
        <v>599</v>
      </c>
      <c r="J50" s="2" t="s">
        <v>1444</v>
      </c>
      <c r="K50" s="2" t="s">
        <v>1443</v>
      </c>
      <c r="L50" s="2">
        <v>100</v>
      </c>
      <c r="M50" s="2"/>
      <c r="N50" s="2" t="s">
        <v>1426</v>
      </c>
    </row>
    <row r="51" spans="1:14" x14ac:dyDescent="0.3">
      <c r="A51" s="59" t="s">
        <v>1594</v>
      </c>
      <c r="B51" s="58" t="str">
        <f>CONCATENATE("Конденсатор ",K51," ёмкостью ",F51, " ", G51, ", ",H51," В, ",I51)</f>
        <v>Конденсатор 1210C ёмкостью 100 мк 20%, 16 В, X5R</v>
      </c>
      <c r="C51" s="59" t="s">
        <v>1594</v>
      </c>
      <c r="D51" s="2" t="s">
        <v>30</v>
      </c>
      <c r="E51" s="2" t="s">
        <v>27</v>
      </c>
      <c r="F51" s="2" t="s">
        <v>638</v>
      </c>
      <c r="G51" s="37" t="s">
        <v>1595</v>
      </c>
      <c r="H51" s="2" t="s">
        <v>384</v>
      </c>
      <c r="I51" s="2" t="s">
        <v>1596</v>
      </c>
      <c r="J51" s="2" t="s">
        <v>682</v>
      </c>
      <c r="K51" s="2" t="s">
        <v>683</v>
      </c>
      <c r="L51" s="59" t="s">
        <v>1597</v>
      </c>
      <c r="M51" s="59" t="s">
        <v>1598</v>
      </c>
      <c r="N51" s="2" t="s">
        <v>1426</v>
      </c>
    </row>
    <row r="52" spans="1:14" x14ac:dyDescent="0.3">
      <c r="A52" s="59" t="s">
        <v>1593</v>
      </c>
      <c r="B52" s="58" t="str">
        <f>CONCATENATE("Конденсатор ",K52," ёмкостью ",F52, " ", G52, ", ",H52," В, ",I52)</f>
        <v>Конденсатор 1206C ёмкостью 47 мк 20%, 25 В, X5R</v>
      </c>
      <c r="C52" s="59" t="s">
        <v>1593</v>
      </c>
      <c r="D52" s="2" t="s">
        <v>30</v>
      </c>
      <c r="E52" s="2" t="s">
        <v>27</v>
      </c>
      <c r="F52" s="2" t="s">
        <v>636</v>
      </c>
      <c r="G52" s="37" t="s">
        <v>1595</v>
      </c>
      <c r="H52" s="2" t="s">
        <v>1599</v>
      </c>
      <c r="I52" s="2" t="s">
        <v>1596</v>
      </c>
      <c r="J52" s="2" t="s">
        <v>680</v>
      </c>
      <c r="K52" s="2" t="s">
        <v>681</v>
      </c>
      <c r="L52" s="59" t="s">
        <v>1600</v>
      </c>
      <c r="M52" s="59" t="s">
        <v>1418</v>
      </c>
      <c r="N52" s="2" t="s">
        <v>1426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1425</v>
      </c>
    </row>
    <row r="2" spans="1:16" x14ac:dyDescent="0.3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1426</v>
      </c>
    </row>
    <row r="23" spans="1:16" x14ac:dyDescent="0.3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1426</v>
      </c>
    </row>
    <row r="24" spans="1:16" x14ac:dyDescent="0.3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1426</v>
      </c>
    </row>
    <row r="25" spans="1:16" x14ac:dyDescent="0.3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1426</v>
      </c>
    </row>
    <row r="26" spans="1:16" x14ac:dyDescent="0.3">
      <c r="A26" t="s">
        <v>1135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1136</v>
      </c>
      <c r="K26" t="s">
        <v>1137</v>
      </c>
      <c r="L26">
        <v>330</v>
      </c>
    </row>
    <row r="27" spans="1:16" x14ac:dyDescent="0.3">
      <c r="A27" t="s">
        <v>1138</v>
      </c>
      <c r="B27" t="s">
        <v>1139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1140</v>
      </c>
      <c r="K27" t="s">
        <v>1141</v>
      </c>
      <c r="L27">
        <v>100</v>
      </c>
    </row>
    <row r="28" spans="1:16" x14ac:dyDescent="0.3">
      <c r="A28" t="s">
        <v>1429</v>
      </c>
      <c r="B28" t="s">
        <v>1430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1136</v>
      </c>
      <c r="K28" t="s">
        <v>1137</v>
      </c>
      <c r="L28">
        <v>470</v>
      </c>
      <c r="O28" t="s">
        <v>1431</v>
      </c>
      <c r="P28" t="s">
        <v>1426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4"/>
  <sheetViews>
    <sheetView zoomScale="85" zoomScaleNormal="85" workbookViewId="0">
      <selection activeCell="N26" sqref="N26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1459</v>
      </c>
      <c r="P1" s="1" t="s">
        <v>25</v>
      </c>
      <c r="Q1" s="1" t="s">
        <v>955</v>
      </c>
      <c r="R1" s="49" t="s">
        <v>1425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1470</v>
      </c>
      <c r="P3" s="2" t="str">
        <f t="shared" ref="P3:P13" si="2">CONCATENATE(N3, " мк")</f>
        <v>33 мк</v>
      </c>
    </row>
    <row r="4" spans="1:18" x14ac:dyDescent="0.3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1471</v>
      </c>
      <c r="P4" s="2" t="str">
        <f t="shared" si="2"/>
        <v>68 мк</v>
      </c>
    </row>
    <row r="5" spans="1:18" x14ac:dyDescent="0.3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1472</v>
      </c>
      <c r="P5" t="str">
        <f t="shared" si="2"/>
        <v>4,7 мк</v>
      </c>
    </row>
    <row r="6" spans="1:18" x14ac:dyDescent="0.3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1462</v>
      </c>
      <c r="P6" t="str">
        <f t="shared" si="2"/>
        <v>22 мк</v>
      </c>
    </row>
    <row r="7" spans="1:18" x14ac:dyDescent="0.3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1473</v>
      </c>
      <c r="P7" t="str">
        <f t="shared" si="2"/>
        <v>22 мк</v>
      </c>
    </row>
    <row r="8" spans="1:18" x14ac:dyDescent="0.3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1474</v>
      </c>
      <c r="P8" t="str">
        <f t="shared" si="2"/>
        <v>0,33 мк</v>
      </c>
    </row>
    <row r="9" spans="1:18" x14ac:dyDescent="0.3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1475</v>
      </c>
      <c r="P9" s="2" t="str">
        <f t="shared" si="2"/>
        <v>68 мк</v>
      </c>
    </row>
    <row r="10" spans="1:18" x14ac:dyDescent="0.3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1473</v>
      </c>
      <c r="P10" s="2" t="str">
        <f t="shared" si="2"/>
        <v>12 мк</v>
      </c>
    </row>
    <row r="11" spans="1:18" x14ac:dyDescent="0.3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1474</v>
      </c>
      <c r="P11" t="s">
        <v>908</v>
      </c>
      <c r="R11" t="s">
        <v>1426</v>
      </c>
    </row>
    <row r="12" spans="1:18" x14ac:dyDescent="0.3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1476</v>
      </c>
      <c r="P12" s="2" t="str">
        <f t="shared" si="2"/>
        <v>47 мк</v>
      </c>
    </row>
    <row r="13" spans="1:18" x14ac:dyDescent="0.3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1476</v>
      </c>
      <c r="P13" s="2" t="str">
        <f t="shared" si="2"/>
        <v>100 мк</v>
      </c>
    </row>
    <row r="14" spans="1:18" x14ac:dyDescent="0.3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1477</v>
      </c>
      <c r="P14">
        <f>N14</f>
        <v>0</v>
      </c>
      <c r="R14" t="s">
        <v>1426</v>
      </c>
    </row>
    <row r="15" spans="1:18" x14ac:dyDescent="0.3">
      <c r="A15" t="s">
        <v>1088</v>
      </c>
      <c r="B15" t="s">
        <v>1089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1478</v>
      </c>
      <c r="P15" t="s">
        <v>633</v>
      </c>
    </row>
    <row r="16" spans="1:18" x14ac:dyDescent="0.3">
      <c r="A16" t="s">
        <v>1142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1479</v>
      </c>
      <c r="P16" t="s">
        <v>598</v>
      </c>
    </row>
    <row r="17" spans="1:18" x14ac:dyDescent="0.3">
      <c r="A17" t="s">
        <v>1143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1480</v>
      </c>
      <c r="P17" t="s">
        <v>641</v>
      </c>
    </row>
    <row r="18" spans="1:18" x14ac:dyDescent="0.3">
      <c r="A18" t="s">
        <v>1172</v>
      </c>
      <c r="B18" t="s">
        <v>1173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1174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1481</v>
      </c>
      <c r="P18" t="s">
        <v>633</v>
      </c>
    </row>
    <row r="19" spans="1:18" x14ac:dyDescent="0.3">
      <c r="A19" t="s">
        <v>1390</v>
      </c>
      <c r="B19" t="s">
        <v>1391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1482</v>
      </c>
      <c r="P19" t="str">
        <f t="shared" ref="P19:P23" si="23">CONCATENATE(N19, " мк")</f>
        <v>4,7 мк</v>
      </c>
      <c r="R19" t="s">
        <v>1426</v>
      </c>
    </row>
    <row r="20" spans="1:18" x14ac:dyDescent="0.3">
      <c r="A20" t="s">
        <v>1392</v>
      </c>
      <c r="B20" t="s">
        <v>1393</v>
      </c>
      <c r="C20" t="str">
        <f t="shared" si="21"/>
        <v>CDRH6D12NP-2R2NC</v>
      </c>
      <c r="D20" s="2" t="s">
        <v>1394</v>
      </c>
      <c r="E20" s="2" t="s">
        <v>1395</v>
      </c>
      <c r="F20" s="2" t="str">
        <f>CONCATENATE("Footprints\Inductance\",G20,".PcbLib")</f>
        <v>Footprints\Inductance\CDRH6D12.PcbLib</v>
      </c>
      <c r="G20" s="2" t="s">
        <v>1396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1482</v>
      </c>
      <c r="P20" t="str">
        <f t="shared" si="23"/>
        <v>2,2 мк</v>
      </c>
      <c r="R20" t="s">
        <v>1426</v>
      </c>
    </row>
    <row r="21" spans="1:18" x14ac:dyDescent="0.3">
      <c r="A21" t="s">
        <v>1499</v>
      </c>
      <c r="B21" t="s">
        <v>1500</v>
      </c>
      <c r="C21" t="str">
        <f t="shared" si="21"/>
        <v>GP2426SR</v>
      </c>
      <c r="D21" s="2" t="s">
        <v>1501</v>
      </c>
      <c r="E21" s="2" t="s">
        <v>1502</v>
      </c>
      <c r="F21" s="2" t="str">
        <f>CONCATENATE("Footprints\Inductance\",G21,".PcbLib")</f>
        <v>Footprints\Inductance\GP2426SR.PcbLib</v>
      </c>
      <c r="G21" t="s">
        <v>1499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1503</v>
      </c>
      <c r="P21" t="s">
        <v>1504</v>
      </c>
      <c r="R21" t="s">
        <v>1426</v>
      </c>
    </row>
    <row r="22" spans="1:18" x14ac:dyDescent="0.3">
      <c r="A22" t="s">
        <v>1525</v>
      </c>
      <c r="B22" t="s">
        <v>1526</v>
      </c>
      <c r="C22" t="str">
        <f t="shared" si="21"/>
        <v>CDSP43-2R2M</v>
      </c>
      <c r="D22" s="2" t="s">
        <v>102</v>
      </c>
      <c r="E22" s="2" t="s">
        <v>100</v>
      </c>
      <c r="F22" s="2" t="str">
        <f>CONCATENATE("Footprints\Inductance\",G22,".PcbLib")</f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1531</v>
      </c>
      <c r="P22" t="str">
        <f t="shared" si="23"/>
        <v>2,2 мк</v>
      </c>
      <c r="Q22" t="s">
        <v>1533</v>
      </c>
      <c r="R22" t="s">
        <v>1426</v>
      </c>
    </row>
    <row r="23" spans="1:18" x14ac:dyDescent="0.3">
      <c r="A23" t="s">
        <v>1527</v>
      </c>
      <c r="B23" t="s">
        <v>1528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>CONCATENATE("Footprints\Inductance\",G23,".PcbLib")</f>
        <v>Footprints\Inductance\IHLP-2020.PcbLib</v>
      </c>
      <c r="G23" s="2" t="s">
        <v>1529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1530</v>
      </c>
      <c r="P23" t="str">
        <f t="shared" si="23"/>
        <v>2,2 мк</v>
      </c>
      <c r="Q23" t="s">
        <v>1532</v>
      </c>
      <c r="R23" t="s">
        <v>1426</v>
      </c>
    </row>
    <row r="24" spans="1:18" x14ac:dyDescent="0.3">
      <c r="A24" t="s">
        <v>1581</v>
      </c>
      <c r="B24" t="s">
        <v>1582</v>
      </c>
      <c r="C24" t="str">
        <f>A24</f>
        <v>B78476A8065A003</v>
      </c>
      <c r="D24" s="2" t="s">
        <v>1583</v>
      </c>
      <c r="E24" t="s">
        <v>1581</v>
      </c>
      <c r="F24" s="2" t="str">
        <f>CONCATENATE("Footprints\Inductance\",G24,".PcbLib")</f>
        <v>Footprints\Inductance\B78476A8065A003.PcbLib</v>
      </c>
      <c r="G24" s="2" t="s">
        <v>1581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1503</v>
      </c>
      <c r="P24" t="s">
        <v>1504</v>
      </c>
      <c r="Q24" t="s">
        <v>1584</v>
      </c>
      <c r="R24" t="s">
        <v>1426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1459</v>
      </c>
      <c r="L1" s="1" t="s">
        <v>955</v>
      </c>
      <c r="M1" s="49" t="s">
        <v>1425</v>
      </c>
      <c r="N1" s="17"/>
      <c r="O1" s="1"/>
      <c r="P1" s="1"/>
      <c r="Q1" s="1"/>
    </row>
    <row r="2" spans="1:17" ht="15.6" x14ac:dyDescent="0.3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6" t="s">
        <v>935</v>
      </c>
      <c r="L2" s="26"/>
      <c r="M2" s="2" t="s">
        <v>1426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zoomScale="85" zoomScaleNormal="85" workbookViewId="0">
      <selection activeCell="C27" sqref="C27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955</v>
      </c>
      <c r="P1" s="56" t="s">
        <v>1425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1015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1010</v>
      </c>
      <c r="I3" s="2" t="s">
        <v>1009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1427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1571</v>
      </c>
      <c r="N6" s="53"/>
      <c r="O6" s="53"/>
      <c r="P6" s="53" t="s">
        <v>1426</v>
      </c>
    </row>
    <row r="7" spans="1:20" x14ac:dyDescent="0.3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1426</v>
      </c>
    </row>
    <row r="8" spans="1:20" x14ac:dyDescent="0.3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1426</v>
      </c>
    </row>
    <row r="9" spans="1:20" x14ac:dyDescent="0.3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1426</v>
      </c>
    </row>
    <row r="10" spans="1:20" x14ac:dyDescent="0.3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1426</v>
      </c>
    </row>
    <row r="11" spans="1:20" x14ac:dyDescent="0.3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1426</v>
      </c>
    </row>
    <row r="12" spans="1:20" x14ac:dyDescent="0.3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1426</v>
      </c>
    </row>
    <row r="13" spans="1:20" x14ac:dyDescent="0.3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987</v>
      </c>
      <c r="P13" s="53" t="s">
        <v>1426</v>
      </c>
    </row>
    <row r="14" spans="1:20" x14ac:dyDescent="0.3">
      <c r="A14" t="s">
        <v>988</v>
      </c>
      <c r="B14" t="s">
        <v>990</v>
      </c>
      <c r="C14" t="s">
        <v>989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988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1426</v>
      </c>
    </row>
    <row r="15" spans="1:20" x14ac:dyDescent="0.3">
      <c r="A15" t="s">
        <v>1011</v>
      </c>
      <c r="B15" t="s">
        <v>1012</v>
      </c>
      <c r="C15" t="str">
        <f>A15</f>
        <v>CR2032-VAY3-15.2</v>
      </c>
      <c r="D15" t="s">
        <v>1013</v>
      </c>
      <c r="E15" t="s">
        <v>1014</v>
      </c>
      <c r="F15" s="2" t="str">
        <f t="shared" si="6"/>
        <v>Footprints\CR2032-VAY3-15.2.PcbLib</v>
      </c>
      <c r="G15" t="s">
        <v>1011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1426</v>
      </c>
    </row>
    <row r="16" spans="1:20" x14ac:dyDescent="0.3">
      <c r="A16" t="s">
        <v>1039</v>
      </c>
      <c r="B16" t="s">
        <v>1040</v>
      </c>
      <c r="C16" t="s">
        <v>1041</v>
      </c>
      <c r="D16" t="str">
        <f t="shared" ref="D16" si="7">CONCATENATE("Schematic\",A16,".SchLib")</f>
        <v>Schematic\4WayDIP.SchLib</v>
      </c>
      <c r="E16" t="s">
        <v>1042</v>
      </c>
      <c r="F16" t="s">
        <v>1043</v>
      </c>
      <c r="G16" t="s">
        <v>1044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">
      <c r="A17" t="s">
        <v>1371</v>
      </c>
      <c r="B17" t="s">
        <v>1372</v>
      </c>
      <c r="C17" t="str">
        <f>A17</f>
        <v>Button_DIP_12x12</v>
      </c>
      <c r="D17" t="s">
        <v>1373</v>
      </c>
      <c r="E17" s="2" t="s">
        <v>54</v>
      </c>
      <c r="F17" t="s">
        <v>1374</v>
      </c>
      <c r="G17" t="s">
        <v>1371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">
      <c r="A18" t="s">
        <v>1409</v>
      </c>
      <c r="B18" t="s">
        <v>1410</v>
      </c>
      <c r="C18" t="str">
        <f>A18</f>
        <v>X322525MOB4SI</v>
      </c>
      <c r="D18" t="str">
        <f>CONCATENATE("Schematic\",E18,".SchLib")</f>
        <v>Schematic\XTAL_1-3_GND.SchLib</v>
      </c>
      <c r="E18" t="s">
        <v>1406</v>
      </c>
      <c r="F18" t="s">
        <v>1411</v>
      </c>
      <c r="G18" t="s">
        <v>1409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1407</v>
      </c>
      <c r="O18" s="53" t="s">
        <v>1408</v>
      </c>
      <c r="P18" s="53" t="s">
        <v>1426</v>
      </c>
    </row>
    <row r="19" spans="1:16" x14ac:dyDescent="0.3">
      <c r="A19" s="2" t="s">
        <v>1433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1433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1450</v>
      </c>
      <c r="P19" s="53" t="s">
        <v>1451</v>
      </c>
    </row>
    <row r="20" spans="1:16" x14ac:dyDescent="0.3">
      <c r="A20" t="s">
        <v>1452</v>
      </c>
      <c r="B20" s="2" t="s">
        <v>1453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  <c r="M20" s="53"/>
      <c r="N20" s="53"/>
      <c r="O20" s="23" t="s">
        <v>987</v>
      </c>
      <c r="P20" s="53" t="s">
        <v>1451</v>
      </c>
    </row>
    <row r="21" spans="1:16" x14ac:dyDescent="0.3">
      <c r="A21" s="53" t="s">
        <v>1534</v>
      </c>
      <c r="B21" s="53" t="s">
        <v>1535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1536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1549</v>
      </c>
      <c r="O21" s="53"/>
      <c r="P21" s="53" t="s">
        <v>1426</v>
      </c>
    </row>
    <row r="22" spans="1:16" x14ac:dyDescent="0.3">
      <c r="A22" s="53" t="s">
        <v>1537</v>
      </c>
      <c r="B22" s="53" t="s">
        <v>1540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1543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1550</v>
      </c>
      <c r="O22" s="53"/>
      <c r="P22" s="53" t="s">
        <v>1426</v>
      </c>
    </row>
    <row r="23" spans="1:16" x14ac:dyDescent="0.3">
      <c r="A23" s="53" t="s">
        <v>1538</v>
      </c>
      <c r="B23" s="53" t="s">
        <v>1541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1544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1551</v>
      </c>
      <c r="O23" s="53"/>
      <c r="P23" s="53" t="s">
        <v>1426</v>
      </c>
    </row>
    <row r="24" spans="1:16" x14ac:dyDescent="0.3">
      <c r="A24" s="53" t="s">
        <v>1539</v>
      </c>
      <c r="B24" s="53" t="s">
        <v>1542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1545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1552</v>
      </c>
      <c r="O24" s="53"/>
      <c r="P24" s="53" t="s">
        <v>1426</v>
      </c>
    </row>
    <row r="25" spans="1:16" x14ac:dyDescent="0.3">
      <c r="A25" s="57" t="s">
        <v>1546</v>
      </c>
      <c r="B25" s="53" t="s">
        <v>1553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1547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1548</v>
      </c>
      <c r="O25" s="53"/>
      <c r="P25" s="53" t="s">
        <v>1426</v>
      </c>
    </row>
    <row r="26" spans="1:16" x14ac:dyDescent="0.3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2"/>
      <c r="M26" s="53"/>
      <c r="N26" s="53"/>
      <c r="O26" s="53"/>
      <c r="P26" s="53"/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7"/>
  <sheetViews>
    <sheetView topLeftCell="A24" zoomScale="55" zoomScaleNormal="55" workbookViewId="0">
      <selection activeCell="G73" sqref="G73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9" t="s">
        <v>1425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1451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1451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1426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1426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1426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1426</v>
      </c>
    </row>
    <row r="13" spans="1:12" x14ac:dyDescent="0.3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1426</v>
      </c>
    </row>
    <row r="17" spans="1:12" x14ac:dyDescent="0.3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1426</v>
      </c>
    </row>
    <row r="18" spans="1:12" x14ac:dyDescent="0.3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1426</v>
      </c>
    </row>
    <row r="19" spans="1:12" x14ac:dyDescent="0.3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1426</v>
      </c>
    </row>
    <row r="20" spans="1:12" x14ac:dyDescent="0.3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1426</v>
      </c>
    </row>
    <row r="21" spans="1:12" x14ac:dyDescent="0.3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1426</v>
      </c>
    </row>
    <row r="22" spans="1:12" x14ac:dyDescent="0.3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1426</v>
      </c>
    </row>
    <row r="23" spans="1:12" x14ac:dyDescent="0.3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1426</v>
      </c>
    </row>
    <row r="24" spans="1:12" x14ac:dyDescent="0.3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1426</v>
      </c>
    </row>
    <row r="25" spans="1:12" x14ac:dyDescent="0.3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1426</v>
      </c>
    </row>
    <row r="26" spans="1:12" x14ac:dyDescent="0.3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1426</v>
      </c>
    </row>
    <row r="27" spans="1:12" x14ac:dyDescent="0.3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1426</v>
      </c>
    </row>
    <row r="28" spans="1:12" x14ac:dyDescent="0.3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1426</v>
      </c>
    </row>
    <row r="29" spans="1:12" x14ac:dyDescent="0.3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1426</v>
      </c>
    </row>
    <row r="30" spans="1:12" x14ac:dyDescent="0.3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1426</v>
      </c>
    </row>
    <row r="31" spans="1:12" x14ac:dyDescent="0.3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1426</v>
      </c>
    </row>
    <row r="32" spans="1:12" x14ac:dyDescent="0.3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1426</v>
      </c>
    </row>
    <row r="33" spans="1:12" x14ac:dyDescent="0.3">
      <c r="A33" t="s">
        <v>991</v>
      </c>
      <c r="B33" t="s">
        <v>992</v>
      </c>
      <c r="C33" t="s">
        <v>991</v>
      </c>
      <c r="D33" t="s">
        <v>349</v>
      </c>
      <c r="E33" s="2" t="s">
        <v>114</v>
      </c>
      <c r="F33" t="s">
        <v>949</v>
      </c>
      <c r="G33" t="s">
        <v>993</v>
      </c>
      <c r="J33" t="s">
        <v>1005</v>
      </c>
      <c r="K33" t="s">
        <v>979</v>
      </c>
      <c r="L33" t="s">
        <v>1426</v>
      </c>
    </row>
    <row r="34" spans="1:12" x14ac:dyDescent="0.3">
      <c r="A34" t="s">
        <v>994</v>
      </c>
      <c r="B34" t="s">
        <v>995</v>
      </c>
      <c r="C34" t="s">
        <v>994</v>
      </c>
      <c r="D34" t="s">
        <v>1152</v>
      </c>
      <c r="E34" s="2" t="s">
        <v>1153</v>
      </c>
      <c r="F34" t="s">
        <v>996</v>
      </c>
      <c r="G34" t="s">
        <v>997</v>
      </c>
      <c r="J34" t="s">
        <v>965</v>
      </c>
      <c r="K34" t="s">
        <v>979</v>
      </c>
      <c r="L34" t="s">
        <v>1426</v>
      </c>
    </row>
    <row r="35" spans="1:12" x14ac:dyDescent="0.3">
      <c r="A35" t="s">
        <v>1189</v>
      </c>
      <c r="B35" t="s">
        <v>995</v>
      </c>
      <c r="C35" t="s">
        <v>1189</v>
      </c>
      <c r="D35" t="s">
        <v>1152</v>
      </c>
      <c r="E35" s="2" t="s">
        <v>1153</v>
      </c>
      <c r="F35" t="s">
        <v>1190</v>
      </c>
      <c r="G35" t="s">
        <v>1191</v>
      </c>
      <c r="J35" s="38" t="s">
        <v>1005</v>
      </c>
      <c r="K35" t="s">
        <v>979</v>
      </c>
      <c r="L35" t="s">
        <v>1426</v>
      </c>
    </row>
    <row r="36" spans="1:12" x14ac:dyDescent="0.3">
      <c r="A36" t="s">
        <v>998</v>
      </c>
      <c r="B36" t="s">
        <v>999</v>
      </c>
      <c r="C36" s="2" t="s">
        <v>1000</v>
      </c>
      <c r="D36" t="s">
        <v>1001</v>
      </c>
      <c r="E36" t="s">
        <v>1002</v>
      </c>
      <c r="F36" t="s">
        <v>1003</v>
      </c>
      <c r="G36" t="s">
        <v>998</v>
      </c>
      <c r="J36" t="s">
        <v>1004</v>
      </c>
      <c r="K36" t="s">
        <v>979</v>
      </c>
      <c r="L36" t="s">
        <v>1426</v>
      </c>
    </row>
    <row r="37" spans="1:12" x14ac:dyDescent="0.3">
      <c r="A37" t="s">
        <v>1006</v>
      </c>
      <c r="B37" t="s">
        <v>1007</v>
      </c>
      <c r="C37" s="2" t="s">
        <v>1006</v>
      </c>
      <c r="D37" t="s">
        <v>351</v>
      </c>
      <c r="E37" s="2" t="s">
        <v>117</v>
      </c>
      <c r="F37" t="s">
        <v>949</v>
      </c>
      <c r="G37" t="s">
        <v>1008</v>
      </c>
      <c r="J37" t="s">
        <v>1005</v>
      </c>
      <c r="K37" t="s">
        <v>979</v>
      </c>
      <c r="L37" t="s">
        <v>1426</v>
      </c>
    </row>
    <row r="38" spans="1:12" x14ac:dyDescent="0.3">
      <c r="A38" t="s">
        <v>1045</v>
      </c>
      <c r="B38" t="s">
        <v>1046</v>
      </c>
      <c r="C38" s="2" t="s">
        <v>1045</v>
      </c>
      <c r="D38" t="s">
        <v>1047</v>
      </c>
      <c r="E38" t="s">
        <v>1045</v>
      </c>
      <c r="F38" t="s">
        <v>1048</v>
      </c>
      <c r="G38" t="s">
        <v>1045</v>
      </c>
      <c r="K38" t="s">
        <v>979</v>
      </c>
    </row>
    <row r="39" spans="1:12" x14ac:dyDescent="0.3">
      <c r="A39" t="s">
        <v>1049</v>
      </c>
      <c r="B39" t="s">
        <v>1050</v>
      </c>
      <c r="C39" s="2" t="s">
        <v>1049</v>
      </c>
      <c r="D39" t="s">
        <v>1051</v>
      </c>
      <c r="E39" t="s">
        <v>1049</v>
      </c>
      <c r="F39" t="s">
        <v>1052</v>
      </c>
      <c r="G39" t="s">
        <v>1049</v>
      </c>
      <c r="K39" t="s">
        <v>979</v>
      </c>
    </row>
    <row r="40" spans="1:12" x14ac:dyDescent="0.3">
      <c r="A40" t="s">
        <v>1483</v>
      </c>
      <c r="B40" t="s">
        <v>1516</v>
      </c>
      <c r="C40" t="s">
        <v>1483</v>
      </c>
      <c r="D40" t="s">
        <v>1518</v>
      </c>
      <c r="E40" t="s">
        <v>1519</v>
      </c>
      <c r="F40" t="s">
        <v>1054</v>
      </c>
      <c r="G40" t="s">
        <v>1053</v>
      </c>
      <c r="H40" t="s">
        <v>1484</v>
      </c>
      <c r="I40" t="s">
        <v>1483</v>
      </c>
      <c r="J40" t="s">
        <v>1517</v>
      </c>
      <c r="K40" t="s">
        <v>979</v>
      </c>
      <c r="L40" t="s">
        <v>1426</v>
      </c>
    </row>
    <row r="41" spans="1:12" x14ac:dyDescent="0.3">
      <c r="A41" t="s">
        <v>1055</v>
      </c>
      <c r="B41" t="s">
        <v>1056</v>
      </c>
      <c r="C41" s="2" t="s">
        <v>1057</v>
      </c>
      <c r="D41" t="s">
        <v>1058</v>
      </c>
      <c r="E41" t="s">
        <v>1059</v>
      </c>
      <c r="F41" t="s">
        <v>1060</v>
      </c>
      <c r="G41" t="s">
        <v>1061</v>
      </c>
      <c r="K41" t="s">
        <v>979</v>
      </c>
    </row>
    <row r="42" spans="1:12" x14ac:dyDescent="0.3">
      <c r="A42" s="2" t="s">
        <v>1064</v>
      </c>
      <c r="B42" t="s">
        <v>1062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1065</v>
      </c>
      <c r="F42" t="str">
        <f>CONCATENATE("Footprints\Connectors\", G42, ".PcbLib")</f>
        <v>Footprints\Connectors\DF12(3.0)-32DP.PcbLib</v>
      </c>
      <c r="G42" t="s">
        <v>1064</v>
      </c>
      <c r="K42" t="s">
        <v>979</v>
      </c>
      <c r="L42" t="s">
        <v>1451</v>
      </c>
    </row>
    <row r="43" spans="1:12" x14ac:dyDescent="0.3">
      <c r="A43" s="2" t="s">
        <v>1063</v>
      </c>
      <c r="B43" t="s">
        <v>1066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1065</v>
      </c>
      <c r="F43" t="str">
        <f>CONCATENATE("Footprints\Connectors\", G43, ".PcbLib")</f>
        <v>Footprints\Connectors\DF12(3.0)-32DS.PcbLib</v>
      </c>
      <c r="G43" t="s">
        <v>1063</v>
      </c>
      <c r="K43" t="s">
        <v>979</v>
      </c>
      <c r="L43" t="s">
        <v>1451</v>
      </c>
    </row>
    <row r="44" spans="1:12" x14ac:dyDescent="0.3">
      <c r="A44" t="s">
        <v>1067</v>
      </c>
      <c r="B44" t="s">
        <v>1068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1069</v>
      </c>
      <c r="F44" t="str">
        <f t="shared" ref="F44:F46" si="2">CONCATENATE("Footprints\Connectors\", G44, ".PcbLib")</f>
        <v>Footprints\Connectors\DF40C-50DP.PcbLib</v>
      </c>
      <c r="G44" t="s">
        <v>1067</v>
      </c>
      <c r="K44" t="s">
        <v>979</v>
      </c>
      <c r="L44" t="s">
        <v>1451</v>
      </c>
    </row>
    <row r="45" spans="1:12" x14ac:dyDescent="0.3">
      <c r="A45" t="s">
        <v>1070</v>
      </c>
      <c r="B45" t="s">
        <v>1071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1069</v>
      </c>
      <c r="F45" t="str">
        <f t="shared" si="2"/>
        <v>Footprints\Connectors\DF40C-50DS.PcbLib</v>
      </c>
      <c r="G45" t="s">
        <v>1070</v>
      </c>
      <c r="K45" t="s">
        <v>979</v>
      </c>
      <c r="L45" t="s">
        <v>1451</v>
      </c>
    </row>
    <row r="46" spans="1:12" x14ac:dyDescent="0.3">
      <c r="A46" t="s">
        <v>1072</v>
      </c>
      <c r="B46" t="s">
        <v>1071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1069</v>
      </c>
      <c r="F46" t="str">
        <f t="shared" si="2"/>
        <v>Footprints\Connectors\DF40HC(4.0)-50DS.PcbLib</v>
      </c>
      <c r="G46" t="s">
        <v>1072</v>
      </c>
      <c r="K46" t="s">
        <v>979</v>
      </c>
      <c r="L46" t="s">
        <v>1451</v>
      </c>
    </row>
    <row r="47" spans="1:12" x14ac:dyDescent="0.3">
      <c r="A47" t="s">
        <v>1073</v>
      </c>
      <c r="B47" t="s">
        <v>1074</v>
      </c>
      <c r="C47" s="2" t="str">
        <f t="shared" si="0"/>
        <v>PLS-6</v>
      </c>
      <c r="D47" t="str">
        <f t="shared" si="1"/>
        <v>Schematic\Connectors\Conn_6pin.SchLib</v>
      </c>
      <c r="E47" t="s">
        <v>1075</v>
      </c>
      <c r="F47" t="s">
        <v>949</v>
      </c>
      <c r="G47" t="s">
        <v>1076</v>
      </c>
      <c r="K47" t="s">
        <v>979</v>
      </c>
      <c r="L47" t="s">
        <v>1451</v>
      </c>
    </row>
    <row r="48" spans="1:12" x14ac:dyDescent="0.3">
      <c r="A48" t="s">
        <v>1144</v>
      </c>
      <c r="B48" t="s">
        <v>1145</v>
      </c>
      <c r="C48" s="2" t="s">
        <v>1144</v>
      </c>
      <c r="D48" t="s">
        <v>351</v>
      </c>
      <c r="E48" s="2" t="s">
        <v>117</v>
      </c>
      <c r="F48" t="s">
        <v>1146</v>
      </c>
      <c r="G48" t="s">
        <v>1144</v>
      </c>
      <c r="K48" t="s">
        <v>979</v>
      </c>
      <c r="L48" t="s">
        <v>1451</v>
      </c>
    </row>
    <row r="49" spans="1:12" x14ac:dyDescent="0.3">
      <c r="A49" t="s">
        <v>1147</v>
      </c>
      <c r="B49" t="s">
        <v>1148</v>
      </c>
      <c r="C49" s="2" t="s">
        <v>1147</v>
      </c>
      <c r="D49" t="s">
        <v>659</v>
      </c>
      <c r="E49" s="2" t="s">
        <v>657</v>
      </c>
      <c r="F49" t="s">
        <v>1149</v>
      </c>
      <c r="G49" t="s">
        <v>1147</v>
      </c>
      <c r="K49" t="s">
        <v>979</v>
      </c>
      <c r="L49" t="s">
        <v>1451</v>
      </c>
    </row>
    <row r="50" spans="1:12" x14ac:dyDescent="0.3">
      <c r="A50" t="s">
        <v>1150</v>
      </c>
      <c r="B50" t="s">
        <v>1151</v>
      </c>
      <c r="C50" s="2" t="s">
        <v>1150</v>
      </c>
      <c r="D50" t="s">
        <v>1152</v>
      </c>
      <c r="E50" s="2" t="s">
        <v>1153</v>
      </c>
      <c r="F50" t="s">
        <v>1154</v>
      </c>
      <c r="G50" t="s">
        <v>1150</v>
      </c>
      <c r="K50" t="s">
        <v>979</v>
      </c>
      <c r="L50" t="s">
        <v>1451</v>
      </c>
    </row>
    <row r="51" spans="1:12" x14ac:dyDescent="0.3">
      <c r="A51" t="s">
        <v>1156</v>
      </c>
      <c r="B51" t="s">
        <v>1157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1153</v>
      </c>
      <c r="F51" t="str">
        <f t="shared" ref="F51:F54" si="5">CONCATENATE("Footprints\Connectors\", G51, ".PcbLib")</f>
        <v>Footprints\Connectors\DF40C-40DP.PcbLib</v>
      </c>
      <c r="G51" t="s">
        <v>1156</v>
      </c>
      <c r="K51" t="s">
        <v>979</v>
      </c>
      <c r="L51" t="s">
        <v>1451</v>
      </c>
    </row>
    <row r="52" spans="1:12" x14ac:dyDescent="0.3">
      <c r="A52" t="s">
        <v>1158</v>
      </c>
      <c r="B52" t="s">
        <v>1159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1153</v>
      </c>
      <c r="F52" t="str">
        <f t="shared" si="5"/>
        <v>Footprints\Connectors\DF40C-40DS.PcbLib</v>
      </c>
      <c r="G52" t="s">
        <v>1158</v>
      </c>
      <c r="K52" t="s">
        <v>979</v>
      </c>
      <c r="L52" t="s">
        <v>1451</v>
      </c>
    </row>
    <row r="53" spans="1:12" x14ac:dyDescent="0.3">
      <c r="A53" t="s">
        <v>1178</v>
      </c>
      <c r="B53" t="s">
        <v>1179</v>
      </c>
      <c r="C53" s="2" t="s">
        <v>1178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1178</v>
      </c>
      <c r="J53" t="s">
        <v>1180</v>
      </c>
      <c r="K53" t="s">
        <v>979</v>
      </c>
      <c r="L53" t="s">
        <v>1426</v>
      </c>
    </row>
    <row r="54" spans="1:12" x14ac:dyDescent="0.3">
      <c r="A54" t="s">
        <v>1182</v>
      </c>
      <c r="B54" t="s">
        <v>1181</v>
      </c>
      <c r="C54" t="s">
        <v>1178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1183</v>
      </c>
      <c r="J54" t="s">
        <v>1180</v>
      </c>
      <c r="K54" t="s">
        <v>979</v>
      </c>
      <c r="L54" t="s">
        <v>1426</v>
      </c>
    </row>
    <row r="55" spans="1:12" x14ac:dyDescent="0.3">
      <c r="A55" s="33" t="s">
        <v>1380</v>
      </c>
      <c r="B55" s="34" t="s">
        <v>1381</v>
      </c>
      <c r="C55" s="34" t="s">
        <v>1380</v>
      </c>
      <c r="D55" s="34" t="s">
        <v>985</v>
      </c>
      <c r="E55" s="34" t="s">
        <v>986</v>
      </c>
      <c r="F55" s="34" t="s">
        <v>1382</v>
      </c>
      <c r="G55" s="34" t="s">
        <v>1383</v>
      </c>
      <c r="H55" s="34"/>
      <c r="I55" s="34"/>
      <c r="J55" s="34"/>
      <c r="K55" s="40" t="s">
        <v>979</v>
      </c>
    </row>
    <row r="56" spans="1:12" x14ac:dyDescent="0.3">
      <c r="A56" t="s">
        <v>1384</v>
      </c>
      <c r="B56" t="s">
        <v>1385</v>
      </c>
      <c r="C56" s="2" t="s">
        <v>1384</v>
      </c>
      <c r="D56" s="34" t="s">
        <v>1386</v>
      </c>
      <c r="E56" t="s">
        <v>1384</v>
      </c>
      <c r="F56" s="34" t="s">
        <v>1388</v>
      </c>
      <c r="G56" t="s">
        <v>1389</v>
      </c>
      <c r="J56" t="s">
        <v>1387</v>
      </c>
      <c r="K56" s="40" t="s">
        <v>979</v>
      </c>
      <c r="L56" t="s">
        <v>1426</v>
      </c>
    </row>
    <row r="57" spans="1:12" x14ac:dyDescent="0.3">
      <c r="A57" t="s">
        <v>1397</v>
      </c>
      <c r="B57" t="s">
        <v>1398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1399</v>
      </c>
      <c r="F57" t="str">
        <f t="shared" ref="F57:F58" si="8">CONCATENATE("Footprints\Connectors\", G57, ".PcbLib")</f>
        <v>Footprints\Connectors\DIN41612_48_3row_straight_female.PcbLib</v>
      </c>
      <c r="G57" t="s">
        <v>1397</v>
      </c>
      <c r="J57" s="38" t="s">
        <v>1400</v>
      </c>
      <c r="K57" t="s">
        <v>979</v>
      </c>
      <c r="L57" t="s">
        <v>1451</v>
      </c>
    </row>
    <row r="58" spans="1:12" x14ac:dyDescent="0.3">
      <c r="A58" t="s">
        <v>1401</v>
      </c>
      <c r="B58" t="s">
        <v>1402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1399</v>
      </c>
      <c r="F58" t="str">
        <f t="shared" si="8"/>
        <v>Footprints\Connectors\DIN41612_48_3row_right_angle_male.PcbLib</v>
      </c>
      <c r="G58" t="s">
        <v>1401</v>
      </c>
      <c r="J58" s="38" t="s">
        <v>1400</v>
      </c>
      <c r="K58" s="41" t="s">
        <v>979</v>
      </c>
      <c r="L58" t="s">
        <v>1451</v>
      </c>
    </row>
    <row r="59" spans="1:12" x14ac:dyDescent="0.3">
      <c r="A59">
        <v>430450200</v>
      </c>
      <c r="B59" t="s">
        <v>1434</v>
      </c>
      <c r="C59">
        <v>430450200</v>
      </c>
      <c r="D59" t="s">
        <v>353</v>
      </c>
      <c r="E59" t="s">
        <v>119</v>
      </c>
      <c r="F59" t="s">
        <v>1435</v>
      </c>
      <c r="G59" t="s">
        <v>1436</v>
      </c>
      <c r="J59" t="s">
        <v>1437</v>
      </c>
      <c r="K59" t="s">
        <v>979</v>
      </c>
      <c r="L59" t="s">
        <v>1426</v>
      </c>
    </row>
    <row r="60" spans="1:12" x14ac:dyDescent="0.3">
      <c r="A60" t="s">
        <v>1438</v>
      </c>
      <c r="B60" t="s">
        <v>1439</v>
      </c>
      <c r="C60" t="s">
        <v>1438</v>
      </c>
      <c r="D60" t="s">
        <v>1440</v>
      </c>
      <c r="E60" t="s">
        <v>1438</v>
      </c>
      <c r="F60" t="s">
        <v>1441</v>
      </c>
      <c r="G60" t="s">
        <v>1438</v>
      </c>
      <c r="J60" t="s">
        <v>1442</v>
      </c>
      <c r="K60" t="s">
        <v>979</v>
      </c>
      <c r="L60" t="s">
        <v>1426</v>
      </c>
    </row>
    <row r="61" spans="1:12" x14ac:dyDescent="0.3">
      <c r="A61" t="s">
        <v>1454</v>
      </c>
      <c r="B61" t="s">
        <v>1455</v>
      </c>
      <c r="C61" s="2" t="s">
        <v>1456</v>
      </c>
      <c r="D61" t="str">
        <f t="shared" ref="D61" si="9">CONCATENATE("Schematic\Connectors\", E61, ".SchLib")</f>
        <v>Schematic\Connectors\RJ45-8p8c.SchLib</v>
      </c>
      <c r="E61" t="s">
        <v>1457</v>
      </c>
      <c r="F61" t="str">
        <f t="shared" ref="F61" si="10">CONCATENATE("Footprints\Connectors\", G61, ".PcbLib")</f>
        <v>Footprints\Connectors\1-406541-5.PcbLib</v>
      </c>
      <c r="G61" t="s">
        <v>1456</v>
      </c>
      <c r="J61" s="38" t="s">
        <v>1458</v>
      </c>
      <c r="K61" t="s">
        <v>979</v>
      </c>
      <c r="L61" t="s">
        <v>1451</v>
      </c>
    </row>
    <row r="62" spans="1:12" x14ac:dyDescent="0.3">
      <c r="A62" t="s">
        <v>1485</v>
      </c>
      <c r="B62" t="s">
        <v>1486</v>
      </c>
      <c r="C62" t="s">
        <v>1485</v>
      </c>
      <c r="D62" s="34" t="s">
        <v>1487</v>
      </c>
      <c r="E62" t="s">
        <v>1485</v>
      </c>
      <c r="F62" s="34" t="s">
        <v>1488</v>
      </c>
      <c r="G62" t="s">
        <v>1485</v>
      </c>
      <c r="J62" s="38" t="s">
        <v>1489</v>
      </c>
      <c r="K62" s="40" t="s">
        <v>979</v>
      </c>
      <c r="L62" t="s">
        <v>1426</v>
      </c>
    </row>
    <row r="63" spans="1:12" x14ac:dyDescent="0.3">
      <c r="A63" t="s">
        <v>1556</v>
      </c>
      <c r="B63" t="s">
        <v>1559</v>
      </c>
      <c r="C63" s="2" t="s">
        <v>1556</v>
      </c>
      <c r="D63" s="54" t="s">
        <v>1555</v>
      </c>
      <c r="E63" t="s">
        <v>1556</v>
      </c>
      <c r="F63" s="54" t="s">
        <v>1558</v>
      </c>
      <c r="G63" t="s">
        <v>1557</v>
      </c>
      <c r="J63" t="s">
        <v>1554</v>
      </c>
      <c r="K63" s="40" t="s">
        <v>979</v>
      </c>
      <c r="L63" t="s">
        <v>1426</v>
      </c>
    </row>
    <row r="64" spans="1:12" x14ac:dyDescent="0.3">
      <c r="A64" t="s">
        <v>1561</v>
      </c>
      <c r="B64" t="s">
        <v>1560</v>
      </c>
      <c r="C64">
        <v>467650001</v>
      </c>
      <c r="D64" s="54" t="s">
        <v>1562</v>
      </c>
      <c r="E64">
        <v>467650001</v>
      </c>
      <c r="F64" s="54" t="s">
        <v>1563</v>
      </c>
      <c r="G64">
        <v>467650001</v>
      </c>
      <c r="J64" t="s">
        <v>1564</v>
      </c>
      <c r="K64" s="40" t="s">
        <v>979</v>
      </c>
      <c r="L64" t="s">
        <v>1426</v>
      </c>
    </row>
    <row r="65" spans="1:12" x14ac:dyDescent="0.3">
      <c r="A65" t="s">
        <v>1569</v>
      </c>
      <c r="B65" t="s">
        <v>1570</v>
      </c>
      <c r="C65" s="2" t="s">
        <v>1569</v>
      </c>
      <c r="D65" s="54" t="s">
        <v>1567</v>
      </c>
      <c r="E65" t="s">
        <v>1565</v>
      </c>
      <c r="F65" s="54" t="s">
        <v>1566</v>
      </c>
      <c r="G65" t="s">
        <v>1565</v>
      </c>
      <c r="J65" t="s">
        <v>1568</v>
      </c>
      <c r="K65" s="40" t="s">
        <v>979</v>
      </c>
      <c r="L65" t="s">
        <v>1426</v>
      </c>
    </row>
    <row r="66" spans="1:12" x14ac:dyDescent="0.3">
      <c r="A66" t="s">
        <v>1572</v>
      </c>
      <c r="B66" t="s">
        <v>1576</v>
      </c>
      <c r="C66" s="2" t="s">
        <v>1572</v>
      </c>
      <c r="D66" s="54" t="s">
        <v>1573</v>
      </c>
      <c r="E66" t="s">
        <v>1572</v>
      </c>
      <c r="F66" s="54" t="s">
        <v>1574</v>
      </c>
      <c r="G66" t="s">
        <v>1572</v>
      </c>
      <c r="J66" t="s">
        <v>1575</v>
      </c>
      <c r="K66" s="40" t="s">
        <v>979</v>
      </c>
      <c r="L66" t="s">
        <v>1426</v>
      </c>
    </row>
    <row r="67" spans="1:12" x14ac:dyDescent="0.3">
      <c r="A67" t="s">
        <v>1590</v>
      </c>
      <c r="B67" t="s">
        <v>1591</v>
      </c>
      <c r="C67" s="2" t="s">
        <v>1590</v>
      </c>
      <c r="D67" t="str">
        <f t="shared" ref="D67" si="11">CONCATENATE("Schematic\Connectors\", E67, ".SchLib")</f>
        <v>Schematic\Connectors\Conn_4pin_sh.SchLib</v>
      </c>
      <c r="E67" t="s">
        <v>1589</v>
      </c>
      <c r="F67" t="str">
        <f t="shared" ref="F67" si="12">CONCATENATE("Footprints\Connectors\", G67, ".PcbLib")</f>
        <v>Footprints\Connectors\BM04B-SRSS-TB.PcbLib</v>
      </c>
      <c r="G67" t="s">
        <v>1590</v>
      </c>
      <c r="J67" s="38" t="s">
        <v>1592</v>
      </c>
      <c r="K67" s="40" t="s">
        <v>979</v>
      </c>
      <c r="L67" t="s">
        <v>1426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2026-03-31T08:21:22Z</dcterms:modified>
</cp:coreProperties>
</file>