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8AA25FBB-54DF-4868-B13C-1E2D39E1BAEA}" xr6:coauthVersionLast="47" xr6:coauthVersionMax="47" xr10:uidLastSave="{00000000-0000-0000-0000-000000000000}"/>
  <bookViews>
    <workbookView xWindow="2760" yWindow="1464" windowWidth="17280" windowHeight="8820" firstSheet="7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1" l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<sst xmlns="http://schemas.openxmlformats.org/spreadsheetml/2006/main" count="2499" uniqueCount="989">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</sst>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I28" tableType="xml" totalsRowShown="0" headerRowDxfId="92" connectionId="6">
  <autoFilter ref="A1:I28" xr:uid="{DAFB31A0-B533-4A21-B77D-E415196B9369}"/>
  <tableColumns count="9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0" tableType="xml" totalsRowShown="0" headerRowDxfId="14" dataDxfId="13" connectionId="10">
  <autoFilter ref="A1:I10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6" tableType="xml" totalsRowShown="0" headerRowDxfId="3" connectionId="7">
  <autoFilter ref="A1:I1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8"/>
  <sheetViews>
    <sheetView topLeftCell="C16" zoomScale="85" zoomScaleNormal="85" workbookViewId="0">
      <selection activeCell="H9" sqref="H9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  <c r="H8" t="s">
        <v>984</v>
      </c>
      <c r="I8" t="s">
        <v>983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3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3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3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3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  <row r="27" spans="1:7" x14ac:dyDescent="0.3">
      <c r="A27" t="s">
        <v>958</v>
      </c>
      <c r="B27" t="s">
        <v>959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3">
      <c r="A28" t="s">
        <v>979</v>
      </c>
      <c r="B28" t="s">
        <v>980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982</v>
      </c>
      <c r="G28" t="s">
        <v>981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4.4" x14ac:dyDescent="0.3"/>
  <cols>
    <col min="1" max="1" width="13.6640625" customWidth="1"/>
    <col min="2" max="2" width="31.7773437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style="2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">
      <c r="A2" s="2" t="s">
        <v>85</v>
      </c>
      <c r="B2" s="15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">
      <c r="A3" s="2" t="s">
        <v>873</v>
      </c>
      <c r="B3" s="15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396</v>
      </c>
      <c r="I3" s="2">
        <v>3</v>
      </c>
    </row>
    <row r="4" spans="1:9" x14ac:dyDescent="0.3">
      <c r="A4" t="s">
        <v>344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345</v>
      </c>
    </row>
    <row r="5" spans="1:9" x14ac:dyDescent="0.3">
      <c r="A5" t="s">
        <v>346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347</v>
      </c>
      <c r="H5">
        <v>45</v>
      </c>
      <c r="I5" s="2">
        <v>10</v>
      </c>
    </row>
    <row r="6" spans="1:9" x14ac:dyDescent="0.3">
      <c r="A6" t="s">
        <v>888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3">
      <c r="A7" t="s">
        <v>964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131</v>
      </c>
      <c r="H7">
        <v>40</v>
      </c>
      <c r="I7" s="2" t="s">
        <v>965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33203125" bestFit="1" customWidth="1"/>
    <col min="4" max="4" width="20.664062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.05" customHeight="1" x14ac:dyDescent="0.3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  <row r="3" spans="1:11" x14ac:dyDescent="0.3">
      <c r="A3" t="s">
        <v>940</v>
      </c>
      <c r="B3" s="2" t="s">
        <v>941</v>
      </c>
      <c r="C3" t="s">
        <v>940</v>
      </c>
      <c r="D3" s="2" t="s">
        <v>73</v>
      </c>
      <c r="E3" s="2" t="s">
        <v>74</v>
      </c>
      <c r="F3" s="2" t="s">
        <v>942</v>
      </c>
      <c r="G3" t="s">
        <v>943</v>
      </c>
      <c r="H3" s="2" t="s">
        <v>944</v>
      </c>
      <c r="I3" s="2">
        <v>5</v>
      </c>
      <c r="J3" s="2" t="s">
        <v>784</v>
      </c>
      <c r="K3" s="2" t="s">
        <v>945</v>
      </c>
    </row>
    <row r="4" spans="1:11" x14ac:dyDescent="0.3">
      <c r="H4" s="2"/>
      <c r="I4" s="2"/>
      <c r="J4" s="2"/>
      <c r="K4" s="2"/>
    </row>
    <row r="5" spans="1:11" x14ac:dyDescent="0.3">
      <c r="H5" s="2"/>
      <c r="I5" s="2"/>
      <c r="J5" s="2"/>
      <c r="K5" s="2"/>
    </row>
    <row r="6" spans="1:11" x14ac:dyDescent="0.3">
      <c r="H6" s="2"/>
      <c r="I6" s="2"/>
      <c r="J6" s="2"/>
      <c r="K6" s="2"/>
    </row>
    <row r="7" spans="1:11" x14ac:dyDescent="0.3">
      <c r="H7" s="2"/>
      <c r="I7" s="2"/>
      <c r="J7" s="2"/>
      <c r="K7" s="2"/>
    </row>
    <row r="8" spans="1:11" x14ac:dyDescent="0.3">
      <c r="H8" s="2"/>
      <c r="I8" s="2"/>
      <c r="J8" s="2"/>
      <c r="K8" s="2"/>
    </row>
    <row r="9" spans="1:11" x14ac:dyDescent="0.3">
      <c r="H9" s="2"/>
      <c r="I9" s="2"/>
      <c r="J9" s="2"/>
      <c r="K9" s="2"/>
    </row>
    <row r="10" spans="1:11" x14ac:dyDescent="0.3">
      <c r="H10" s="2"/>
      <c r="I10" s="2"/>
      <c r="J10" s="2"/>
      <c r="K10" s="2"/>
    </row>
    <row r="11" spans="1:11" x14ac:dyDescent="0.3">
      <c r="H11" s="2"/>
      <c r="I11" s="2"/>
      <c r="J11" s="2"/>
      <c r="K11" s="2"/>
    </row>
    <row r="12" spans="1:11" x14ac:dyDescent="0.3">
      <c r="H12" s="2"/>
      <c r="I12" s="2"/>
      <c r="J12" s="2"/>
      <c r="K12" s="2"/>
    </row>
    <row r="13" spans="1:11" x14ac:dyDescent="0.3">
      <c r="H13" s="2"/>
      <c r="I13" s="2"/>
      <c r="J13" s="2"/>
      <c r="K13" s="2"/>
    </row>
    <row r="14" spans="1:11" x14ac:dyDescent="0.3">
      <c r="H14" s="2"/>
      <c r="I14" s="2"/>
      <c r="J14" s="2"/>
      <c r="K14" s="2"/>
    </row>
    <row r="15" spans="1:11" x14ac:dyDescent="0.3">
      <c r="H15" s="2"/>
      <c r="I15" s="2"/>
      <c r="J15" s="2"/>
      <c r="K15" s="2"/>
    </row>
    <row r="16" spans="1:11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3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3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">
      <c r="A7" s="15" t="s">
        <v>922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343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  <row r="8" spans="1:11" x14ac:dyDescent="0.3">
      <c r="A8" s="15" t="s">
        <v>939</v>
      </c>
      <c r="B8" s="15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5" t="str">
        <f>A8</f>
        <v>SMBJ13A-TR</v>
      </c>
      <c r="D8" s="15" t="str">
        <f>CONCATENATE("Schematic\TVS\",E8,".SchLib")</f>
        <v>Schematic\TVS\TVS_1_1dir.SchLib</v>
      </c>
      <c r="E8" t="s">
        <v>80</v>
      </c>
      <c r="F8" s="15" t="str">
        <f>CONCATENATE("Footprints\",G8,".PcbLib")</f>
        <v>Footprints\SMB.PcbLib</v>
      </c>
      <c r="G8" t="s">
        <v>343</v>
      </c>
      <c r="H8" s="15">
        <v>13</v>
      </c>
      <c r="I8" s="15">
        <v>600</v>
      </c>
      <c r="J8" s="15" t="str">
        <f xml:space="preserve"> CONCATENATE(H8," В")</f>
        <v>13 В</v>
      </c>
      <c r="K8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4.332031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950</v>
      </c>
      <c r="K1" s="1" t="s">
        <v>951</v>
      </c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  <c r="J8" t="s">
        <v>954</v>
      </c>
      <c r="K8" t="s">
        <v>955</v>
      </c>
    </row>
    <row r="9" spans="1:19" ht="15.6" x14ac:dyDescent="0.3">
      <c r="A9" s="1" t="s">
        <v>946</v>
      </c>
      <c r="B9" s="1" t="s">
        <v>947</v>
      </c>
      <c r="C9" s="2" t="str">
        <f>A9</f>
        <v>bc807</v>
      </c>
      <c r="D9" s="3" t="s">
        <v>949</v>
      </c>
      <c r="E9" s="1" t="s">
        <v>948</v>
      </c>
      <c r="F9" t="str">
        <f>CONCATENATE("Footprints\",G9,".PcbLib")</f>
        <v>Footprints\SOT23-3.PcbLib</v>
      </c>
      <c r="G9" s="3" t="s">
        <v>18</v>
      </c>
      <c r="J9" t="s">
        <v>952</v>
      </c>
      <c r="K9" t="s">
        <v>953</v>
      </c>
    </row>
    <row r="10" spans="1:19" ht="15.6" x14ac:dyDescent="0.3">
      <c r="A10" s="1" t="s">
        <v>975</v>
      </c>
      <c r="B10" s="1" t="s">
        <v>978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976</v>
      </c>
      <c r="K10" t="s">
        <v>977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4" x14ac:dyDescent="0.3"/>
  <cols>
    <col min="1" max="1" width="21.5546875" bestFit="1" customWidth="1"/>
    <col min="2" max="2" width="44.664062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109375" bestFit="1" customWidth="1"/>
    <col min="8" max="8" width="32" bestFit="1" customWidth="1"/>
    <col min="9" max="9" width="16.77734375" bestFit="1" customWidth="1"/>
    <col min="10" max="10" width="31.2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6" x14ac:dyDescent="0.3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6" x14ac:dyDescent="0.3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6" x14ac:dyDescent="0.3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6" x14ac:dyDescent="0.3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6" x14ac:dyDescent="0.3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6" x14ac:dyDescent="0.3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6" x14ac:dyDescent="0.3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6" x14ac:dyDescent="0.3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6" x14ac:dyDescent="0.3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6" x14ac:dyDescent="0.3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6" x14ac:dyDescent="0.3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6" x14ac:dyDescent="0.3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6" x14ac:dyDescent="0.3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6" x14ac:dyDescent="0.3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6" x14ac:dyDescent="0.3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6" x14ac:dyDescent="0.3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6" x14ac:dyDescent="0.3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6" x14ac:dyDescent="0.3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6" x14ac:dyDescent="0.3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6" x14ac:dyDescent="0.3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6" x14ac:dyDescent="0.3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6" x14ac:dyDescent="0.3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6" x14ac:dyDescent="0.3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6" x14ac:dyDescent="0.3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6" x14ac:dyDescent="0.3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6" x14ac:dyDescent="0.3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6" x14ac:dyDescent="0.3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6" x14ac:dyDescent="0.3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6" x14ac:dyDescent="0.3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6" x14ac:dyDescent="0.3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6" x14ac:dyDescent="0.3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6" x14ac:dyDescent="0.3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6" x14ac:dyDescent="0.3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6" x14ac:dyDescent="0.3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6" x14ac:dyDescent="0.3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6" x14ac:dyDescent="0.3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6" x14ac:dyDescent="0.3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6" x14ac:dyDescent="0.3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6" x14ac:dyDescent="0.3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6" x14ac:dyDescent="0.3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6" x14ac:dyDescent="0.3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6" x14ac:dyDescent="0.3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6" x14ac:dyDescent="0.3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6" x14ac:dyDescent="0.3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6" x14ac:dyDescent="0.3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6" x14ac:dyDescent="0.3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6" x14ac:dyDescent="0.3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6" x14ac:dyDescent="0.3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6" x14ac:dyDescent="0.3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6" x14ac:dyDescent="0.3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6" x14ac:dyDescent="0.3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3" t="s">
        <v>957</v>
      </c>
      <c r="K52" s="1" t="s">
        <v>956</v>
      </c>
    </row>
    <row r="53" spans="1:11" ht="15.6" x14ac:dyDescent="0.3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6" x14ac:dyDescent="0.3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6" x14ac:dyDescent="0.3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6" x14ac:dyDescent="0.3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6" x14ac:dyDescent="0.3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6" x14ac:dyDescent="0.3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6" x14ac:dyDescent="0.3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6" x14ac:dyDescent="0.3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6" x14ac:dyDescent="0.3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6" x14ac:dyDescent="0.3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6" x14ac:dyDescent="0.3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6" x14ac:dyDescent="0.3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6" x14ac:dyDescent="0.3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6" x14ac:dyDescent="0.3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6" x14ac:dyDescent="0.3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6" x14ac:dyDescent="0.3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6" x14ac:dyDescent="0.3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6" x14ac:dyDescent="0.3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6" x14ac:dyDescent="0.3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6" x14ac:dyDescent="0.3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6" x14ac:dyDescent="0.3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6" x14ac:dyDescent="0.3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6" x14ac:dyDescent="0.3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6" x14ac:dyDescent="0.3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6" x14ac:dyDescent="0.3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6" x14ac:dyDescent="0.3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6" x14ac:dyDescent="0.3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6" x14ac:dyDescent="0.3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6" x14ac:dyDescent="0.3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6" x14ac:dyDescent="0.3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6" x14ac:dyDescent="0.3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6" x14ac:dyDescent="0.3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6" x14ac:dyDescent="0.3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6" x14ac:dyDescent="0.3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6" x14ac:dyDescent="0.3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6" x14ac:dyDescent="0.3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6" x14ac:dyDescent="0.3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6" x14ac:dyDescent="0.3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6" x14ac:dyDescent="0.3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6" x14ac:dyDescent="0.3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6" x14ac:dyDescent="0.3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6" x14ac:dyDescent="0.3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6" x14ac:dyDescent="0.3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6" x14ac:dyDescent="0.3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6" x14ac:dyDescent="0.3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6" x14ac:dyDescent="0.3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6" x14ac:dyDescent="0.3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6" x14ac:dyDescent="0.3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6" x14ac:dyDescent="0.3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6" x14ac:dyDescent="0.3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6" x14ac:dyDescent="0.3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6" x14ac:dyDescent="0.3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6" x14ac:dyDescent="0.3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6" x14ac:dyDescent="0.3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6" x14ac:dyDescent="0.3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6" x14ac:dyDescent="0.3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6" x14ac:dyDescent="0.3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6" x14ac:dyDescent="0.3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6" x14ac:dyDescent="0.3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6" x14ac:dyDescent="0.3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6" x14ac:dyDescent="0.3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6" x14ac:dyDescent="0.3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6" x14ac:dyDescent="0.3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6" x14ac:dyDescent="0.3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6" x14ac:dyDescent="0.3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6" x14ac:dyDescent="0.3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6" x14ac:dyDescent="0.3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6" x14ac:dyDescent="0.3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6" x14ac:dyDescent="0.3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6" x14ac:dyDescent="0.3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6" x14ac:dyDescent="0.3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6" x14ac:dyDescent="0.3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6" x14ac:dyDescent="0.3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6" x14ac:dyDescent="0.3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6" x14ac:dyDescent="0.3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6" x14ac:dyDescent="0.3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6" x14ac:dyDescent="0.3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6" x14ac:dyDescent="0.3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6" x14ac:dyDescent="0.3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6" x14ac:dyDescent="0.3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6" x14ac:dyDescent="0.3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6" x14ac:dyDescent="0.3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6" x14ac:dyDescent="0.3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6" x14ac:dyDescent="0.3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6" x14ac:dyDescent="0.3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6" x14ac:dyDescent="0.3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6" x14ac:dyDescent="0.3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6" x14ac:dyDescent="0.3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6" x14ac:dyDescent="0.3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6" x14ac:dyDescent="0.3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6" x14ac:dyDescent="0.3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6" x14ac:dyDescent="0.3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6" x14ac:dyDescent="0.3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6" x14ac:dyDescent="0.3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6" x14ac:dyDescent="0.3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6" x14ac:dyDescent="0.3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6" x14ac:dyDescent="0.3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6" x14ac:dyDescent="0.3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6" x14ac:dyDescent="0.3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6" x14ac:dyDescent="0.3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6" x14ac:dyDescent="0.3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6" x14ac:dyDescent="0.3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6" x14ac:dyDescent="0.3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6" x14ac:dyDescent="0.3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6" x14ac:dyDescent="0.3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6" x14ac:dyDescent="0.3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6" x14ac:dyDescent="0.3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6" x14ac:dyDescent="0.3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6" x14ac:dyDescent="0.3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6" x14ac:dyDescent="0.3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6" x14ac:dyDescent="0.3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6" x14ac:dyDescent="0.3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6" x14ac:dyDescent="0.3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6" x14ac:dyDescent="0.3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6" x14ac:dyDescent="0.3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6" x14ac:dyDescent="0.3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6" x14ac:dyDescent="0.3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6" x14ac:dyDescent="0.3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6" x14ac:dyDescent="0.3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6" x14ac:dyDescent="0.3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  <row r="173" spans="1:11" ht="15.6" x14ac:dyDescent="0.3">
      <c r="A173" s="16" t="s">
        <v>966</v>
      </c>
      <c r="B173" s="1" t="s">
        <v>967</v>
      </c>
      <c r="C173" s="1" t="s">
        <v>966</v>
      </c>
      <c r="D173" s="3" t="s">
        <v>900</v>
      </c>
      <c r="E173" s="1" t="s">
        <v>899</v>
      </c>
      <c r="F173" s="1">
        <v>100</v>
      </c>
      <c r="G173" s="14">
        <v>0.5</v>
      </c>
      <c r="H173" s="3" t="s">
        <v>896</v>
      </c>
      <c r="I173" s="13" t="s">
        <v>898</v>
      </c>
      <c r="J173" s="1"/>
      <c r="K173" s="1"/>
    </row>
    <row r="174" spans="1:11" ht="15.6" x14ac:dyDescent="0.3">
      <c r="A174" s="16" t="s">
        <v>970</v>
      </c>
      <c r="B174" s="1" t="s">
        <v>971</v>
      </c>
      <c r="C174" s="1" t="s">
        <v>970</v>
      </c>
      <c r="D174" s="3" t="s">
        <v>900</v>
      </c>
      <c r="E174" s="1" t="s">
        <v>899</v>
      </c>
      <c r="F174" s="1" t="s">
        <v>972</v>
      </c>
      <c r="G174" s="14">
        <v>0.5</v>
      </c>
      <c r="H174" s="3" t="s">
        <v>896</v>
      </c>
      <c r="I174" s="13" t="s">
        <v>898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4" x14ac:dyDescent="0.3"/>
  <cols>
    <col min="1" max="1" width="15.33203125" bestFit="1" customWidth="1"/>
    <col min="2" max="2" width="23.21875" bestFit="1" customWidth="1"/>
    <col min="3" max="3" width="15.33203125" bestFit="1" customWidth="1"/>
    <col min="4" max="4" width="32" bestFit="1" customWidth="1"/>
    <col min="5" max="5" width="15.33203125" bestFit="1" customWidth="1"/>
    <col min="6" max="6" width="8.77734375" bestFit="1" customWidth="1"/>
    <col min="7" max="7" width="33.6640625" bestFit="1" customWidth="1"/>
    <col min="8" max="8" width="17.21875" bestFit="1" customWidth="1"/>
    <col min="9" max="9" width="33.6640625" bestFit="1" customWidth="1"/>
    <col min="10" max="10" width="17.21875" bestFit="1" customWidth="1"/>
    <col min="11" max="11" width="33.664062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33203125" bestFit="1" customWidth="1"/>
    <col min="20" max="20" width="17.2187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2" workbookViewId="0">
      <selection activeCell="K41" sqref="K41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12.109375" bestFit="1" customWidth="1"/>
    <col min="4" max="4" width="23.88671875" bestFit="1" customWidth="1"/>
    <col min="5" max="5" width="13" bestFit="1" customWidth="1"/>
    <col min="6" max="6" width="8.21875" bestFit="1" customWidth="1"/>
    <col min="7" max="7" width="12.109375" bestFit="1" customWidth="1"/>
    <col min="8" max="8" width="13" bestFit="1" customWidth="1"/>
    <col min="9" max="9" width="11.6640625" bestFit="1" customWidth="1"/>
    <col min="10" max="10" width="31.1093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1093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  <c r="M1" s="6" t="s">
        <v>13</v>
      </c>
      <c r="N1" s="6" t="s">
        <v>9</v>
      </c>
    </row>
    <row r="2" spans="1:14" x14ac:dyDescent="0.3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4" x14ac:dyDescent="0.3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4" x14ac:dyDescent="0.3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4" x14ac:dyDescent="0.3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4" x14ac:dyDescent="0.3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4" x14ac:dyDescent="0.3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4" x14ac:dyDescent="0.3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4" x14ac:dyDescent="0.3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4" x14ac:dyDescent="0.3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4" x14ac:dyDescent="0.3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4" x14ac:dyDescent="0.3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4" x14ac:dyDescent="0.3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4" x14ac:dyDescent="0.3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4" x14ac:dyDescent="0.3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4" x14ac:dyDescent="0.3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4" x14ac:dyDescent="0.3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4" x14ac:dyDescent="0.3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4" x14ac:dyDescent="0.3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4" x14ac:dyDescent="0.3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4" x14ac:dyDescent="0.3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  <c r="M21" s="2" t="s">
        <v>973</v>
      </c>
      <c r="N21" t="s">
        <v>974</v>
      </c>
    </row>
    <row r="22" spans="1:14" x14ac:dyDescent="0.3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4.4" x14ac:dyDescent="0.3"/>
  <cols>
    <col min="1" max="1" width="14.88671875" customWidth="1"/>
    <col min="2" max="2" width="22.21875" customWidth="1"/>
    <col min="3" max="3" width="12" customWidth="1"/>
    <col min="4" max="4" width="14.109375" customWidth="1"/>
    <col min="5" max="5" width="12.77734375" customWidth="1"/>
    <col min="6" max="6" width="17.8867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8" bestFit="1" customWidth="1"/>
    <col min="15" max="15" width="13.5546875" bestFit="1" customWidth="1"/>
    <col min="16" max="16" width="8.5546875" bestFit="1" customWidth="1"/>
  </cols>
  <sheetData>
    <row r="1" spans="1:16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">
      <c r="A3" s="2" t="s">
        <v>340</v>
      </c>
      <c r="B3" s="2" t="s">
        <v>341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">
      <c r="A5" t="s">
        <v>874</v>
      </c>
      <c r="B5" t="s">
        <v>875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876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">
      <c r="A6" t="s">
        <v>901</v>
      </c>
      <c r="B6" t="s">
        <v>902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342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  <row r="7" spans="1:16" x14ac:dyDescent="0.3">
      <c r="A7" t="s">
        <v>960</v>
      </c>
      <c r="B7" t="s">
        <v>961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962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963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0"/>
  <sheetViews>
    <sheetView workbookViewId="0">
      <selection activeCell="I17" sqref="I17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3">
      <c r="A7" s="15" t="s">
        <v>885</v>
      </c>
      <c r="B7" s="15" t="s">
        <v>886</v>
      </c>
      <c r="C7" s="15" t="str">
        <f t="shared" ref="C7" si="0">A7</f>
        <v>CBM432AST23</v>
      </c>
      <c r="D7" s="15" t="str">
        <f>CONCATENATE("Schematic\precision_shunt_regulator",".SchLib")</f>
        <v>Schematic\precision_shunt_regulator.SchLib</v>
      </c>
      <c r="E7" s="15" t="s">
        <v>887</v>
      </c>
      <c r="F7" s="15" t="str">
        <f>CONCATENATE("Footprints\",G7,".PcbLib")</f>
        <v>Footprints\SOT23-3.PcbLib</v>
      </c>
      <c r="G7" s="15" t="s">
        <v>18</v>
      </c>
      <c r="H7" s="15"/>
      <c r="I7" s="15"/>
    </row>
    <row r="8" spans="1:20" x14ac:dyDescent="0.3">
      <c r="A8" s="15" t="s">
        <v>909</v>
      </c>
      <c r="B8" s="15" t="s">
        <v>908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887</v>
      </c>
      <c r="F8" s="15" t="str">
        <f>CONCATENATE("Footprints\",G8,".PcbLib")</f>
        <v>Footprints\SOT23-3.PcbLib</v>
      </c>
      <c r="G8" s="15" t="s">
        <v>18</v>
      </c>
      <c r="H8" s="15"/>
      <c r="I8" s="15"/>
    </row>
    <row r="9" spans="1:20" x14ac:dyDescent="0.3">
      <c r="A9" s="15" t="s">
        <v>921</v>
      </c>
      <c r="B9" s="15" t="s">
        <v>919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920</v>
      </c>
      <c r="F9" s="15" t="str">
        <f>CONCATENATE("Footprints\",G9,".PcbLib")</f>
        <v>Footprints\fuse_20x5_on_clips_FC-M.PcbLib</v>
      </c>
      <c r="G9" s="15" t="s">
        <v>918</v>
      </c>
      <c r="H9" s="15"/>
      <c r="I9" s="15"/>
    </row>
    <row r="10" spans="1:20" x14ac:dyDescent="0.3">
      <c r="A10" s="15" t="s">
        <v>968</v>
      </c>
      <c r="B10" s="15" t="s">
        <v>969</v>
      </c>
      <c r="C10" s="15" t="str">
        <f>A10</f>
        <v>DHT22</v>
      </c>
      <c r="D10" s="15" t="str">
        <f>CONCATENATE("Schematic\",A10,".SchLib")</f>
        <v>Schematic\DHT22.SchLib</v>
      </c>
      <c r="E10" s="15" t="str">
        <f>A10</f>
        <v>DHT22</v>
      </c>
      <c r="F10" s="15" t="str">
        <f>CONCATENATE("Footprints\",G10,".PcbLib")</f>
        <v>Footprints\DHT22.PcbLib</v>
      </c>
      <c r="G10" s="15" t="s">
        <v>968</v>
      </c>
      <c r="H10" s="15"/>
      <c r="I10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6"/>
  <sheetViews>
    <sheetView tabSelected="1" zoomScale="85" zoomScaleNormal="85" workbookViewId="0">
      <selection activeCell="F18" sqref="F18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45.777343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  <row r="15" spans="1:9" x14ac:dyDescent="0.3">
      <c r="A15" t="s">
        <v>935</v>
      </c>
      <c r="B15" t="s">
        <v>938</v>
      </c>
      <c r="C15" s="2" t="s">
        <v>935</v>
      </c>
      <c r="D15" t="s">
        <v>936</v>
      </c>
      <c r="E15" t="s">
        <v>935</v>
      </c>
      <c r="F15" t="s">
        <v>937</v>
      </c>
      <c r="G15" t="s">
        <v>935</v>
      </c>
    </row>
    <row r="16" spans="1:9" x14ac:dyDescent="0.3">
      <c r="A16" t="s">
        <v>985</v>
      </c>
      <c r="C16" s="2" t="s">
        <v>986</v>
      </c>
      <c r="D16" t="s">
        <v>987</v>
      </c>
      <c r="E16" t="s">
        <v>985</v>
      </c>
      <c r="F16" t="s">
        <v>988</v>
      </c>
      <c r="G16" t="s">
        <v>985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2024-12-22T12:38:10Z</dcterms:modified>
</cp:coreProperties>
</file>