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5D67BF86-A58A-4A1E-8C12-132751CDC0ED}" xr6:coauthVersionLast="47" xr6:coauthVersionMax="47" xr10:uidLastSave="{00000000-0000-0000-0000-000000000000}"/>
  <bookViews>
    <workbookView xWindow="-110" yWindow="-110" windowWidth="25820" windowHeight="15500" firstSheet="6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" i="10" l="1"/>
  <c r="C15" i="10"/>
  <c r="F15" i="10"/>
  <c r="H15" i="10"/>
  <c r="L15" i="10"/>
  <c r="C18" i="5"/>
  <c r="D18" i="5"/>
  <c r="E18" i="5"/>
  <c r="J18" i="5"/>
  <c r="D17" i="5"/>
  <c r="J16" i="5"/>
  <c r="J17" i="5"/>
  <c r="C11" i="4"/>
  <c r="F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<sst xmlns="http://schemas.openxmlformats.org/spreadsheetml/2006/main" count="3108" uniqueCount="1286">
  <si>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</si>
  <si>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</si>
  <si>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</si>
  <si>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</si>
  <si>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</si>
  <si>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</si>
  <si>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</si>
  <si>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</si>
  <si>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</si>
  <si>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</si>
  <si>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</si>
  <si>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</si>
  <si>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</si>
  <si>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</si>
  <si>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</si>
  <si>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</si>
  <si>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</si>
  <si>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</si>
  <si>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</si>
  <si>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</si>
  <si>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</si>
  <si>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</si>
  <si>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</si>
  <si>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</si>
  <si>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</si>
  <si>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</si>
  <si>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</si>
  <si>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</si>
  <si>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</si>
  <si>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</si>
  <si>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</si>
  <si>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</si>
  <si>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</si>
  <si>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</si>
  <si>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</si>
  <si>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</si>
  <si>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</si>
  <si>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</si>
  <si>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</si>
  <si>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</si>
  <si>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</si>
  <si>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</si>
  <si>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</si>
  <si>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</si>
  <si>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</si>
  <si>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</si>
  <si>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</si>
  <si>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</si>
  <si>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</si>
  <si>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</si>
  <si>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</si>
  <si>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</si>
  <si>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</si>
  <si>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</si>
  <si>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</si>
  <si>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</si>
  <si>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</si>
  <si>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</si>
  <si>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</si>
  <si>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</si>
  <si>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</si>
  <si>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</si>
  <si>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</si>
  <si>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</si>
  <si>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</si>
  <si>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</si>
  <si>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</si>
  <si>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</si>
  <si>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</si>
  <si>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</si>
  <si>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</si>
  <si>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</si>
  <si>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</si>
  <si>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</si>
  <si>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</si>
  <si>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</si>
  <si>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</si>
  <si>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</si>
  <si>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</si>
  <si>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</si>
  <si>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</si>
  <si>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</si>
  <si>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</si>
  <si>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</si>
  <si>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</si>
  <si>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</si>
  <si>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</si>
  <si>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</si>
  <si>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</si>
  <si>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</si>
  <si>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</si>
  <si>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</si>
  <si>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</si>
  <si>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</si>
  <si>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</si>
  <si>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</si>
  <si>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</si>
  <si>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</si>
  <si>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</si>
  <si>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</si>
  <si>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</si>
  <si>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</si>
  <si>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</si>
  <si>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</si>
  <si>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</si>
  <si>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</si>
  <si>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</si>
  <si>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</si>
  <si>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</si>
  <si>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</si>
  <si>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</si>
  <si>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</si>
  <si>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</si>
  <si>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</si>
  <si>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</si>
  <si>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</si>
  <si>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</si>
  <si>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</si>
  <si>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</si>
  <si>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</si>
  <si>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</si>
  <si>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</si>
  <si>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</si>
  <si>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</si>
  <si>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</si>
  <si>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</si>
  <si>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</si>
  <si>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</si>
  <si>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</si>
  <si>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</si>
  <si>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</si>
  <si>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</si>
  <si>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</si>
  <si>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</si>
  <si>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</si>
  <si>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</si>
  <si>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</si>
  <si>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</si>
  <si>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</si>
  <si>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</si>
  <si>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</si>
  <si>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</si>
  <si>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</si>
  <si>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</si>
  <si>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</si>
  <si>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</si>
  <si>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</si>
  <si>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</si>
  <si>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</si>
  <si>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</si>
  <si>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</si>
  <si>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</si>
  <si>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</si>
  <si>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</si>
  <si>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</si>
  <si>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</si>
  <si>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</si>
  <si>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</si>
  <si>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</si>
  <si>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</si>
  <si>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</si>
  <si>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</si>
  <si>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</si>
  <si>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</si>
  <si>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</si>
  <si>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</si>
  <si>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</si>
  <si>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</si>
  <si>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</si>
  <si>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</si>
  <si>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</si>
  <si>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</si>
  <si>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</si>
  <si>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</si>
  <si>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</si>
  <si>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</si>
  <si>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</si>
  <si>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</si>
  <si>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</si>
  <si>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</si>
  <si>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</si>
  <si>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</si>
  <si>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</si>
  <si>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</si>
  <si>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</si>
  <si>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</si>
  <si>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</si>
  <si>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</si>
  <si>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</si>
  <si>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</si>
  <si>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</si>
  <si>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</si>
  <si>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</si>
  <si>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</si>
  <si>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</si>
  <si>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</si>
  <si>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</si>
  <si>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</si>
  <si>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</si>
  <si>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</si>
  <si>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</si>
  <si>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</si>
  <si>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</si>
  <si>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</si>
  <si>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</si>
  <si>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</si>
  <si>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</si>
  <si>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</si>
  <si>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</si>
  <si>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</si>
  <si>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</si>
  <si>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</si>
  <si>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</si>
  <si>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</si>
  <si>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</si>
  <si>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</si>
  <si>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</si>
  <si>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</si>
  <si>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</si>
  <si>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</si>
  <si>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</si>
  <si>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</si>
  <si>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</si>
  <si>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</si>
  <si>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</si>
  <si>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</si>
  <si>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</si>
  <si>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</si>
  <si>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</si>
  <si>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</si>
  <si>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</si>
  <si>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</si>
  <si>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</si>
  <si>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</si>
  <si>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</si>
  <si>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</si>
  <si>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</si>
  <si>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</si>
  <si>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</si>
  <si>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</si>
  <si>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</si>
  <si>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</si>
  <si>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</si>
  <si>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</si>
  <si>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</si>
  <si>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</si>
  <si>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</si>
  <si>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</si>
  <si>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</si>
  <si>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</si>
  <si>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</si>
  <si>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</si>
  <si>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</si>
  <si>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</si>
  <si>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</si>
  <si>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</si>
  <si>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</si>
  <si>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</si>
  <si>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</si>
  <si>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</si>
  <si>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</si>
  <si>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</si>
  <si>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</si>
  <si>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</si>
  <si>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</si>
  <si>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</si>
  <si>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</si>
  <si>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</si>
  <si>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</si>
  <si>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</si>
  <si>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</si>
  <si>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</si>
  <si>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</si>
  <si>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</si>
  <si>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</si>
  <si>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</si>
  <si>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</si>
  <si>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</si>
  <si>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</si>
  <si>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</si>
  <si>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</si>
  <si>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</si>
  <si>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</si>
  <si>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</si>
  <si>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</si>
  <si>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</si>
  <si>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</si>
  <si>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</si>
  <si>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</si>
  <si>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</si>
  <si>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</si>
  <si>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</si>
  <si>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</si>
  <si>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</si>
  <si>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</si>
  <si>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</si>
  <si>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</si>
  <si>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</si>
  <si>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</si>
  <si>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</si>
  <si>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</si>
  <si>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</si>
  <si>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</si>
  <si>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</si>
  <si>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</si>
  <si>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</si>
  <si>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</si>
  <si>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</si>
  <si>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</si>
  <si>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</si>
  <si>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</si>
  <si>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</si>
  <si>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</si>
  <si>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</si>
  <si>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</si>
  <si>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</si>
  <si>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</si>
  <si>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</si>
  <si>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</si>
  <si>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</si>
  <si>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</si>
  <si>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</si>
  <si>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</si>
  <si>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</si>
  <si>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</si>
  <si>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</si>
  <si>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</si>
  <si>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</si>
  <si>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</si>
  <si>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</si>
  <si>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</si>
  <si>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</si>
  <si>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</si>
  <si>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</si>
  <si>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</si>
  <si>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</si>
  <si>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</si>
  <si>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</si>
  <si>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</si>
  <si>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</si>
  <si>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</si>
  <si>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</si>
  <si>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</si>
  <si>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</si>
  <si>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</si>
  <si>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</si>
  <si>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</si>
  <si>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</si>
  <si>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</si>
  <si>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</si>
  <si>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</si>
  <si>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</si>
  <si>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</si>
  <si>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</si>
  <si>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</si>
  <si>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</si>
  <si>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</si>
  <si>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</si>
  <si>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</si>
  <si>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</si>
  <si>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</si>
  <si>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</si>
  <si>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</si>
  <si>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</si>
  <si>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</si>
  <si>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</si>
  <si>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</si>
  <si>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</si>
  <si>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</si>
  <si>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</si>
  <si>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</si>
  <si>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</si>
  <si>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</si>
  <si>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</si>
  <si>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</si>
  <si>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</si>
  <si>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</si>
  <si>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</si>
  <si>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</si>
  <si>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</si>
  <si>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</si>
  <si>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</si>
  <si>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</si>
  <si>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</si>
  <si>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</si>
  <si>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</si>
  <si>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</si>
  <si>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</si>
  <si>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</si>
  <si>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</si>
  <si>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</si>
  <si>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</si>
  <si>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</si>
  <si>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</si>
  <si>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</si>
  <si>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</si>
  <si>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</si>
  <si>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</si>
  <si>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</si>
  <si>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</si>
  <si>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</si>
  <si>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</si>
  <si>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</si>
  <si>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</si>
  <si>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</si>
  <si>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</si>
  <si>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</si>
  <si>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</si>
  <si>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</si>
  <si>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</si>
  <si>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</si>
  <si>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</si>
  <si>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</si>
  <si>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</si>
  <si>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</si>
  <si>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</si>
  <si>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</si>
  <si>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</si>
  <si>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</si>
  <si>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</si>
  <si>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</si>
  <si>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</si>
  <si>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</si>
  <si>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</si>
  <si>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</si>
  <si>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</si>
  <si>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</si>
  <si>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</si>
  <si>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</si>
  <si>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</si>
  <si>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</si>
  <si>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</si>
  <si>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</si>
  <si>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</si>
  <si>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</si>
  <si>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</si>
  <si>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</si>
  <si>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</si>
  <si>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</si>
  <si>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</si>
  <si>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</si>
  <si>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</si>
  <si>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</si>
  <si>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</si>
  <si>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</si>
  <si>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</si>
  <si>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</si>
  <si>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</si>
  <si>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</si>
  <si>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</si>
  <si>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</si>
  <si>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</si>
  <si>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</si>
  <si>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</si>
  <si>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</si>
  <si>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</si>
  <si>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</si>
  <si>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</si>
  <si>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</si>
  <si>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</si>
  <si>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</si>
  <si>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</si>
  <si>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</si>
  <si>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</si>
  <si>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</si>
  <si>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</si>
  <si>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</si>
  <si>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</si>
  <si>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</si>
  <si>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</si>
  <si>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</si>
  <si>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</si>
  <si>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</si>
  <si>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</si>
  <si>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</si>
  <si>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</si>
  <si>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</si>
  <si>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</si>
  <si>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</si>
  <si>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</si>
  <si>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</si>
  <si>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</si>
  <si>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</si>
  <si>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</si>
  <si>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</si>
  <si>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</si>
  <si>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</si>
  <si>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</si>
  <si>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</si>
  <si>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</si>
  <si>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</si>
  <si>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</si>
  <si>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</si>
  <si>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</si>
  <si>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</si>
  <si>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</si>
  <si>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</si>
  <si>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</si>
  <si>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</si>
  <si>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</si>
  <si>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</si>
  <si>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</si>
  <si>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</si>
  <si>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</si>
  <si>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</si>
  <si>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</si>
  <si>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</si>
  <si>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</si>
  <si>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</si>
  <si>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</si>
  <si>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</si>
  <si>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</si>
  <si>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</si>
  <si>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</si>
  <si>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</si>
  <si>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</si>
  <si>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</si>
  <si>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</si>
  <si>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</si>
  <si>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</si>
  <si>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</si>
  <si>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</si>
  <si>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</si>
  <si>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</si>
  <si>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</si>
  <si>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</si>
  <si>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</si>
  <si>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</si>
  <si>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</si>
  <si>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</si>
  <si>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</si>
  <si>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</si>
  <si>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</si>
  <si>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</si>
  <si>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</si>
  <si>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</si>
  <si>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</si>
  <si>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</si>
  <si>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</si>
  <si>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</si>
  <si>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</si>
  <si>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</si>
  <si>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</si>
  <si>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</si>
  <si>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</si>
  <si>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</si>
  <si>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</si>
  <si>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</si>
  <si>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</si>
  <si>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</si>
  <si>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</si>
  <si>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</si>
  <si>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</si>
  <si>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</si>
  <si>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</si>
  <si>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</si>
  <si>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</si>
  <si>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</si>
  <si>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</si>
  <si>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</si>
  <si>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</si>
  <si>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</si>
  <si>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</si>
  <si>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</si>
  <si>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</si>
  <si>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</si>
  <si>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</si>
  <si>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</si>
  <si>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</si>
  <si>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</si>
  <si>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</si>
  <si>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</si>
  <si>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</si>
  <si>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</si>
  <si>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</si>
  <si>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</si>
  <si>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</si>
  <si>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</si>
  <si>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</si>
  <si>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</si>
  <si>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</si>
  <si>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</si>
  <si>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</si>
  <si>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</si>
  <si>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</si>
  <si>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</si>
  <si>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</si>
  <si>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</si>
  <si>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</si>
  <si>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</si>
  <si>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</si>
  <si>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</si>
  <si>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</si>
  <si>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</si>
  <si>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</si>
  <si>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</si>
  <si>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</si>
  <si>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</si>
  <si>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</si>
  <si>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</si>
  <si>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</si>
  <si>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</si>
  <si>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</si>
  <si>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</si>
  <si>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</si>
  <si>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</si>
  <si>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</si>
  <si>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</si>
  <si>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</si>
  <si>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</si>
  <si>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</si>
  <si>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</si>
  <si>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</si>
  <si>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</si>
  <si>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</si>
  <si>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</si>
  <si>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</si>
  <si>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</si>
  <si>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</si>
  <si>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</si>
  <si>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</si>
  <si>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</si>
  <si>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</si>
  <si>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</si>
  <si>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</si>
  <si>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</si>
  <si>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</si>
  <si>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</si>
  <si>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</si>
  <si>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</si>
  <si>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</si>
  <si>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</si>
  <si>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</si>
  <si>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</si>
  <si>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</si>
  <si>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</si>
  <si>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</si>
  <si>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</si>
  <si>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</si>
  <si>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</si>
  <si>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</si>
  <si>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</si>
  <si>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</si>
  <si>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</si>
  <si>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</si>
  <si>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</si>
  <si>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</si>
  <si>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</si>
  <si>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</si>
  <si>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</si>
  <si>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</si>
  <si>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</si>
  <si>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</si>
  <si>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</si>
  <si>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</si>
  <si>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</si>
  <si>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</si>
  <si>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</si>
  <si>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</si>
  <si>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</si>
  <si>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</si>
  <si>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</si>
  <si>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</si>
  <si>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</si>
  <si>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</si>
  <si>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</si>
  <si>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</si>
  <si>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</si>
  <si>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</si>
  <si>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</si>
  <si>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</si>
  <si>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</si>
  <si>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</si>
  <si>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</si>
  <si>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</si>
  <si>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</si>
  <si>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</si>
  <si>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</si>
  <si>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</si>
  <si>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</si>
  <si>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</si>
  <si>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</si>
  <si>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</si>
  <si>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</si>
  <si>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</si>
  <si>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</si>
  <si>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</si>
  <si>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</si>
  <si>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</si>
  <si>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</si>
  <si>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</si>
  <si>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</si>
  <si>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</si>
  <si>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</si>
  <si>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</si>
  <si>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</si>
  <si>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</si>
  <si>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</si>
  <si>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</si>
  <si>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</si>
  <si>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</si>
  <si>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</si>
  <si>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</si>
  <si>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</si>
  <si>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</si>
  <si>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</si>
  <si>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</si>
  <si>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</si>
  <si>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</si>
  <si>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</si>
  <si>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</si>
  <si>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</si>
  <si>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</si>
  <si>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</si>
  <si>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</si>
  <si>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</si>
  <si>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</si>
  <si>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</si>
  <si>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</si>
  <si>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</si>
  <si>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</si>
  <si>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</si>
  <si>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</si>
  <si>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</si>
  <si>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</si>
  <si>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</si>
  <si>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</si>
  <si>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</si>
  <si>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</si>
  <si>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</si>
  <si>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</si>
  <si>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</si>
  <si>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</si>
  <si>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</si>
  <si>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</si>
  <si>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</si>
  <si>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</si>
  <si>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</si>
  <si>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</si>
  <si>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</si>
  <si>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</si>
  <si>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</si>
  <si>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</si>
  <si>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</si>
  <si>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</si>
  <si>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</si>
  <si>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</si>
  <si>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</si>
  <si>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</si>
  <si>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</si>
  <si>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</si>
  <si>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</si>
  <si>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</si>
  <si>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</si>
  <si>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</si>
  <si>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</si>
  <si>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</si>
  <si>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</si>
  <si>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</si>
  <si>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</si>
  <si>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</si>
  <si>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</si>
  <si>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</si>
  <si>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</si>
  <si>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</si>
  <si>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</si>
  <si>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</si>
  <si>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</si>
  <si>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</si>
  <si>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</si>
  <si>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</si>
  <si>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</si>
  <si>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</si>
  <si>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</si>
  <si>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</si>
  <si>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</si>
  <si>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</si>
  <si>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</si>
  <si>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</si>
  <si>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</si>
  <si>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</si>
  <si>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</si>
  <si>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</si>
  <si>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</si>
  <si>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</si>
  <si>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</si>
  <si>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</si>
  <si>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</si>
  <si>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</si>
  <si>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</si>
  <si>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</si>
  <si>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</si>
  <si>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</si>
  <si>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</si>
  <si>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</si>
  <si>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</si>
  <si>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</si>
  <si>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</si>
  <si>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</si>
  <si>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</si>
  <si>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</si>
  <si>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</si>
  <si>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</si>
  <si>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</si>
  <si>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</si>
  <si>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</si>
  <si>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</si>
  <si>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</si>
  <si>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</si>
  <si>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</si>
  <si>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</si>
  <si>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</si>
  <si>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</si>
  <si>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</si>
  <si>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</si>
  <si>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</si>
  <si>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</si>
  <si>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</si>
  <si>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</si>
  <si>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</si>
  <si>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</si>
  <si>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</si>
  <si>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</si>
  <si>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</si>
  <si>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</si>
  <si>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</si>
  <si>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</si>
  <si>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</si>
  <si>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</si>
  <si>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</si>
  <si>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</si>
  <si>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</si>
  <si>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</si>
  <si>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</si>
  <si>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</si>
  <si>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</si>
  <si>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</si>
  <si>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</si>
  <si>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</si>
  <si>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</si>
  <si>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</si>
  <si>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</si>
  <si>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</si>
  <si>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</si>
  <si>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</si>
  <si>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</si>
  <si>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</si>
  <si>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</si>
  <si>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</si>
  <si>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</si>
  <si>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</si>
  <si>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</si>
  <si>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</si>
  <si>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</si>
  <si>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</si>
  <si>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</si>
  <si>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</si>
  <si>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</si>
  <si>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</si>
  <si>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</si>
  <si>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</si>
  <si>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</si>
  <si>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</si>
  <si>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</si>
  <si>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</si>
  <si>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</si>
  <si>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</si>
  <si>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</si>
  <si>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</si>
  <si>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</si>
  <si>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</si>
  <si>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</si>
  <si>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</si>
  <si>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</si>
  <si>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</si>
  <si>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</si>
  <si>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</si>
  <si>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</si>
  <si>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</si>
  <si>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</si>
  <si>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</si>
  <si>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</si>
  <si>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</si>
  <si>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</si>
  <si>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</si>
  <si>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</si>
  <si>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</si>
  <si>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</si>
  <si>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</si>
  <si>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</si>
  <si>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</si>
  <si>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</si>
  <si>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</si>
  <si>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</si>
  <si>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</si>
  <si>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</si>
  <si>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</si>
  <si>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</si>
  <si>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</si>
  <si>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</si>
  <si>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</si>
  <si>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</si>
  <si>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</si>
  <si>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</si>
  <si>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</si>
  <si>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</si>
  <si>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</si>
  <si>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</si>
  <si>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</si>
  <si>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</si>
  <si>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</si>
  <si>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</si>
  <si>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</si>
  <si>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</si>
  <si>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</si>
  <si>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</si>
  <si>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</si>
  <si>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</si>
  <si>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</si>
  <si>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</si>
  <si>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</si>
  <si>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</si>
  <si>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</si>
  <si>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</si>
  <si>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</si>
  <si>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</si>
  <si>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</si>
  <si>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</si>
  <si>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</si>
  <si>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</si>
  <si>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</si>
  <si>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</si>
  <si>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</si>
  <si>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</si>
  <si>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</si>
  <si>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</si>
  <si>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</si>
  <si>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</si>
  <si>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</si>
  <si>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</si>
  <si>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</si>
  <si>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</si>
  <si>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</si>
  <si>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</si>
  <si>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</si>
  <si>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</si>
  <si>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</si>
  <si>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</si>
  <si>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</si>
  <si>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</si>
  <si>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</si>
  <si>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</si>
  <si>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</si>
  <si>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</si>
  <si>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</si>
  <si>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</si>
  <si>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</si>
  <si>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</si>
  <si>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</si>
  <si>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</si>
  <si>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</si>
  <si>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</si>
  <si>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</si>
  <si>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</si>
  <si>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</si>
  <si>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</si>
  <si>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</si>
  <si>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</si>
  <si>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</si>
  <si>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</si>
  <si>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</si>
  <si>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</si>
  <si>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</si>
  <si>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</si>
  <si>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</si>
  <si>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</si>
  <si>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</si>
  <si>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</si>
  <si>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</si>
  <si>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</si>
  <si>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</si>
  <si>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</si>
  <si>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</si>
  <si>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</si>
  <si>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</si>
  <si>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</si>
  <si>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</si>
  <si>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</si>
  <si>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</si>
  <si>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</si>
  <si>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</si>
  <si>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</si>
  <si>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</si>
  <si>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</si>
  <si>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</si>
  <si>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</si>
  <si>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</si>
  <si>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</si>
  <si>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</si>
  <si>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</si>
  <si>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</si>
  <si>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</si>
  <si>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</si>
  <si>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</si>
  <si>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</si>
  <si>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</si>
  <si>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</si>
  <si>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</si>
  <si>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</si>
  <si>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</si>
  <si>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</si>
  <si>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</si>
  <si>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</si>
  <si>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</si>
  <si>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</si>
  <si>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</si>
  <si>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</si>
  <si>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</si>
  <si>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</si>
  <si>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</si>
  <si>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</si>
  <si>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</si>
  <si>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</si>
  <si>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</si>
  <si>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</si>
  <si>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</si>
  <si>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</si>
  <si>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</si>
  <si>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</si>
  <si>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</si>
  <si>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</si>
  <si>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</si>
  <si>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</si>
  <si>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</si>
  <si>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</si>
  <si>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</si>
  <si>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</si>
  <si>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</si>
  <si>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</si>
  <si>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</si>
  <si>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</si>
  <si>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</si>
  <si>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</si>
  <si>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</si>
  <si>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</si>
  <si>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</si>
  <si>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</si>
  <si>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</si>
  <si>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</si>
  <si>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</si>
  <si>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</si>
  <si>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</si>
  <si>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</si>
  <si>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</si>
  <si>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</si>
  <si>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</si>
  <si>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</si>
  <si>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</si>
  <si>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</si>
  <si>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</si>
  <si>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</si>
  <si>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</si>
  <si>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</si>
  <si>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</si>
  <si>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</si>
  <si>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</si>
  <si>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</si>
  <si>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</si>
  <si>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</si>
  <si>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</si>
  <si>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</si>
  <si>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</si>
  <si>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</si>
  <si>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</si>
  <si>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</si>
  <si>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</si>
  <si>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</si>
  <si>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</si>
  <si>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</si>
  <si>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</si>
  <si>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</si>
  <si>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</si>
  <si>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</si>
  <si>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</si>
  <si>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</si>
  <si>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</si>
  <si>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</si>
  <si>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</si>
  <si>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</si>
  <si>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</si>
  <si>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</si>
  <si>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</si>
  <si>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</si>
  <si>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</si>
  <si>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</si>
  <si>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</si>
  <si>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</si>
  <si>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</si>
  <si>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</si>
  <si>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</si>
  <si>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</si>
  <si>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</si>
  <si>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</si>
  <si>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</si>
  <si>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</si>
  <si>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</si>
  <si>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</si>
  <si>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</si>
  <si>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</si>
  <si>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</si>
  <si>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</si>
  <si>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</si>
  <si>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</si>
  <si>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</si>
  <si>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</si>
  <si>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</si>
  <si>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</si>
  <si>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</si>
  <si>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</si>
  <si>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</si>
  <si>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</si>
  <si>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</si>
  <si>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</si>
  <si>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</si>
  <si>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</si>
  <si>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</si>
  <si>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</si>
  <si>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</si>
  <si>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</si>
  <si>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</si>
  <si>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</si>
  <si>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</si>
  <si>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</si>
  <si>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</si>
  <si>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</si>
  <si>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</si>
  <si>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</si>
  <si>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</si>
  <si>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</si>
  <si>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</si>
  <si>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</si>
  <si>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</si>
  <si>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</si>
  <si>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</si>
  <si>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</si>
  <si>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</si>
  <si>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</si>
  <si>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</si>
  <si>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</si>
  <si>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</si>
  <si>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</si>
  <si>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</si>
  <si>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</si>
  <si>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</si>
  <si>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</si>
  <si>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</si>
  <si>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</si>
  <si>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</si>
  <si>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</si>
  <si>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</si>
  <si>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</si>
  <si>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</si>
  <si>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</si>
  <si>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</si>
  <si>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</si>
  <si>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</si>
  <si>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</si>
  <si>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</si>
  <si>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</si>
  <si>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</si>
  <si>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</si>
  <si>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</si>
  <si>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</si>
  <si>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</si>
  <si>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</si>
  <si>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</si>
  <si>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</si>
  <si>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</si>
  <si>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</si>
  <si>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</si>
  <si>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</si>
  <si>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</si>
  <si>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</si>
  <si>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</si>
  <si>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</si>
  <si>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</si>
  <si>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</si>
  <si>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</si>
  <si>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</si>
  <si>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</si>
  <si>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</si>
  <si>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</si>
  <si>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</si>
  <si>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</si>
  <si>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</si>
  <si>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</si>
  <si>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</si>
  <si>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</si>
  <si>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</si>
  <si>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</si>
  <si>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</si>
  <si>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</si>
  <si>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</si>
  <si>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</si>
  <si>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</si>
  <si>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</si>
  <si>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</si>
  <si>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</si>
  <si>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</si>
  <si>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</si>
  <si>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</si>
  <si>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</si>
  <si>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</si>
  <si>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</si>
  <si>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</si>
  <si>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</si>
  <si>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</si>
  <si>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</si>
  <si>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</si>
  <si>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</si>
  <si>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</si>
  <si>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</si>
  <si>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</si>
  <si>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</si>
  <si>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</si>
  <si>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</si>
  <si>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</si>
  <si>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</si>
  <si>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</si>
  <si>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</si>
  <si>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</si>
  <si>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</si>
  <si>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</si>
  <si>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</si>
  <si>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</si>
  <si>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</si>
  <si>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</si>
  <si>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</si>
  <si>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</si>
  <si>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</si>
  <si>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</si>
  <si>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</si>
  <si>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</si>
  <si>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</si>
  <si>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</si>
  <si>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</si>
  <si>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</si>
  <si>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</si>
  <si>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</si>
  <si>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</si>
  <si>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</si>
  <si>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</si>
  <si>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</si>
  <si>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</si>
  <si>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</si>
  <si>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</si>
  <si>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</si>
  <si>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</si>
  <si>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</si>
  <si>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</si>
  <si>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</si>
  <si>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</si>
  <si>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</si>
  <si>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</si>
  <si>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</si>
  <si>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</si>
  <si>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</si>
  <si>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</si>
  <si>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</si>
  <si>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</si>
  <si>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</si>
  <si>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</si>
  <si>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</si>
  <si>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</si>
  <si>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</si>
  <si>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</si>
  <si>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</si>
  <si>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SIR426DPT1GE3</t>
  </si>
  <si>
    <t>40 В</t>
  </si>
  <si>
    <t>ES1D-E3/61T</t>
  </si>
  <si>
    <t>Диод 1A 200V</t>
  </si>
  <si>
    <t>diode</t>
  </si>
  <si>
    <t>Footprints\SMA.PcbLib</t>
  </si>
  <si>
    <t>CDSPRH127-150M</t>
  </si>
  <si>
    <t>SPRH127-150M</t>
  </si>
  <si>
    <t>Индуктивность на 15 мкГн, номинальный ток 8,4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</si>
</sst>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3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8" connectionId="16">
  <autoFilter ref="A1:L9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1" tableType="xml" totalsRowShown="0" headerRowDxfId="105" connectionId="15">
  <autoFilter ref="A1:L11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6" tableType="xml" totalsRowShown="0" headerRowDxfId="98" dataDxfId="97" connectionId="13">
  <autoFilter ref="A1:M176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41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8" tableType="xml" totalsRowShown="0" headerRowDxfId="17" dataDxfId="16" connectionId="11">
  <autoFilter ref="A1:L18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opLeftCell="A29" zoomScale="107" zoomScaleNormal="145" workbookViewId="0">
      <selection activeCell="G49" sqref="G49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1"/>
  <sheetViews>
    <sheetView zoomScale="85" zoomScaleNormal="85" workbookViewId="0">
      <selection activeCell="J16" sqref="J16"/>
    </sheetView>
  </sheetViews>
  <sheetFormatPr defaultRowHeight="14.5" x14ac:dyDescent="0.35"/>
  <cols>
    <col min="1" max="1" width="14.90625" customWidth="1"/>
    <col min="2" max="2" width="22" bestFit="1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Footprints\SIR426DPT1GE3.PcbLib</v>
      </c>
      <c r="G11" s="1" t="s">
        <v>1277</v>
      </c>
      <c r="J11" t="s">
        <v>1278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52" zoomScaleNormal="100" workbookViewId="0">
      <selection activeCell="H179" sqref="H179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5" x14ac:dyDescent="0.3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5" x14ac:dyDescent="0.3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5" x14ac:dyDescent="0.3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5" x14ac:dyDescent="0.3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5" x14ac:dyDescent="0.3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5" x14ac:dyDescent="0.3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5" x14ac:dyDescent="0.3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5" x14ac:dyDescent="0.3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5" x14ac:dyDescent="0.3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5" x14ac:dyDescent="0.3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5" x14ac:dyDescent="0.3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5" x14ac:dyDescent="0.3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5" x14ac:dyDescent="0.3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5" x14ac:dyDescent="0.3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5" x14ac:dyDescent="0.3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5" x14ac:dyDescent="0.3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5" x14ac:dyDescent="0.3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5" x14ac:dyDescent="0.3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5" x14ac:dyDescent="0.3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5" x14ac:dyDescent="0.3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5" x14ac:dyDescent="0.3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5" x14ac:dyDescent="0.3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5" x14ac:dyDescent="0.3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5" x14ac:dyDescent="0.3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5" x14ac:dyDescent="0.3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5" x14ac:dyDescent="0.3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5" x14ac:dyDescent="0.3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5" x14ac:dyDescent="0.3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5" x14ac:dyDescent="0.3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5" x14ac:dyDescent="0.3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5" x14ac:dyDescent="0.3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5" x14ac:dyDescent="0.3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5" x14ac:dyDescent="0.3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5" x14ac:dyDescent="0.3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5" x14ac:dyDescent="0.3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5" x14ac:dyDescent="0.3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5" x14ac:dyDescent="0.3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5" x14ac:dyDescent="0.3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5" x14ac:dyDescent="0.3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5" x14ac:dyDescent="0.3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5" x14ac:dyDescent="0.3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5" x14ac:dyDescent="0.3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5" x14ac:dyDescent="0.3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5" x14ac:dyDescent="0.3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5" x14ac:dyDescent="0.3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5" x14ac:dyDescent="0.3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5" x14ac:dyDescent="0.3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5" x14ac:dyDescent="0.3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5" x14ac:dyDescent="0.3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5" x14ac:dyDescent="0.3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5" x14ac:dyDescent="0.3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5" x14ac:dyDescent="0.3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5" x14ac:dyDescent="0.3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5" x14ac:dyDescent="0.3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5" x14ac:dyDescent="0.3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5" x14ac:dyDescent="0.3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5" x14ac:dyDescent="0.3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5" x14ac:dyDescent="0.3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5" x14ac:dyDescent="0.3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5" x14ac:dyDescent="0.3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5" x14ac:dyDescent="0.3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5" x14ac:dyDescent="0.3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5" x14ac:dyDescent="0.3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5" x14ac:dyDescent="0.3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5" x14ac:dyDescent="0.3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5" x14ac:dyDescent="0.3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5" x14ac:dyDescent="0.3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5" x14ac:dyDescent="0.3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5" x14ac:dyDescent="0.3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5" x14ac:dyDescent="0.3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5" x14ac:dyDescent="0.3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5" x14ac:dyDescent="0.3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5" x14ac:dyDescent="0.3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5" x14ac:dyDescent="0.3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5" x14ac:dyDescent="0.3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5" x14ac:dyDescent="0.3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5" x14ac:dyDescent="0.3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5" x14ac:dyDescent="0.3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5" x14ac:dyDescent="0.3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5" x14ac:dyDescent="0.3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5" x14ac:dyDescent="0.3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5" x14ac:dyDescent="0.3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5" x14ac:dyDescent="0.3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5" x14ac:dyDescent="0.3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5" x14ac:dyDescent="0.3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5" x14ac:dyDescent="0.3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5" x14ac:dyDescent="0.3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5" x14ac:dyDescent="0.3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5" x14ac:dyDescent="0.3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5" x14ac:dyDescent="0.3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5" x14ac:dyDescent="0.3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5" x14ac:dyDescent="0.3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5" x14ac:dyDescent="0.3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5" x14ac:dyDescent="0.3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5" x14ac:dyDescent="0.3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5" x14ac:dyDescent="0.3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5" x14ac:dyDescent="0.3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5" x14ac:dyDescent="0.3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5" x14ac:dyDescent="0.35">
      <c r="A176" s="1" t="s">
        <v>1271</v>
      </c>
      <c r="B176" s="1" t="s">
        <v>1272</v>
      </c>
      <c r="C176" s="1" t="s">
        <v>26</v>
      </c>
      <c r="D176" s="3" t="s">
        <v>29</v>
      </c>
      <c r="E176" s="3" t="s">
        <v>26</v>
      </c>
      <c r="F176" s="3" t="s">
        <v>1273</v>
      </c>
      <c r="G176" s="4">
        <v>0.01</v>
      </c>
      <c r="H176" s="3" t="s">
        <v>1154</v>
      </c>
      <c r="I176" s="3" t="s">
        <v>1155</v>
      </c>
      <c r="J176" s="1"/>
      <c r="K176" s="1"/>
      <c r="L176" s="1"/>
      <c r="M176" s="1"/>
    </row>
    <row r="177" spans="1:11" ht="15.5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35">
      <c r="B3" s="2"/>
      <c r="D3" s="2"/>
      <c r="E3" s="2"/>
      <c r="F3" s="2"/>
      <c r="H3" s="2"/>
      <c r="I3" s="2"/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17.63281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3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3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3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3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3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3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3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3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3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3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3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3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3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3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3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3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3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3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3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3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3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3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3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3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3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3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3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3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3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3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3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3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3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3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3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3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3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3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3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3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abSelected="1" topLeftCell="E1" zoomScaleNormal="100" workbookViewId="0">
      <selection activeCell="O22" sqref="O22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9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1283</v>
      </c>
      <c r="B15" t="s">
        <v>1285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Footprints\Inductance\SPRH127-150M.PcbLib</v>
      </c>
      <c r="G15" t="s">
        <v>1284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9">
        <v>15</v>
      </c>
      <c r="O15" s="31">
        <v>8.4</v>
      </c>
      <c r="P15" s="31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5" x14ac:dyDescent="0.35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35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8"/>
  <sheetViews>
    <sheetView workbookViewId="0">
      <selection activeCell="B18" sqref="B18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:J17" si="7">CONCATENATE("Footprints\",K16,".PcbLib")</f>
        <v>Footprints\.PcbLib</v>
      </c>
    </row>
    <row r="17" spans="1:10" x14ac:dyDescent="0.35">
      <c r="A17" t="s">
        <v>1279</v>
      </c>
      <c r="B17" t="s">
        <v>1280</v>
      </c>
      <c r="C17" t="s">
        <v>1279</v>
      </c>
      <c r="D17" t="str">
        <f>CONCATENATE("Schematic\diode.SchLib")</f>
        <v>Schematic\diode.SchLib</v>
      </c>
      <c r="E17" t="s">
        <v>1281</v>
      </c>
      <c r="F17" t="s">
        <v>1282</v>
      </c>
      <c r="G17" t="s">
        <v>130</v>
      </c>
      <c r="J17" t="str">
        <f t="shared" si="7"/>
        <v>Footprints\.PcbLib</v>
      </c>
    </row>
    <row r="18" spans="1:10" x14ac:dyDescent="0.35">
      <c r="C18">
        <f>A18</f>
        <v>0</v>
      </c>
      <c r="D18" t="str">
        <f>CONCATENATE("Schematic\",A18,".SchLib")</f>
        <v>Schematic\.SchLib</v>
      </c>
      <c r="E18">
        <f>A18</f>
        <v>0</v>
      </c>
      <c r="J18" t="str">
        <f>CONCATENATE("Footprints\",K18,".PcbLib")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2025-08-05T10:06:25Z</dcterms:modified>
</cp:coreProperties>
</file>