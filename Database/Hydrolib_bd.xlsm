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FDD67E21-9D44-4A09-9622-67DC3810A3EE}" xr6:coauthVersionLast="47" xr6:coauthVersionMax="47" xr10:uidLastSave="{00000000-0000-0000-0000-000000000000}"/>
  <bookViews>
    <workbookView xWindow="-108" yWindow="-108" windowWidth="23256" windowHeight="12456" tabRatio="896" firstSheet="5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2" i="6" l="1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<sst xmlns="http://schemas.openxmlformats.org/spreadsheetml/2006/main" count="3667" uniqueCount="1494">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</sst>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3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D15" zoomScale="70" zoomScaleNormal="70" workbookViewId="0">
      <selection activeCell="M45" sqref="M45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372</v>
      </c>
      <c r="H8" t="s">
        <v>798</v>
      </c>
      <c r="I8" t="s">
        <v>797</v>
      </c>
      <c r="J8" t="s">
        <v>798</v>
      </c>
      <c r="K8" t="s">
        <v>864</v>
      </c>
      <c r="M8" t="s">
        <v>1430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1430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939</v>
      </c>
      <c r="M12" t="s">
        <v>1430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1197</v>
      </c>
      <c r="M13" t="s">
        <v>1430</v>
      </c>
    </row>
    <row r="14" spans="1:20" x14ac:dyDescent="0.3">
      <c r="A14" t="s">
        <v>327</v>
      </c>
      <c r="B14" t="s">
        <v>328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329</v>
      </c>
      <c r="M14" t="s">
        <v>1430</v>
      </c>
    </row>
    <row r="15" spans="1:20" x14ac:dyDescent="0.3">
      <c r="A15" t="s">
        <v>670</v>
      </c>
      <c r="B15" t="s">
        <v>671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329</v>
      </c>
      <c r="M15" t="s">
        <v>1430</v>
      </c>
    </row>
    <row r="16" spans="1:20" x14ac:dyDescent="0.3">
      <c r="A16" t="s">
        <v>672</v>
      </c>
      <c r="B16" t="s">
        <v>673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674</v>
      </c>
      <c r="M16" t="s">
        <v>1430</v>
      </c>
    </row>
    <row r="17" spans="1:13" x14ac:dyDescent="0.3">
      <c r="A17" t="s">
        <v>675</v>
      </c>
      <c r="B17" t="s">
        <v>676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1430</v>
      </c>
    </row>
    <row r="18" spans="1:13" x14ac:dyDescent="0.3">
      <c r="A18" t="s">
        <v>696</v>
      </c>
      <c r="B18" t="s">
        <v>697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696</v>
      </c>
      <c r="M18" t="s">
        <v>1430</v>
      </c>
    </row>
    <row r="19" spans="1:13" x14ac:dyDescent="0.3">
      <c r="A19" t="s">
        <v>698</v>
      </c>
      <c r="B19" t="s">
        <v>699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700</v>
      </c>
      <c r="M19" t="s">
        <v>1430</v>
      </c>
    </row>
    <row r="20" spans="1:13" x14ac:dyDescent="0.3">
      <c r="A20" s="12" t="s">
        <v>701</v>
      </c>
      <c r="B20" t="s">
        <v>702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703</v>
      </c>
      <c r="M20" t="s">
        <v>1430</v>
      </c>
    </row>
    <row r="21" spans="1:13" x14ac:dyDescent="0.3">
      <c r="A21" t="s">
        <v>711</v>
      </c>
      <c r="B21" t="s">
        <v>712</v>
      </c>
      <c r="C21" s="2" t="s">
        <v>711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690</v>
      </c>
      <c r="M21" t="s">
        <v>1430</v>
      </c>
    </row>
    <row r="22" spans="1:13" x14ac:dyDescent="0.3">
      <c r="A22" t="s">
        <v>725</v>
      </c>
      <c r="B22" t="s">
        <v>726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724</v>
      </c>
      <c r="M22" t="s">
        <v>1430</v>
      </c>
    </row>
    <row r="23" spans="1:13" x14ac:dyDescent="0.3">
      <c r="A23" t="s">
        <v>729</v>
      </c>
      <c r="B23" t="s">
        <v>730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729</v>
      </c>
      <c r="M23" t="s">
        <v>1430</v>
      </c>
    </row>
    <row r="24" spans="1:13" x14ac:dyDescent="0.3">
      <c r="A24" t="s">
        <v>746</v>
      </c>
      <c r="B24" t="s">
        <v>748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372</v>
      </c>
      <c r="M24" t="s">
        <v>1430</v>
      </c>
    </row>
    <row r="25" spans="1:13" x14ac:dyDescent="0.3">
      <c r="A25" t="s">
        <v>747</v>
      </c>
      <c r="B25" t="s">
        <v>749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372</v>
      </c>
      <c r="M25" t="s">
        <v>1430</v>
      </c>
    </row>
    <row r="26" spans="1:13" x14ac:dyDescent="0.3">
      <c r="A26" t="s">
        <v>750</v>
      </c>
      <c r="B26" t="s">
        <v>751</v>
      </c>
      <c r="C26" s="2" t="s">
        <v>750</v>
      </c>
      <c r="D26" t="s">
        <v>752</v>
      </c>
      <c r="E26" t="s">
        <v>750</v>
      </c>
      <c r="F26" t="s">
        <v>753</v>
      </c>
      <c r="G26" t="s">
        <v>372</v>
      </c>
      <c r="M26" t="s">
        <v>1430</v>
      </c>
    </row>
    <row r="27" spans="1:13" x14ac:dyDescent="0.3">
      <c r="A27" t="s">
        <v>775</v>
      </c>
      <c r="B27" t="s">
        <v>776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1430</v>
      </c>
    </row>
    <row r="28" spans="1:13" x14ac:dyDescent="0.3">
      <c r="A28" t="s">
        <v>793</v>
      </c>
      <c r="B28" t="s">
        <v>794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796</v>
      </c>
      <c r="G28" t="s">
        <v>795</v>
      </c>
      <c r="H28" t="s">
        <v>796</v>
      </c>
      <c r="I28" t="s">
        <v>863</v>
      </c>
      <c r="M28" t="s">
        <v>1430</v>
      </c>
    </row>
    <row r="29" spans="1:13" x14ac:dyDescent="0.3">
      <c r="A29" t="s">
        <v>849</v>
      </c>
      <c r="B29" t="s">
        <v>850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849</v>
      </c>
    </row>
    <row r="30" spans="1:13" x14ac:dyDescent="0.3">
      <c r="A30" t="s">
        <v>851</v>
      </c>
      <c r="B30" t="s">
        <v>878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851</v>
      </c>
    </row>
    <row r="31" spans="1:13" x14ac:dyDescent="0.3">
      <c r="A31" t="s">
        <v>852</v>
      </c>
      <c r="B31" t="s">
        <v>877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853</v>
      </c>
    </row>
    <row r="32" spans="1:13" x14ac:dyDescent="0.3">
      <c r="A32" t="s">
        <v>873</v>
      </c>
      <c r="B32" t="s">
        <v>874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1430</v>
      </c>
    </row>
    <row r="33" spans="1:13" x14ac:dyDescent="0.3">
      <c r="A33" t="s">
        <v>875</v>
      </c>
      <c r="B33" t="s">
        <v>876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1430</v>
      </c>
    </row>
    <row r="34" spans="1:13" x14ac:dyDescent="0.3">
      <c r="A34" t="s">
        <v>892</v>
      </c>
      <c r="B34" t="s">
        <v>893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690</v>
      </c>
      <c r="M34" t="s">
        <v>1430</v>
      </c>
    </row>
    <row r="35" spans="1:13" x14ac:dyDescent="0.3">
      <c r="A35" t="s">
        <v>896</v>
      </c>
      <c r="B35" t="s">
        <v>894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895</v>
      </c>
      <c r="M35" t="s">
        <v>1430</v>
      </c>
    </row>
    <row r="36" spans="1:13" x14ac:dyDescent="0.3">
      <c r="A36" t="s">
        <v>903</v>
      </c>
      <c r="B36" t="s">
        <v>904</v>
      </c>
      <c r="C36" s="2" t="str">
        <f>A36</f>
        <v>LTV354T</v>
      </c>
      <c r="D36" t="str">
        <f>CONCATENATE("Schematic\",E36,".SchLib")</f>
        <v>Schematic\LTV354.SchLib</v>
      </c>
      <c r="E36" t="s">
        <v>902</v>
      </c>
      <c r="F36" t="str">
        <f>CONCATENATE("Footprints\",G36,".PcbLib")</f>
        <v>Footprints\SOP4-2_54.PcbLib</v>
      </c>
      <c r="G36" t="s">
        <v>905</v>
      </c>
      <c r="M36" t="s">
        <v>1430</v>
      </c>
    </row>
    <row r="37" spans="1:13" x14ac:dyDescent="0.3">
      <c r="A37" t="s">
        <v>938</v>
      </c>
      <c r="B37" t="s">
        <v>937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939</v>
      </c>
    </row>
    <row r="38" spans="1:13" x14ac:dyDescent="0.3">
      <c r="A38" t="s">
        <v>1028</v>
      </c>
      <c r="B38" t="s">
        <v>1029</v>
      </c>
      <c r="C38" s="2" t="str">
        <f t="shared" ref="C38" si="15">A38</f>
        <v>USB2514BM2</v>
      </c>
      <c r="D38" t="s">
        <v>1122</v>
      </c>
      <c r="E38" s="2" t="s">
        <v>1028</v>
      </c>
      <c r="F38" t="str">
        <f>CONCATENATE("Footprints\",G38,".PcbLib")</f>
        <v>Footprints\VFQFN-36.PcbLib</v>
      </c>
      <c r="G38" t="s">
        <v>1030</v>
      </c>
    </row>
    <row r="39" spans="1:13" x14ac:dyDescent="0.3">
      <c r="A39" t="s">
        <v>1031</v>
      </c>
      <c r="B39" t="s">
        <v>1032</v>
      </c>
      <c r="C39" s="2" t="s">
        <v>1031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1033</v>
      </c>
    </row>
    <row r="40" spans="1:13" x14ac:dyDescent="0.3">
      <c r="A40" t="s">
        <v>1034</v>
      </c>
      <c r="B40" t="s">
        <v>1191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1035</v>
      </c>
    </row>
    <row r="41" spans="1:13" x14ac:dyDescent="0.3">
      <c r="A41" t="s">
        <v>1036</v>
      </c>
      <c r="B41" t="s">
        <v>1190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1188</v>
      </c>
      <c r="L41" t="s">
        <v>1192</v>
      </c>
    </row>
    <row r="42" spans="1:13" x14ac:dyDescent="0.3">
      <c r="A42" t="s">
        <v>1037</v>
      </c>
      <c r="B42" t="s">
        <v>1038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1039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1081</v>
      </c>
      <c r="B43" t="s">
        <v>1082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1123</v>
      </c>
    </row>
    <row r="44" spans="1:13" x14ac:dyDescent="0.3">
      <c r="A44" s="33" t="s">
        <v>1124</v>
      </c>
      <c r="B44" s="34" t="s">
        <v>1125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1126</v>
      </c>
      <c r="B45" t="s">
        <v>1127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1128</v>
      </c>
      <c r="B46" s="36" t="s">
        <v>1129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1189</v>
      </c>
      <c r="B47" t="s">
        <v>1168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1189</v>
      </c>
      <c r="F47" t="str">
        <f t="shared" si="17"/>
        <v>Footprints\LQFP128_14x14_exposed_pad.PcbLib</v>
      </c>
      <c r="G47" t="s">
        <v>1169</v>
      </c>
      <c r="L47" t="s">
        <v>1170</v>
      </c>
      <c r="M47" t="s">
        <v>1430</v>
      </c>
    </row>
    <row r="48" spans="1:13" x14ac:dyDescent="0.3">
      <c r="A48" s="35" t="s">
        <v>1171</v>
      </c>
      <c r="B48" s="36" t="s">
        <v>1172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1381</v>
      </c>
      <c r="M48" t="s">
        <v>1455</v>
      </c>
    </row>
    <row r="49" spans="1:13" x14ac:dyDescent="0.3">
      <c r="A49" t="s">
        <v>1173</v>
      </c>
      <c r="B49" t="s">
        <v>1174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1175</v>
      </c>
    </row>
    <row r="50" spans="1:13" x14ac:dyDescent="0.3">
      <c r="A50" t="s">
        <v>1379</v>
      </c>
      <c r="B50" t="s">
        <v>794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1380</v>
      </c>
      <c r="M50" t="s">
        <v>1455</v>
      </c>
    </row>
    <row r="51" spans="1:13" x14ac:dyDescent="0.3">
      <c r="A51" t="s">
        <v>1382</v>
      </c>
      <c r="B51" t="s">
        <v>1383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1175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2.664062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s="18" t="s">
        <v>1463</v>
      </c>
      <c r="J1" t="s">
        <v>956</v>
      </c>
      <c r="K1" t="s">
        <v>1429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1465</v>
      </c>
      <c r="K2" t="s">
        <v>1455</v>
      </c>
    </row>
    <row r="3" spans="1:11" x14ac:dyDescent="0.3">
      <c r="A3" s="2" t="s">
        <v>692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387</v>
      </c>
      <c r="I3" s="18" t="s">
        <v>1465</v>
      </c>
      <c r="K3" t="s">
        <v>1455</v>
      </c>
    </row>
    <row r="4" spans="1:11" x14ac:dyDescent="0.3">
      <c r="A4" t="s">
        <v>339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1470</v>
      </c>
    </row>
    <row r="5" spans="1:11" x14ac:dyDescent="0.3">
      <c r="A5" t="s">
        <v>340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341</v>
      </c>
      <c r="H5" s="15">
        <v>45</v>
      </c>
      <c r="I5" s="18" t="s">
        <v>1469</v>
      </c>
      <c r="K5" t="s">
        <v>1430</v>
      </c>
    </row>
    <row r="6" spans="1:11" x14ac:dyDescent="0.3">
      <c r="A6" t="s">
        <v>707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936</v>
      </c>
      <c r="K6" t="s">
        <v>1430</v>
      </c>
    </row>
    <row r="7" spans="1:11" x14ac:dyDescent="0.3">
      <c r="A7" t="s">
        <v>779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1468</v>
      </c>
    </row>
    <row r="8" spans="1:11" x14ac:dyDescent="0.3">
      <c r="A8" t="s">
        <v>854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856</v>
      </c>
      <c r="E8" t="s">
        <v>854</v>
      </c>
      <c r="F8" t="str">
        <f>CONCATENATE("Footprints\",G8,".PcbLib")</f>
        <v>Footprints\SOT23.PcbLib</v>
      </c>
      <c r="G8" t="s">
        <v>855</v>
      </c>
      <c r="H8" s="15">
        <v>70</v>
      </c>
      <c r="I8" s="18" t="s">
        <v>1467</v>
      </c>
    </row>
    <row r="9" spans="1:11" x14ac:dyDescent="0.3">
      <c r="A9" t="s">
        <v>865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1466</v>
      </c>
      <c r="K9" t="s">
        <v>1455</v>
      </c>
    </row>
    <row r="10" spans="1:11" x14ac:dyDescent="0.3">
      <c r="A10" t="s">
        <v>866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1466</v>
      </c>
      <c r="K10" t="s">
        <v>1455</v>
      </c>
    </row>
    <row r="11" spans="1:11" x14ac:dyDescent="0.3">
      <c r="A11" t="s">
        <v>869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1466</v>
      </c>
    </row>
    <row r="12" spans="1:11" x14ac:dyDescent="0.3">
      <c r="A12" t="s">
        <v>1130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1463</v>
      </c>
      <c r="J1" t="s">
        <v>69</v>
      </c>
      <c r="K1" t="s">
        <v>25</v>
      </c>
      <c r="L1" t="s">
        <v>890</v>
      </c>
      <c r="M1" t="s">
        <v>956</v>
      </c>
      <c r="N1" t="s">
        <v>1429</v>
      </c>
    </row>
    <row r="2" spans="1:14" ht="13.05" customHeight="1" x14ac:dyDescent="0.3">
      <c r="A2" s="2" t="s">
        <v>68</v>
      </c>
      <c r="B2" s="2" t="s">
        <v>602</v>
      </c>
      <c r="C2" s="2" t="s">
        <v>68</v>
      </c>
      <c r="D2" s="2" t="s">
        <v>71</v>
      </c>
      <c r="E2" s="2" t="s">
        <v>72</v>
      </c>
      <c r="F2" s="2" t="s">
        <v>603</v>
      </c>
      <c r="G2" s="2" t="s">
        <v>70</v>
      </c>
      <c r="H2" s="2" t="s">
        <v>382</v>
      </c>
      <c r="I2" s="2" t="s">
        <v>1464</v>
      </c>
      <c r="J2" s="2" t="s">
        <v>604</v>
      </c>
      <c r="K2" s="2" t="s">
        <v>605</v>
      </c>
      <c r="L2" s="11">
        <v>0.05</v>
      </c>
    </row>
    <row r="3" spans="1:14" x14ac:dyDescent="0.3">
      <c r="A3" t="s">
        <v>759</v>
      </c>
      <c r="B3" s="2" t="s">
        <v>760</v>
      </c>
      <c r="C3" t="s">
        <v>759</v>
      </c>
      <c r="D3" s="2" t="s">
        <v>71</v>
      </c>
      <c r="E3" s="2" t="s">
        <v>72</v>
      </c>
      <c r="F3" s="2" t="s">
        <v>761</v>
      </c>
      <c r="G3" t="s">
        <v>762</v>
      </c>
      <c r="H3" s="2" t="s">
        <v>763</v>
      </c>
      <c r="I3" s="2" t="s">
        <v>1464</v>
      </c>
      <c r="J3" s="2" t="s">
        <v>887</v>
      </c>
      <c r="K3" s="2" t="s">
        <v>764</v>
      </c>
      <c r="L3" s="11">
        <v>0.02</v>
      </c>
      <c r="N3" t="s">
        <v>1430</v>
      </c>
    </row>
    <row r="4" spans="1:14" x14ac:dyDescent="0.3">
      <c r="A4" t="s">
        <v>883</v>
      </c>
      <c r="B4" s="2" t="s">
        <v>884</v>
      </c>
      <c r="C4" t="s">
        <v>883</v>
      </c>
      <c r="D4" s="2" t="s">
        <v>885</v>
      </c>
      <c r="E4" t="s">
        <v>886</v>
      </c>
      <c r="F4" s="2" t="s">
        <v>891</v>
      </c>
      <c r="G4" t="s">
        <v>18</v>
      </c>
      <c r="H4" s="2" t="s">
        <v>381</v>
      </c>
      <c r="I4" s="2" t="s">
        <v>1464</v>
      </c>
      <c r="J4" s="2" t="s">
        <v>888</v>
      </c>
      <c r="K4" s="2" t="s">
        <v>889</v>
      </c>
      <c r="L4" s="11">
        <v>0.02</v>
      </c>
      <c r="N4" t="s">
        <v>1430</v>
      </c>
    </row>
    <row r="5" spans="1:14" x14ac:dyDescent="0.3">
      <c r="A5" t="s">
        <v>941</v>
      </c>
      <c r="B5" t="s">
        <v>940</v>
      </c>
      <c r="C5" t="s">
        <v>941</v>
      </c>
      <c r="D5" s="2" t="s">
        <v>71</v>
      </c>
      <c r="E5" s="2" t="s">
        <v>72</v>
      </c>
      <c r="F5" s="2" t="s">
        <v>761</v>
      </c>
      <c r="G5" t="s">
        <v>762</v>
      </c>
      <c r="H5" s="2" t="s">
        <v>382</v>
      </c>
      <c r="I5" s="2" t="s">
        <v>1464</v>
      </c>
      <c r="J5" s="2" t="s">
        <v>887</v>
      </c>
      <c r="K5" s="2" t="s">
        <v>605</v>
      </c>
      <c r="L5" s="11">
        <v>0.02</v>
      </c>
      <c r="N5" t="s">
        <v>1430</v>
      </c>
    </row>
    <row r="6" spans="1:14" x14ac:dyDescent="0.3">
      <c r="A6" t="s">
        <v>1426</v>
      </c>
      <c r="B6" t="s">
        <v>1432</v>
      </c>
      <c r="C6" t="s">
        <v>1426</v>
      </c>
      <c r="D6" s="2" t="s">
        <v>71</v>
      </c>
      <c r="E6" s="2" t="s">
        <v>72</v>
      </c>
      <c r="F6" s="2" t="s">
        <v>761</v>
      </c>
      <c r="G6" t="s">
        <v>762</v>
      </c>
      <c r="H6" s="2" t="s">
        <v>380</v>
      </c>
      <c r="I6" s="2" t="s">
        <v>1464</v>
      </c>
      <c r="J6" s="2" t="s">
        <v>887</v>
      </c>
      <c r="K6" s="2" t="s">
        <v>1427</v>
      </c>
      <c r="L6" s="11">
        <v>0.02</v>
      </c>
      <c r="M6" t="s">
        <v>1428</v>
      </c>
      <c r="N6" t="s">
        <v>1430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H1" sqref="H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2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69</v>
      </c>
      <c r="J1" t="s">
        <v>25</v>
      </c>
      <c r="K1" t="s">
        <v>80</v>
      </c>
      <c r="L1" t="s">
        <v>956</v>
      </c>
      <c r="M1" t="s">
        <v>1429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338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1196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330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338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678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741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338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758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338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914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1131</v>
      </c>
      <c r="B10" t="s">
        <v>1132</v>
      </c>
      <c r="C10" t="str">
        <f>A10</f>
        <v>SMBJ16CA</v>
      </c>
      <c r="D10" t="str">
        <f>CONCATENATE("Schematic\TVS\",E10,".SchLib")</f>
        <v>Schematic\TVS\TVS_1_2dir.SchLib</v>
      </c>
      <c r="E10" t="s">
        <v>1196</v>
      </c>
      <c r="F10" t="str">
        <f>CONCATENATE("Footprints\",G10,".PcbLib")</f>
        <v>Footprints\SMB.PcbLib</v>
      </c>
      <c r="G10" t="s">
        <v>338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678</v>
      </c>
      <c r="H11">
        <v>3.3</v>
      </c>
      <c r="I11">
        <v>45</v>
      </c>
      <c r="J11" t="str">
        <f xml:space="preserve"> CONCATENATE(H11," В")</f>
        <v>3,3 В</v>
      </c>
      <c r="M11" t="s">
        <v>1455</v>
      </c>
    </row>
    <row r="12" spans="1:13" x14ac:dyDescent="0.3">
      <c r="A12" t="s">
        <v>1436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78</v>
      </c>
      <c r="F12" t="str">
        <f t="shared" ref="F12" si="9">CONCATENATE("Footprints\",G12,".PcbLib")</f>
        <v>Footprints\SMB.PcbLib</v>
      </c>
      <c r="G12" t="s">
        <v>338</v>
      </c>
      <c r="H12">
        <v>16</v>
      </c>
      <c r="I12">
        <v>600</v>
      </c>
      <c r="J12" t="str">
        <f t="shared" ref="J12" si="10" xml:space="preserve"> CONCATENATE(H12," В")</f>
        <v>16 В</v>
      </c>
      <c r="M12" t="s">
        <v>1455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topLeftCell="B1" zoomScale="70" zoomScaleNormal="70" workbookViewId="0">
      <selection activeCell="G30" sqref="G30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82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911</v>
      </c>
      <c r="K2" t="s">
        <v>912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771</v>
      </c>
      <c r="K3" t="s">
        <v>913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664</v>
      </c>
      <c r="B7" s="3" t="s">
        <v>21</v>
      </c>
      <c r="C7" s="2" t="str">
        <f t="shared" si="0"/>
        <v>AO4411</v>
      </c>
      <c r="D7" s="3" t="s">
        <v>665</v>
      </c>
      <c r="E7" s="3" t="s">
        <v>666</v>
      </c>
      <c r="F7" t="str">
        <f t="shared" si="1"/>
        <v>Footprints\SOIC-8.PcbLib</v>
      </c>
      <c r="G7" s="1" t="s">
        <v>76</v>
      </c>
      <c r="H7" s="2"/>
      <c r="M7" t="s">
        <v>1455</v>
      </c>
    </row>
    <row r="8" spans="1:19" ht="15.6" x14ac:dyDescent="0.3">
      <c r="A8" s="1" t="s">
        <v>667</v>
      </c>
      <c r="B8" s="1" t="s">
        <v>668</v>
      </c>
      <c r="C8" s="2" t="str">
        <f t="shared" ref="C8:C13" si="2">A8</f>
        <v>AO4812</v>
      </c>
      <c r="D8" s="3" t="s">
        <v>669</v>
      </c>
      <c r="E8" s="1" t="s">
        <v>667</v>
      </c>
      <c r="F8" t="str">
        <f t="shared" si="1"/>
        <v>Footprints\SOP8.PcbLib</v>
      </c>
      <c r="G8" s="1" t="s">
        <v>690</v>
      </c>
      <c r="J8" t="s">
        <v>771</v>
      </c>
      <c r="K8" t="s">
        <v>772</v>
      </c>
      <c r="M8" t="s">
        <v>1430</v>
      </c>
    </row>
    <row r="9" spans="1:19" ht="15.6" x14ac:dyDescent="0.3">
      <c r="A9" s="1" t="s">
        <v>765</v>
      </c>
      <c r="B9" s="1" t="s">
        <v>766</v>
      </c>
      <c r="C9" s="2" t="str">
        <f t="shared" si="2"/>
        <v>bc807</v>
      </c>
      <c r="D9" s="3" t="s">
        <v>768</v>
      </c>
      <c r="E9" s="1" t="s">
        <v>767</v>
      </c>
      <c r="F9" t="str">
        <f>CONCATENATE("Footprints\",G9,".PcbLib")</f>
        <v>Footprints\SOT23-3.PcbLib</v>
      </c>
      <c r="G9" s="3" t="s">
        <v>18</v>
      </c>
      <c r="J9" t="s">
        <v>769</v>
      </c>
      <c r="K9" t="s">
        <v>770</v>
      </c>
      <c r="M9" t="s">
        <v>1430</v>
      </c>
    </row>
    <row r="10" spans="1:19" ht="15.6" x14ac:dyDescent="0.3">
      <c r="A10" s="1" t="s">
        <v>789</v>
      </c>
      <c r="B10" s="1" t="s">
        <v>792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910</v>
      </c>
      <c r="H10" s="2"/>
      <c r="I10" s="2"/>
      <c r="J10" t="s">
        <v>790</v>
      </c>
      <c r="K10" t="s">
        <v>791</v>
      </c>
      <c r="M10" t="s">
        <v>1430</v>
      </c>
    </row>
    <row r="11" spans="1:19" ht="15.6" x14ac:dyDescent="0.3">
      <c r="A11" s="1" t="s">
        <v>1085</v>
      </c>
      <c r="B11" s="1" t="s">
        <v>1086</v>
      </c>
      <c r="C11" s="2" t="str">
        <f t="shared" si="2"/>
        <v>SIR426DP-T1-GE3</v>
      </c>
      <c r="D11" s="3" t="s">
        <v>1087</v>
      </c>
      <c r="E11" s="1" t="s">
        <v>1085</v>
      </c>
      <c r="F11" t="str">
        <f>CONCATENATE("Footprints\",G11,".PcbLib")</f>
        <v>Footprints\PowerPAK_SO-8.PcbLib</v>
      </c>
      <c r="G11" s="1" t="s">
        <v>1120</v>
      </c>
      <c r="J11" t="s">
        <v>1088</v>
      </c>
    </row>
    <row r="12" spans="1:19" ht="15.6" x14ac:dyDescent="0.3">
      <c r="A12" s="32" t="s">
        <v>1114</v>
      </c>
      <c r="B12" s="1" t="s">
        <v>1115</v>
      </c>
      <c r="C12" s="2" t="str">
        <f t="shared" si="2"/>
        <v>PDTC114ET</v>
      </c>
      <c r="D12" s="3" t="s">
        <v>1116</v>
      </c>
      <c r="E12" s="1" t="s">
        <v>1114</v>
      </c>
      <c r="F12" t="str">
        <f>CONCATENATE("Footprints\",G12,".PcbLib")</f>
        <v>Footprints\SOT23-3.PcbLib</v>
      </c>
      <c r="G12" s="3" t="s">
        <v>18</v>
      </c>
      <c r="J12" t="s">
        <v>1118</v>
      </c>
      <c r="K12" t="s">
        <v>1117</v>
      </c>
    </row>
    <row r="13" spans="1:19" ht="15.6" x14ac:dyDescent="0.3">
      <c r="A13" s="1" t="s">
        <v>1133</v>
      </c>
      <c r="B13" s="1" t="s">
        <v>5</v>
      </c>
      <c r="C13" s="2" t="str">
        <f t="shared" si="2"/>
        <v>IRFH7084</v>
      </c>
      <c r="D13" s="1" t="s">
        <v>1134</v>
      </c>
      <c r="E13" s="1" t="s">
        <v>1135</v>
      </c>
      <c r="F13" t="str">
        <f>CONCATENATE("Footprints\",G13,".PcbLib")</f>
        <v>Footprints\PQFN_5x6.PcbLib</v>
      </c>
      <c r="G13" s="1" t="s">
        <v>1136</v>
      </c>
      <c r="J13" t="s">
        <v>1088</v>
      </c>
      <c r="K13" t="s">
        <v>1137</v>
      </c>
    </row>
    <row r="14" spans="1:19" ht="15.6" x14ac:dyDescent="0.3">
      <c r="A14" s="1" t="s">
        <v>1164</v>
      </c>
      <c r="B14" s="1" t="s">
        <v>1166</v>
      </c>
      <c r="C14" s="2" t="str">
        <f>A14</f>
        <v>BC857</v>
      </c>
      <c r="D14" s="3" t="s">
        <v>768</v>
      </c>
      <c r="E14" s="1" t="s">
        <v>767</v>
      </c>
      <c r="F14" t="str">
        <f>CONCATENATE("Footprints\",G14,".PcbLib")</f>
        <v>Footprints\SOT23-3.PcbLib</v>
      </c>
      <c r="G14" s="3" t="s">
        <v>18</v>
      </c>
      <c r="J14" t="s">
        <v>769</v>
      </c>
      <c r="K14" t="s">
        <v>1165</v>
      </c>
      <c r="M14" t="s">
        <v>1455</v>
      </c>
    </row>
    <row r="15" spans="1:19" ht="15.6" x14ac:dyDescent="0.3">
      <c r="A15" s="1" t="s">
        <v>1167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1088</v>
      </c>
      <c r="K15" t="s">
        <v>913</v>
      </c>
      <c r="M15" t="s">
        <v>1455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956</v>
      </c>
      <c r="O1" s="1" t="s">
        <v>1429</v>
      </c>
    </row>
    <row r="2" spans="1:15" ht="15.6" x14ac:dyDescent="0.3">
      <c r="A2" s="3" t="s">
        <v>131</v>
      </c>
      <c r="B2" s="3" t="s">
        <v>1199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1200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1202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1201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1205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1203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1204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1206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1207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1208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458</v>
      </c>
      <c r="B12" s="3" t="s">
        <v>1210</v>
      </c>
      <c r="C12" s="3" t="s">
        <v>26</v>
      </c>
      <c r="D12" s="3" t="s">
        <v>29</v>
      </c>
      <c r="E12" s="3" t="s">
        <v>26</v>
      </c>
      <c r="F12" s="3" t="s">
        <v>373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459</v>
      </c>
      <c r="B13" s="3" t="s">
        <v>1211</v>
      </c>
      <c r="C13" s="3" t="s">
        <v>26</v>
      </c>
      <c r="D13" s="3" t="s">
        <v>29</v>
      </c>
      <c r="E13" s="3" t="s">
        <v>26</v>
      </c>
      <c r="F13" s="3" t="s">
        <v>374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460</v>
      </c>
      <c r="B14" s="3" t="s">
        <v>1209</v>
      </c>
      <c r="C14" s="3" t="s">
        <v>26</v>
      </c>
      <c r="D14" s="3" t="s">
        <v>29</v>
      </c>
      <c r="E14" s="3" t="s">
        <v>26</v>
      </c>
      <c r="F14" s="3" t="s">
        <v>375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461</v>
      </c>
      <c r="B15" s="3" t="s">
        <v>1214</v>
      </c>
      <c r="C15" s="3" t="s">
        <v>26</v>
      </c>
      <c r="D15" s="3" t="s">
        <v>29</v>
      </c>
      <c r="E15" s="3" t="s">
        <v>26</v>
      </c>
      <c r="F15" s="3" t="s">
        <v>376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462</v>
      </c>
      <c r="B16" s="3" t="s">
        <v>1213</v>
      </c>
      <c r="C16" s="3" t="s">
        <v>26</v>
      </c>
      <c r="D16" s="3" t="s">
        <v>29</v>
      </c>
      <c r="E16" s="3" t="s">
        <v>26</v>
      </c>
      <c r="F16" s="3" t="s">
        <v>377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463</v>
      </c>
      <c r="B17" s="3" t="s">
        <v>1212</v>
      </c>
      <c r="C17" s="3" t="s">
        <v>26</v>
      </c>
      <c r="D17" s="3" t="s">
        <v>29</v>
      </c>
      <c r="E17" s="3" t="s">
        <v>26</v>
      </c>
      <c r="F17" s="3" t="s">
        <v>378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464</v>
      </c>
      <c r="B18" s="3" t="s">
        <v>1215</v>
      </c>
      <c r="C18" s="3" t="s">
        <v>26</v>
      </c>
      <c r="D18" s="3" t="s">
        <v>29</v>
      </c>
      <c r="E18" s="3" t="s">
        <v>26</v>
      </c>
      <c r="F18" s="3" t="s">
        <v>379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1217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1216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1218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1219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1220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511</v>
      </c>
      <c r="B24" s="3" t="s">
        <v>1221</v>
      </c>
      <c r="C24" s="3" t="s">
        <v>26</v>
      </c>
      <c r="D24" s="3" t="s">
        <v>29</v>
      </c>
      <c r="E24" s="3" t="s">
        <v>26</v>
      </c>
      <c r="F24" s="3" t="s">
        <v>518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1222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1223</v>
      </c>
      <c r="C26" s="3" t="s">
        <v>26</v>
      </c>
      <c r="D26" s="3" t="s">
        <v>29</v>
      </c>
      <c r="E26" s="3" t="s">
        <v>26</v>
      </c>
      <c r="F26" s="3" t="s">
        <v>380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1224</v>
      </c>
      <c r="C27" s="3" t="s">
        <v>26</v>
      </c>
      <c r="D27" s="3" t="s">
        <v>29</v>
      </c>
      <c r="E27" s="3" t="s">
        <v>26</v>
      </c>
      <c r="F27" s="3" t="s">
        <v>381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1225</v>
      </c>
      <c r="C28" s="3" t="s">
        <v>26</v>
      </c>
      <c r="D28" s="3" t="s">
        <v>29</v>
      </c>
      <c r="E28" s="3" t="s">
        <v>26</v>
      </c>
      <c r="F28" s="3" t="s">
        <v>382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1226</v>
      </c>
      <c r="C29" s="3" t="s">
        <v>26</v>
      </c>
      <c r="D29" s="3" t="s">
        <v>29</v>
      </c>
      <c r="E29" s="3" t="s">
        <v>26</v>
      </c>
      <c r="F29" s="3" t="s">
        <v>383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1227</v>
      </c>
      <c r="C30" s="3" t="s">
        <v>26</v>
      </c>
      <c r="D30" s="3" t="s">
        <v>29</v>
      </c>
      <c r="E30" s="3" t="s">
        <v>26</v>
      </c>
      <c r="F30" s="3" t="s">
        <v>384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1228</v>
      </c>
      <c r="C31" s="3" t="s">
        <v>26</v>
      </c>
      <c r="D31" s="3" t="s">
        <v>29</v>
      </c>
      <c r="E31" s="3" t="s">
        <v>26</v>
      </c>
      <c r="F31" s="3" t="s">
        <v>385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1229</v>
      </c>
      <c r="C32" s="3" t="s">
        <v>26</v>
      </c>
      <c r="D32" s="3" t="s">
        <v>29</v>
      </c>
      <c r="E32" s="3" t="s">
        <v>26</v>
      </c>
      <c r="F32" s="3" t="s">
        <v>386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1230</v>
      </c>
      <c r="C33" s="3" t="s">
        <v>26</v>
      </c>
      <c r="D33" s="3" t="s">
        <v>29</v>
      </c>
      <c r="E33" s="3" t="s">
        <v>26</v>
      </c>
      <c r="F33" s="3" t="s">
        <v>387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1231</v>
      </c>
      <c r="C34" s="3" t="s">
        <v>26</v>
      </c>
      <c r="D34" s="3" t="s">
        <v>29</v>
      </c>
      <c r="E34" s="3" t="s">
        <v>26</v>
      </c>
      <c r="F34" s="3" t="s">
        <v>388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1232</v>
      </c>
      <c r="C35" s="3" t="s">
        <v>26</v>
      </c>
      <c r="D35" s="3" t="s">
        <v>29</v>
      </c>
      <c r="E35" s="3" t="s">
        <v>26</v>
      </c>
      <c r="F35" s="3" t="s">
        <v>389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465</v>
      </c>
      <c r="B36" s="3" t="s">
        <v>1233</v>
      </c>
      <c r="C36" s="3" t="s">
        <v>26</v>
      </c>
      <c r="D36" s="3" t="s">
        <v>29</v>
      </c>
      <c r="E36" s="3" t="s">
        <v>26</v>
      </c>
      <c r="F36" s="3" t="s">
        <v>390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466</v>
      </c>
      <c r="B37" s="3" t="s">
        <v>1234</v>
      </c>
      <c r="C37" s="3" t="s">
        <v>26</v>
      </c>
      <c r="D37" s="3" t="s">
        <v>29</v>
      </c>
      <c r="E37" s="3" t="s">
        <v>26</v>
      </c>
      <c r="F37" s="3" t="s">
        <v>391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467</v>
      </c>
      <c r="B38" s="3" t="s">
        <v>1235</v>
      </c>
      <c r="C38" s="3" t="s">
        <v>26</v>
      </c>
      <c r="D38" s="3" t="s">
        <v>29</v>
      </c>
      <c r="E38" s="3" t="s">
        <v>26</v>
      </c>
      <c r="F38" s="3" t="s">
        <v>392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468</v>
      </c>
      <c r="B39" s="3" t="s">
        <v>1236</v>
      </c>
      <c r="C39" s="3" t="s">
        <v>26</v>
      </c>
      <c r="D39" s="3" t="s">
        <v>29</v>
      </c>
      <c r="E39" s="3" t="s">
        <v>26</v>
      </c>
      <c r="F39" s="3" t="s">
        <v>393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469</v>
      </c>
      <c r="B40" s="3" t="s">
        <v>1237</v>
      </c>
      <c r="C40" s="3" t="s">
        <v>26</v>
      </c>
      <c r="D40" s="3" t="s">
        <v>29</v>
      </c>
      <c r="E40" s="3" t="s">
        <v>26</v>
      </c>
      <c r="F40" s="3" t="s">
        <v>394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470</v>
      </c>
      <c r="B41" s="3" t="s">
        <v>1238</v>
      </c>
      <c r="C41" s="3" t="s">
        <v>26</v>
      </c>
      <c r="D41" s="3" t="s">
        <v>29</v>
      </c>
      <c r="E41" s="3" t="s">
        <v>26</v>
      </c>
      <c r="F41" s="3" t="s">
        <v>395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471</v>
      </c>
      <c r="B42" s="3" t="s">
        <v>1240</v>
      </c>
      <c r="C42" s="3" t="s">
        <v>26</v>
      </c>
      <c r="D42" s="3" t="s">
        <v>29</v>
      </c>
      <c r="E42" s="3" t="s">
        <v>26</v>
      </c>
      <c r="F42" s="3" t="s">
        <v>396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1239</v>
      </c>
      <c r="C43" s="3" t="s">
        <v>26</v>
      </c>
      <c r="D43" s="3" t="s">
        <v>29</v>
      </c>
      <c r="E43" s="3" t="s">
        <v>26</v>
      </c>
      <c r="F43" s="3" t="s">
        <v>397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1241</v>
      </c>
      <c r="C44" s="3" t="s">
        <v>26</v>
      </c>
      <c r="D44" s="3" t="s">
        <v>29</v>
      </c>
      <c r="E44" s="3" t="s">
        <v>26</v>
      </c>
      <c r="F44" s="3" t="s">
        <v>398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1242</v>
      </c>
      <c r="C45" s="3" t="s">
        <v>26</v>
      </c>
      <c r="D45" s="3" t="s">
        <v>29</v>
      </c>
      <c r="E45" s="3" t="s">
        <v>26</v>
      </c>
      <c r="F45" s="3" t="s">
        <v>399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1243</v>
      </c>
      <c r="C46" s="3" t="s">
        <v>26</v>
      </c>
      <c r="D46" s="3" t="s">
        <v>29</v>
      </c>
      <c r="E46" s="3" t="s">
        <v>26</v>
      </c>
      <c r="F46" s="3" t="s">
        <v>400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1244</v>
      </c>
      <c r="C47" s="3" t="s">
        <v>26</v>
      </c>
      <c r="D47" s="3" t="s">
        <v>29</v>
      </c>
      <c r="E47" s="3" t="s">
        <v>26</v>
      </c>
      <c r="F47" s="3" t="s">
        <v>401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512</v>
      </c>
      <c r="B48" s="3" t="s">
        <v>1245</v>
      </c>
      <c r="C48" s="3" t="s">
        <v>26</v>
      </c>
      <c r="D48" s="3" t="s">
        <v>29</v>
      </c>
      <c r="E48" s="3" t="s">
        <v>26</v>
      </c>
      <c r="F48" s="3" t="s">
        <v>519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1246</v>
      </c>
      <c r="C49" s="3" t="s">
        <v>26</v>
      </c>
      <c r="D49" s="3" t="s">
        <v>29</v>
      </c>
      <c r="E49" s="3" t="s">
        <v>26</v>
      </c>
      <c r="F49" s="3" t="s">
        <v>402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1247</v>
      </c>
      <c r="C50" s="3" t="s">
        <v>26</v>
      </c>
      <c r="D50" s="3" t="s">
        <v>29</v>
      </c>
      <c r="E50" s="3" t="s">
        <v>26</v>
      </c>
      <c r="F50" s="3" t="s">
        <v>403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1249</v>
      </c>
      <c r="C51" s="3" t="s">
        <v>26</v>
      </c>
      <c r="D51" s="3" t="s">
        <v>29</v>
      </c>
      <c r="E51" s="3" t="s">
        <v>26</v>
      </c>
      <c r="F51" s="3" t="s">
        <v>404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1248</v>
      </c>
      <c r="C52" s="3" t="s">
        <v>26</v>
      </c>
      <c r="D52" s="3" t="s">
        <v>29</v>
      </c>
      <c r="E52" s="3" t="s">
        <v>26</v>
      </c>
      <c r="F52" s="3" t="s">
        <v>405</v>
      </c>
      <c r="G52" s="4">
        <v>0.01</v>
      </c>
      <c r="H52" s="3" t="s">
        <v>134</v>
      </c>
      <c r="I52" s="3" t="s">
        <v>32</v>
      </c>
      <c r="J52" s="3" t="s">
        <v>774</v>
      </c>
      <c r="K52" s="1" t="s">
        <v>773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1250</v>
      </c>
      <c r="C53" s="3" t="s">
        <v>26</v>
      </c>
      <c r="D53" s="3" t="s">
        <v>29</v>
      </c>
      <c r="E53" s="3" t="s">
        <v>26</v>
      </c>
      <c r="F53" s="3" t="s">
        <v>406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1251</v>
      </c>
      <c r="C54" s="3" t="s">
        <v>26</v>
      </c>
      <c r="D54" s="3" t="s">
        <v>29</v>
      </c>
      <c r="E54" s="3" t="s">
        <v>26</v>
      </c>
      <c r="F54" s="3" t="s">
        <v>407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1252</v>
      </c>
      <c r="C55" s="3" t="s">
        <v>26</v>
      </c>
      <c r="D55" s="3" t="s">
        <v>29</v>
      </c>
      <c r="E55" s="3" t="s">
        <v>26</v>
      </c>
      <c r="F55" s="3" t="s">
        <v>408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1253</v>
      </c>
      <c r="C56" s="3" t="s">
        <v>26</v>
      </c>
      <c r="D56" s="3" t="s">
        <v>29</v>
      </c>
      <c r="E56" s="3" t="s">
        <v>26</v>
      </c>
      <c r="F56" s="3" t="s">
        <v>409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1254</v>
      </c>
      <c r="C57" s="3" t="s">
        <v>26</v>
      </c>
      <c r="D57" s="3" t="s">
        <v>29</v>
      </c>
      <c r="E57" s="3" t="s">
        <v>26</v>
      </c>
      <c r="F57" s="3" t="s">
        <v>410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1255</v>
      </c>
      <c r="C58" s="3" t="s">
        <v>26</v>
      </c>
      <c r="D58" s="3" t="s">
        <v>29</v>
      </c>
      <c r="E58" s="3" t="s">
        <v>26</v>
      </c>
      <c r="F58" s="3" t="s">
        <v>411</v>
      </c>
      <c r="G58" s="4">
        <v>0.01</v>
      </c>
      <c r="H58" s="3" t="s">
        <v>134</v>
      </c>
      <c r="I58" s="3" t="s">
        <v>32</v>
      </c>
      <c r="J58" s="1" t="s">
        <v>1017</v>
      </c>
      <c r="K58" s="1" t="s">
        <v>1025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1256</v>
      </c>
      <c r="C59" s="3" t="s">
        <v>26</v>
      </c>
      <c r="D59" s="3" t="s">
        <v>29</v>
      </c>
      <c r="E59" s="3" t="s">
        <v>26</v>
      </c>
      <c r="F59" s="3" t="s">
        <v>412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472</v>
      </c>
      <c r="B60" s="3" t="s">
        <v>1258</v>
      </c>
      <c r="C60" s="3" t="s">
        <v>26</v>
      </c>
      <c r="D60" s="3" t="s">
        <v>29</v>
      </c>
      <c r="E60" s="3" t="s">
        <v>26</v>
      </c>
      <c r="F60" s="3" t="s">
        <v>413</v>
      </c>
      <c r="G60" s="4">
        <v>0.01</v>
      </c>
      <c r="H60" s="3" t="s">
        <v>134</v>
      </c>
      <c r="I60" s="3" t="s">
        <v>32</v>
      </c>
      <c r="J60" s="1" t="s">
        <v>1017</v>
      </c>
      <c r="K60" s="1" t="s">
        <v>1026</v>
      </c>
      <c r="L60" s="1"/>
      <c r="M60" s="1"/>
      <c r="N60" s="24"/>
      <c r="O60" s="1"/>
    </row>
    <row r="61" spans="1:15" ht="15.6" x14ac:dyDescent="0.3">
      <c r="A61" s="3" t="s">
        <v>473</v>
      </c>
      <c r="B61" s="3" t="s">
        <v>1257</v>
      </c>
      <c r="C61" s="3" t="s">
        <v>26</v>
      </c>
      <c r="D61" s="3" t="s">
        <v>29</v>
      </c>
      <c r="E61" s="3" t="s">
        <v>26</v>
      </c>
      <c r="F61" s="3" t="s">
        <v>414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474</v>
      </c>
      <c r="B62" s="3" t="s">
        <v>1259</v>
      </c>
      <c r="C62" s="3" t="s">
        <v>26</v>
      </c>
      <c r="D62" s="3" t="s">
        <v>29</v>
      </c>
      <c r="E62" s="3" t="s">
        <v>26</v>
      </c>
      <c r="F62" s="3" t="s">
        <v>415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475</v>
      </c>
      <c r="B63" s="3" t="s">
        <v>1260</v>
      </c>
      <c r="C63" s="3" t="s">
        <v>26</v>
      </c>
      <c r="D63" s="3" t="s">
        <v>29</v>
      </c>
      <c r="E63" s="3" t="s">
        <v>26</v>
      </c>
      <c r="F63" s="3" t="s">
        <v>416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476</v>
      </c>
      <c r="B64" s="3" t="s">
        <v>1261</v>
      </c>
      <c r="C64" s="3" t="s">
        <v>26</v>
      </c>
      <c r="D64" s="3" t="s">
        <v>29</v>
      </c>
      <c r="E64" s="3" t="s">
        <v>26</v>
      </c>
      <c r="F64" s="3" t="s">
        <v>417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477</v>
      </c>
      <c r="B65" s="3" t="s">
        <v>1262</v>
      </c>
      <c r="C65" s="3" t="s">
        <v>26</v>
      </c>
      <c r="D65" s="3" t="s">
        <v>29</v>
      </c>
      <c r="E65" s="3" t="s">
        <v>26</v>
      </c>
      <c r="F65" s="3" t="s">
        <v>418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478</v>
      </c>
      <c r="B66" s="3" t="s">
        <v>1263</v>
      </c>
      <c r="C66" s="3" t="s">
        <v>26</v>
      </c>
      <c r="D66" s="3" t="s">
        <v>29</v>
      </c>
      <c r="E66" s="3" t="s">
        <v>26</v>
      </c>
      <c r="F66" s="3" t="s">
        <v>419</v>
      </c>
      <c r="G66" s="4">
        <v>0.01</v>
      </c>
      <c r="H66" s="3" t="s">
        <v>134</v>
      </c>
      <c r="I66" s="3" t="s">
        <v>32</v>
      </c>
      <c r="J66" s="1" t="s">
        <v>1017</v>
      </c>
      <c r="K66" s="1" t="s">
        <v>1027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1264</v>
      </c>
      <c r="C67" s="3" t="s">
        <v>26</v>
      </c>
      <c r="D67" s="3" t="s">
        <v>29</v>
      </c>
      <c r="E67" s="3" t="s">
        <v>26</v>
      </c>
      <c r="F67" s="3" t="s">
        <v>420</v>
      </c>
      <c r="G67" s="4">
        <v>0.01</v>
      </c>
      <c r="H67" s="3" t="s">
        <v>134</v>
      </c>
      <c r="I67" s="3" t="s">
        <v>32</v>
      </c>
      <c r="J67" s="3" t="s">
        <v>723</v>
      </c>
      <c r="K67" s="1" t="s">
        <v>722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1265</v>
      </c>
      <c r="C68" s="3" t="s">
        <v>26</v>
      </c>
      <c r="D68" s="3" t="s">
        <v>29</v>
      </c>
      <c r="E68" s="3" t="s">
        <v>26</v>
      </c>
      <c r="F68" s="3" t="s">
        <v>421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1266</v>
      </c>
      <c r="C69" s="3" t="s">
        <v>26</v>
      </c>
      <c r="D69" s="3" t="s">
        <v>29</v>
      </c>
      <c r="E69" s="3" t="s">
        <v>26</v>
      </c>
      <c r="F69" s="3" t="s">
        <v>422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1267</v>
      </c>
      <c r="C70" s="3" t="s">
        <v>26</v>
      </c>
      <c r="D70" s="3" t="s">
        <v>29</v>
      </c>
      <c r="E70" s="3" t="s">
        <v>26</v>
      </c>
      <c r="F70" s="3" t="s">
        <v>423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1268</v>
      </c>
      <c r="C71" s="3" t="s">
        <v>26</v>
      </c>
      <c r="D71" s="3" t="s">
        <v>29</v>
      </c>
      <c r="E71" s="3" t="s">
        <v>26</v>
      </c>
      <c r="F71" s="3" t="s">
        <v>424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513</v>
      </c>
      <c r="B72" s="3" t="s">
        <v>1269</v>
      </c>
      <c r="C72" s="3" t="s">
        <v>26</v>
      </c>
      <c r="D72" s="3" t="s">
        <v>29</v>
      </c>
      <c r="E72" s="3" t="s">
        <v>26</v>
      </c>
      <c r="F72" s="3" t="s">
        <v>520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1270</v>
      </c>
      <c r="C73" s="3" t="s">
        <v>26</v>
      </c>
      <c r="D73" s="3" t="s">
        <v>29</v>
      </c>
      <c r="E73" s="3" t="s">
        <v>26</v>
      </c>
      <c r="F73" s="3" t="s">
        <v>425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479</v>
      </c>
      <c r="B74" s="3" t="s">
        <v>1271</v>
      </c>
      <c r="C74" s="3" t="s">
        <v>26</v>
      </c>
      <c r="D74" s="3" t="s">
        <v>29</v>
      </c>
      <c r="E74" s="3" t="s">
        <v>26</v>
      </c>
      <c r="F74" s="3" t="s">
        <v>426</v>
      </c>
      <c r="G74" s="4">
        <v>0.01</v>
      </c>
      <c r="H74" s="3" t="s">
        <v>134</v>
      </c>
      <c r="I74" s="3" t="s">
        <v>32</v>
      </c>
      <c r="J74" s="3" t="s">
        <v>1017</v>
      </c>
      <c r="K74" s="1" t="s">
        <v>1018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1272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1273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1096</v>
      </c>
      <c r="B77" s="3" t="s">
        <v>1274</v>
      </c>
      <c r="C77" s="3" t="s">
        <v>26</v>
      </c>
      <c r="D77" s="3" t="s">
        <v>29</v>
      </c>
      <c r="E77" s="3" t="s">
        <v>26</v>
      </c>
      <c r="F77" s="3" t="s">
        <v>1097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1275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1276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1277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723</v>
      </c>
      <c r="K80" s="1" t="s">
        <v>722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1278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480</v>
      </c>
      <c r="B82" s="3" t="s">
        <v>1279</v>
      </c>
      <c r="C82" s="3" t="s">
        <v>26</v>
      </c>
      <c r="D82" s="3" t="s">
        <v>29</v>
      </c>
      <c r="E82" s="3" t="s">
        <v>26</v>
      </c>
      <c r="F82" s="3" t="s">
        <v>427</v>
      </c>
      <c r="G82" s="4">
        <v>0.01</v>
      </c>
      <c r="H82" s="3" t="s">
        <v>134</v>
      </c>
      <c r="I82" s="3" t="s">
        <v>32</v>
      </c>
      <c r="J82" s="1" t="s">
        <v>1017</v>
      </c>
      <c r="K82" s="1" t="s">
        <v>1019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1280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1281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481</v>
      </c>
      <c r="B85" s="3" t="s">
        <v>1282</v>
      </c>
      <c r="C85" s="3" t="s">
        <v>26</v>
      </c>
      <c r="D85" s="3" t="s">
        <v>29</v>
      </c>
      <c r="E85" s="3" t="s">
        <v>26</v>
      </c>
      <c r="F85" s="3" t="s">
        <v>428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482</v>
      </c>
      <c r="B86" s="3" t="s">
        <v>1283</v>
      </c>
      <c r="C86" s="3" t="s">
        <v>26</v>
      </c>
      <c r="D86" s="3" t="s">
        <v>29</v>
      </c>
      <c r="E86" s="3" t="s">
        <v>26</v>
      </c>
      <c r="F86" s="3" t="s">
        <v>429</v>
      </c>
      <c r="G86" s="4">
        <v>0.01</v>
      </c>
      <c r="H86" s="3" t="s">
        <v>134</v>
      </c>
      <c r="I86" s="3" t="s">
        <v>32</v>
      </c>
      <c r="J86" s="3" t="s">
        <v>723</v>
      </c>
      <c r="K86" s="1" t="s">
        <v>722</v>
      </c>
      <c r="L86" s="1"/>
      <c r="M86" s="1"/>
      <c r="N86" s="24"/>
      <c r="O86" s="1"/>
    </row>
    <row r="87" spans="1:15" ht="15.6" x14ac:dyDescent="0.3">
      <c r="A87" s="3" t="s">
        <v>483</v>
      </c>
      <c r="B87" s="3" t="s">
        <v>1284</v>
      </c>
      <c r="C87" s="3" t="s">
        <v>26</v>
      </c>
      <c r="D87" s="3" t="s">
        <v>29</v>
      </c>
      <c r="E87" s="3" t="s">
        <v>26</v>
      </c>
      <c r="F87" s="3" t="s">
        <v>430</v>
      </c>
      <c r="G87" s="4">
        <v>0.01</v>
      </c>
      <c r="H87" s="3" t="s">
        <v>134</v>
      </c>
      <c r="I87" s="3" t="s">
        <v>32</v>
      </c>
      <c r="J87" s="3" t="s">
        <v>969</v>
      </c>
      <c r="K87" s="1" t="s">
        <v>970</v>
      </c>
      <c r="L87" s="1"/>
      <c r="M87" s="1"/>
      <c r="N87" s="25"/>
      <c r="O87" s="1"/>
    </row>
    <row r="88" spans="1:15" ht="15.6" x14ac:dyDescent="0.3">
      <c r="A88" s="3" t="s">
        <v>484</v>
      </c>
      <c r="B88" s="3" t="s">
        <v>1285</v>
      </c>
      <c r="C88" s="3" t="s">
        <v>26</v>
      </c>
      <c r="D88" s="3" t="s">
        <v>29</v>
      </c>
      <c r="E88" s="3" t="s">
        <v>26</v>
      </c>
      <c r="F88" s="3" t="s">
        <v>431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485</v>
      </c>
      <c r="B89" s="3" t="s">
        <v>1286</v>
      </c>
      <c r="C89" s="3" t="s">
        <v>26</v>
      </c>
      <c r="D89" s="3" t="s">
        <v>29</v>
      </c>
      <c r="E89" s="3" t="s">
        <v>26</v>
      </c>
      <c r="F89" s="3" t="s">
        <v>432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486</v>
      </c>
      <c r="B90" s="3" t="s">
        <v>1287</v>
      </c>
      <c r="C90" s="3" t="s">
        <v>26</v>
      </c>
      <c r="D90" s="3" t="s">
        <v>29</v>
      </c>
      <c r="E90" s="3" t="s">
        <v>26</v>
      </c>
      <c r="F90" s="3" t="s">
        <v>433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487</v>
      </c>
      <c r="B91" s="3" t="s">
        <v>1288</v>
      </c>
      <c r="C91" s="3" t="s">
        <v>26</v>
      </c>
      <c r="D91" s="3" t="s">
        <v>29</v>
      </c>
      <c r="E91" s="3" t="s">
        <v>26</v>
      </c>
      <c r="F91" s="3" t="s">
        <v>434</v>
      </c>
      <c r="G91" s="4">
        <v>0.01</v>
      </c>
      <c r="H91" s="3" t="s">
        <v>134</v>
      </c>
      <c r="I91" s="3" t="s">
        <v>32</v>
      </c>
      <c r="J91" s="1" t="s">
        <v>1017</v>
      </c>
      <c r="K91" s="1" t="s">
        <v>1020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1289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1290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1291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1292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1293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514</v>
      </c>
      <c r="B97" s="3" t="s">
        <v>1294</v>
      </c>
      <c r="C97" s="3" t="s">
        <v>26</v>
      </c>
      <c r="D97" s="3" t="s">
        <v>29</v>
      </c>
      <c r="E97" s="3" t="s">
        <v>26</v>
      </c>
      <c r="F97" s="3" t="s">
        <v>521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1295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1296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967</v>
      </c>
      <c r="K99" s="1" t="s">
        <v>968</v>
      </c>
      <c r="L99" s="1" t="s">
        <v>1017</v>
      </c>
      <c r="M99" s="1" t="s">
        <v>1021</v>
      </c>
      <c r="N99" s="25"/>
      <c r="O99" s="1"/>
    </row>
    <row r="100" spans="1:15" ht="15" customHeight="1" x14ac:dyDescent="0.3">
      <c r="A100" s="3" t="s">
        <v>1094</v>
      </c>
      <c r="B100" s="3" t="s">
        <v>1297</v>
      </c>
      <c r="C100" s="3" t="s">
        <v>26</v>
      </c>
      <c r="D100" s="3" t="s">
        <v>29</v>
      </c>
      <c r="E100" s="3" t="s">
        <v>26</v>
      </c>
      <c r="F100" s="3" t="s">
        <v>1095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1298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488</v>
      </c>
      <c r="B102" s="3" t="s">
        <v>1299</v>
      </c>
      <c r="C102" s="3" t="s">
        <v>26</v>
      </c>
      <c r="D102" s="3" t="s">
        <v>29</v>
      </c>
      <c r="E102" s="3" t="s">
        <v>26</v>
      </c>
      <c r="F102" s="3" t="s">
        <v>435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1098</v>
      </c>
      <c r="B103" s="3" t="s">
        <v>1300</v>
      </c>
      <c r="C103" s="3" t="s">
        <v>26</v>
      </c>
      <c r="D103" s="3" t="s">
        <v>29</v>
      </c>
      <c r="E103" s="3" t="s">
        <v>26</v>
      </c>
      <c r="F103" s="3" t="s">
        <v>1099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1301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1302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1303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1304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1305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1017</v>
      </c>
      <c r="K108" s="1" t="s">
        <v>1022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1306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1017</v>
      </c>
      <c r="K109" s="1" t="s">
        <v>1023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1307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489</v>
      </c>
      <c r="B111" s="3" t="s">
        <v>1308</v>
      </c>
      <c r="C111" s="3" t="s">
        <v>26</v>
      </c>
      <c r="D111" s="3" t="s">
        <v>29</v>
      </c>
      <c r="E111" s="3" t="s">
        <v>26</v>
      </c>
      <c r="F111" s="3" t="s">
        <v>436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490</v>
      </c>
      <c r="B112" s="3" t="s">
        <v>1309</v>
      </c>
      <c r="C112" s="3" t="s">
        <v>26</v>
      </c>
      <c r="D112" s="3" t="s">
        <v>29</v>
      </c>
      <c r="E112" s="3" t="s">
        <v>26</v>
      </c>
      <c r="F112" s="3" t="s">
        <v>437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679</v>
      </c>
      <c r="B113" s="3" t="s">
        <v>1310</v>
      </c>
      <c r="C113" s="3" t="s">
        <v>26</v>
      </c>
      <c r="D113" s="3" t="s">
        <v>29</v>
      </c>
      <c r="E113" s="3" t="s">
        <v>26</v>
      </c>
      <c r="F113" s="1" t="s">
        <v>680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491</v>
      </c>
      <c r="B114" s="3" t="s">
        <v>1311</v>
      </c>
      <c r="C114" s="3" t="s">
        <v>26</v>
      </c>
      <c r="D114" s="3" t="s">
        <v>29</v>
      </c>
      <c r="E114" s="3" t="s">
        <v>26</v>
      </c>
      <c r="F114" s="3" t="s">
        <v>438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492</v>
      </c>
      <c r="B115" s="3" t="s">
        <v>1312</v>
      </c>
      <c r="C115" s="3" t="s">
        <v>26</v>
      </c>
      <c r="D115" s="3" t="s">
        <v>29</v>
      </c>
      <c r="E115" s="3" t="s">
        <v>26</v>
      </c>
      <c r="F115" s="3" t="s">
        <v>439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493</v>
      </c>
      <c r="B116" s="3" t="s">
        <v>1313</v>
      </c>
      <c r="C116" s="3" t="s">
        <v>26</v>
      </c>
      <c r="D116" s="3" t="s">
        <v>29</v>
      </c>
      <c r="E116" s="3" t="s">
        <v>26</v>
      </c>
      <c r="F116" s="3" t="s">
        <v>440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494</v>
      </c>
      <c r="B117" s="3" t="s">
        <v>1314</v>
      </c>
      <c r="C117" s="3" t="s">
        <v>26</v>
      </c>
      <c r="D117" s="3" t="s">
        <v>29</v>
      </c>
      <c r="E117" s="3" t="s">
        <v>26</v>
      </c>
      <c r="F117" s="3" t="s">
        <v>441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495</v>
      </c>
      <c r="B118" s="3" t="s">
        <v>1315</v>
      </c>
      <c r="C118" s="3" t="s">
        <v>26</v>
      </c>
      <c r="D118" s="3" t="s">
        <v>29</v>
      </c>
      <c r="E118" s="3" t="s">
        <v>26</v>
      </c>
      <c r="F118" s="3" t="s">
        <v>442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1316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1317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1318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1319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1320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515</v>
      </c>
      <c r="B124" s="3" t="s">
        <v>1321</v>
      </c>
      <c r="C124" s="3" t="s">
        <v>26</v>
      </c>
      <c r="D124" s="3" t="s">
        <v>29</v>
      </c>
      <c r="E124" s="3" t="s">
        <v>26</v>
      </c>
      <c r="F124" s="3" t="s">
        <v>522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1322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1323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1017</v>
      </c>
      <c r="K126" s="1" t="s">
        <v>1024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1324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1325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1326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1327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1328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1329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1330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1331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1332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496</v>
      </c>
      <c r="B136" s="3" t="s">
        <v>1333</v>
      </c>
      <c r="C136" s="3" t="s">
        <v>26</v>
      </c>
      <c r="D136" s="3" t="s">
        <v>29</v>
      </c>
      <c r="E136" s="3" t="s">
        <v>26</v>
      </c>
      <c r="F136" s="3" t="s">
        <v>443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497</v>
      </c>
      <c r="B137" s="3" t="s">
        <v>1334</v>
      </c>
      <c r="C137" s="3" t="s">
        <v>26</v>
      </c>
      <c r="D137" s="3" t="s">
        <v>29</v>
      </c>
      <c r="E137" s="3" t="s">
        <v>26</v>
      </c>
      <c r="F137" s="3" t="s">
        <v>444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498</v>
      </c>
      <c r="B138" s="3" t="s">
        <v>1335</v>
      </c>
      <c r="C138" s="3" t="s">
        <v>26</v>
      </c>
      <c r="D138" s="3" t="s">
        <v>29</v>
      </c>
      <c r="E138" s="3" t="s">
        <v>26</v>
      </c>
      <c r="F138" s="3" t="s">
        <v>445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499</v>
      </c>
      <c r="B139" s="3" t="s">
        <v>1336</v>
      </c>
      <c r="C139" s="3" t="s">
        <v>26</v>
      </c>
      <c r="D139" s="3" t="s">
        <v>29</v>
      </c>
      <c r="E139" s="3" t="s">
        <v>26</v>
      </c>
      <c r="F139" s="3" t="s">
        <v>446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500</v>
      </c>
      <c r="B140" s="3" t="s">
        <v>1337</v>
      </c>
      <c r="C140" s="3" t="s">
        <v>26</v>
      </c>
      <c r="D140" s="3" t="s">
        <v>29</v>
      </c>
      <c r="E140" s="3" t="s">
        <v>26</v>
      </c>
      <c r="F140" s="3" t="s">
        <v>447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501</v>
      </c>
      <c r="B141" s="3" t="s">
        <v>1338</v>
      </c>
      <c r="C141" s="3" t="s">
        <v>26</v>
      </c>
      <c r="D141" s="3" t="s">
        <v>29</v>
      </c>
      <c r="E141" s="3" t="s">
        <v>26</v>
      </c>
      <c r="F141" s="3" t="s">
        <v>448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502</v>
      </c>
      <c r="B142" s="3" t="s">
        <v>1339</v>
      </c>
      <c r="C142" s="3" t="s">
        <v>26</v>
      </c>
      <c r="D142" s="3" t="s">
        <v>29</v>
      </c>
      <c r="E142" s="3" t="s">
        <v>26</v>
      </c>
      <c r="F142" s="3" t="s">
        <v>449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1340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1341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1342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1343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1344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516</v>
      </c>
      <c r="B148" s="3" t="s">
        <v>1345</v>
      </c>
      <c r="C148" s="3" t="s">
        <v>26</v>
      </c>
      <c r="D148" s="3" t="s">
        <v>29</v>
      </c>
      <c r="E148" s="3" t="s">
        <v>26</v>
      </c>
      <c r="F148" s="3" t="s">
        <v>523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1346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1347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1348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1349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1350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1351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1352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1353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503</v>
      </c>
      <c r="B157" s="3" t="s">
        <v>1354</v>
      </c>
      <c r="C157" s="3" t="s">
        <v>26</v>
      </c>
      <c r="D157" s="3" t="s">
        <v>29</v>
      </c>
      <c r="E157" s="3" t="s">
        <v>26</v>
      </c>
      <c r="F157" s="3" t="s">
        <v>450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1355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1356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504</v>
      </c>
      <c r="B160" s="3" t="s">
        <v>1357</v>
      </c>
      <c r="C160" s="3" t="s">
        <v>26</v>
      </c>
      <c r="D160" s="3" t="s">
        <v>29</v>
      </c>
      <c r="E160" s="3" t="s">
        <v>26</v>
      </c>
      <c r="F160" s="3" t="s">
        <v>451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505</v>
      </c>
      <c r="B161" s="3" t="s">
        <v>1358</v>
      </c>
      <c r="C161" s="3" t="s">
        <v>26</v>
      </c>
      <c r="D161" s="3" t="s">
        <v>29</v>
      </c>
      <c r="E161" s="3" t="s">
        <v>26</v>
      </c>
      <c r="F161" s="3" t="s">
        <v>452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506</v>
      </c>
      <c r="B162" s="3" t="s">
        <v>1359</v>
      </c>
      <c r="C162" s="3" t="s">
        <v>26</v>
      </c>
      <c r="D162" s="3" t="s">
        <v>29</v>
      </c>
      <c r="E162" s="3" t="s">
        <v>26</v>
      </c>
      <c r="F162" s="3" t="s">
        <v>453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507</v>
      </c>
      <c r="B163" s="3" t="s">
        <v>1360</v>
      </c>
      <c r="C163" s="3" t="s">
        <v>26</v>
      </c>
      <c r="D163" s="3" t="s">
        <v>29</v>
      </c>
      <c r="E163" s="3" t="s">
        <v>26</v>
      </c>
      <c r="F163" s="3" t="s">
        <v>454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508</v>
      </c>
      <c r="B164" s="3" t="s">
        <v>1361</v>
      </c>
      <c r="C164" s="3" t="s">
        <v>26</v>
      </c>
      <c r="D164" s="3" t="s">
        <v>29</v>
      </c>
      <c r="E164" s="3" t="s">
        <v>26</v>
      </c>
      <c r="F164" s="3" t="s">
        <v>455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509</v>
      </c>
      <c r="B165" s="3" t="s">
        <v>1362</v>
      </c>
      <c r="C165" s="3" t="s">
        <v>26</v>
      </c>
      <c r="D165" s="3" t="s">
        <v>29</v>
      </c>
      <c r="E165" s="3" t="s">
        <v>26</v>
      </c>
      <c r="F165" s="3" t="s">
        <v>456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510</v>
      </c>
      <c r="B166" s="3" t="s">
        <v>1363</v>
      </c>
      <c r="C166" s="3" t="s">
        <v>26</v>
      </c>
      <c r="D166" s="3" t="s">
        <v>29</v>
      </c>
      <c r="E166" s="3" t="s">
        <v>26</v>
      </c>
      <c r="F166" s="3" t="s">
        <v>457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1364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1365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1366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1367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1368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517</v>
      </c>
      <c r="B172" s="3" t="s">
        <v>1369</v>
      </c>
      <c r="C172" s="3" t="s">
        <v>26</v>
      </c>
      <c r="D172" s="3" t="s">
        <v>29</v>
      </c>
      <c r="E172" s="3" t="s">
        <v>26</v>
      </c>
      <c r="F172" s="3" t="s">
        <v>524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1370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1371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713</v>
      </c>
      <c r="B175" s="1" t="s">
        <v>714</v>
      </c>
      <c r="C175" s="1" t="s">
        <v>713</v>
      </c>
      <c r="D175" s="3" t="s">
        <v>719</v>
      </c>
      <c r="E175" s="1" t="s">
        <v>718</v>
      </c>
      <c r="F175" s="1" t="s">
        <v>716</v>
      </c>
      <c r="G175" s="13">
        <v>0.5</v>
      </c>
      <c r="H175" s="3" t="s">
        <v>715</v>
      </c>
      <c r="I175" s="1" t="s">
        <v>717</v>
      </c>
      <c r="J175" s="1"/>
      <c r="K175" s="1"/>
      <c r="L175" s="1"/>
      <c r="M175" s="1"/>
      <c r="N175" s="25"/>
      <c r="O175" s="1" t="s">
        <v>1430</v>
      </c>
    </row>
    <row r="176" spans="1:15" ht="15.6" x14ac:dyDescent="0.3">
      <c r="A176" s="14" t="s">
        <v>780</v>
      </c>
      <c r="B176" s="1" t="s">
        <v>781</v>
      </c>
      <c r="C176" s="1" t="s">
        <v>780</v>
      </c>
      <c r="D176" s="3" t="s">
        <v>719</v>
      </c>
      <c r="E176" s="1" t="s">
        <v>718</v>
      </c>
      <c r="F176" s="1">
        <v>100</v>
      </c>
      <c r="G176" s="13">
        <v>0.5</v>
      </c>
      <c r="H176" s="3" t="s">
        <v>715</v>
      </c>
      <c r="I176" s="1" t="s">
        <v>717</v>
      </c>
      <c r="J176" s="1"/>
      <c r="K176" s="1"/>
      <c r="L176" s="1"/>
      <c r="M176" s="1"/>
      <c r="N176" s="1"/>
      <c r="O176" s="1" t="s">
        <v>1430</v>
      </c>
    </row>
    <row r="177" spans="1:15" ht="15.6" x14ac:dyDescent="0.3">
      <c r="A177" s="14" t="s">
        <v>784</v>
      </c>
      <c r="B177" s="1" t="s">
        <v>785</v>
      </c>
      <c r="C177" s="1" t="s">
        <v>784</v>
      </c>
      <c r="D177" s="3" t="s">
        <v>719</v>
      </c>
      <c r="E177" s="1" t="s">
        <v>718</v>
      </c>
      <c r="F177" s="1" t="s">
        <v>786</v>
      </c>
      <c r="G177" s="13">
        <v>0.5</v>
      </c>
      <c r="H177" s="3" t="s">
        <v>715</v>
      </c>
      <c r="I177" s="1" t="s">
        <v>717</v>
      </c>
      <c r="J177" s="1"/>
      <c r="K177" s="1"/>
      <c r="L177" s="1"/>
      <c r="M177" s="1"/>
      <c r="N177" s="1"/>
      <c r="O177" s="1" t="s">
        <v>1430</v>
      </c>
    </row>
    <row r="178" spans="1:15" ht="15.6" x14ac:dyDescent="0.3">
      <c r="A178" s="3" t="s">
        <v>916</v>
      </c>
      <c r="B178" s="3" t="s">
        <v>1373</v>
      </c>
      <c r="C178" s="3" t="s">
        <v>26</v>
      </c>
      <c r="D178" s="3" t="s">
        <v>29</v>
      </c>
      <c r="E178" s="3" t="s">
        <v>26</v>
      </c>
      <c r="F178" s="3" t="s">
        <v>915</v>
      </c>
      <c r="G178" s="4">
        <v>0.01</v>
      </c>
      <c r="H178" s="3" t="s">
        <v>723</v>
      </c>
      <c r="I178" s="3" t="s">
        <v>722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1083</v>
      </c>
      <c r="B179" s="1" t="s">
        <v>1374</v>
      </c>
      <c r="C179" s="1" t="s">
        <v>26</v>
      </c>
      <c r="D179" s="3" t="s">
        <v>29</v>
      </c>
      <c r="E179" s="3" t="s">
        <v>26</v>
      </c>
      <c r="F179" s="3" t="s">
        <v>1084</v>
      </c>
      <c r="G179" s="4">
        <v>0.01</v>
      </c>
      <c r="H179" s="3" t="s">
        <v>969</v>
      </c>
      <c r="I179" s="3" t="s">
        <v>970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1109</v>
      </c>
      <c r="B180" s="3" t="s">
        <v>1110</v>
      </c>
      <c r="C180" s="3" t="s">
        <v>26</v>
      </c>
      <c r="D180" s="3" t="s">
        <v>29</v>
      </c>
      <c r="E180" s="3" t="s">
        <v>26</v>
      </c>
      <c r="F180" s="3" t="s">
        <v>1111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1138</v>
      </c>
      <c r="B181" s="1" t="s">
        <v>1372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723</v>
      </c>
      <c r="I181" s="1" t="s">
        <v>722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1423</v>
      </c>
      <c r="B182" s="1" t="s">
        <v>1424</v>
      </c>
      <c r="C182" s="1" t="s">
        <v>1423</v>
      </c>
      <c r="D182" s="1" t="s">
        <v>29</v>
      </c>
      <c r="E182" s="1" t="s">
        <v>26</v>
      </c>
      <c r="F182" s="1" t="s">
        <v>1425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1430</v>
      </c>
    </row>
    <row r="183" spans="1:15" ht="15.6" x14ac:dyDescent="0.3">
      <c r="A183" s="3" t="s">
        <v>1450</v>
      </c>
      <c r="B183" s="3" t="s">
        <v>1271</v>
      </c>
      <c r="C183" s="3" t="s">
        <v>26</v>
      </c>
      <c r="D183" s="3" t="s">
        <v>29</v>
      </c>
      <c r="E183" s="3" t="s">
        <v>26</v>
      </c>
      <c r="F183" s="3" t="s">
        <v>426</v>
      </c>
      <c r="G183" s="4">
        <v>0.01</v>
      </c>
      <c r="H183" s="3" t="s">
        <v>1451</v>
      </c>
      <c r="I183" s="3" t="s">
        <v>1452</v>
      </c>
      <c r="J183" s="3"/>
      <c r="K183" s="1"/>
      <c r="L183" s="1"/>
      <c r="M183" s="1"/>
      <c r="N183" s="51"/>
      <c r="O183" s="1" t="s">
        <v>1430</v>
      </c>
    </row>
    <row r="184" spans="1:15" ht="15" customHeight="1" x14ac:dyDescent="0.3">
      <c r="A184" s="3" t="s">
        <v>1453</v>
      </c>
      <c r="B184" s="3" t="s">
        <v>1288</v>
      </c>
      <c r="C184" s="3" t="s">
        <v>26</v>
      </c>
      <c r="D184" s="3" t="s">
        <v>29</v>
      </c>
      <c r="E184" s="3" t="s">
        <v>26</v>
      </c>
      <c r="F184" s="3" t="s">
        <v>434</v>
      </c>
      <c r="G184" s="4">
        <v>0.01</v>
      </c>
      <c r="H184" s="3" t="s">
        <v>1451</v>
      </c>
      <c r="I184" s="3" t="s">
        <v>1452</v>
      </c>
      <c r="J184" s="1"/>
      <c r="K184" s="1"/>
      <c r="L184" s="1"/>
      <c r="M184" s="1"/>
      <c r="N184" s="50"/>
      <c r="O184" s="1" t="s">
        <v>1430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13.10937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526</v>
      </c>
      <c r="I1" s="42" t="s">
        <v>1472</v>
      </c>
      <c r="J1" s="42" t="s">
        <v>69</v>
      </c>
      <c r="K1" s="42" t="s">
        <v>956</v>
      </c>
      <c r="L1" s="1" t="s">
        <v>1429</v>
      </c>
    </row>
    <row r="2" spans="1:12" x14ac:dyDescent="0.3">
      <c r="A2" s="19" t="s">
        <v>919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918</v>
      </c>
      <c r="E2" s="20" t="s">
        <v>917</v>
      </c>
      <c r="F2" s="20" t="str">
        <f t="shared" ref="F2" si="1">CONCATENATE("Footprints\",G2,".PcbLib")</f>
        <v>Footprints\SMB.PcbLib</v>
      </c>
      <c r="G2" s="20" t="s">
        <v>338</v>
      </c>
      <c r="H2" s="20">
        <v>1000</v>
      </c>
      <c r="I2" s="26" t="s">
        <v>1471</v>
      </c>
      <c r="J2" s="2"/>
      <c r="L2" t="s">
        <v>1430</v>
      </c>
    </row>
    <row r="3" spans="1:12" x14ac:dyDescent="0.3">
      <c r="A3" s="2" t="s">
        <v>1089</v>
      </c>
      <c r="B3" s="2" t="s">
        <v>1090</v>
      </c>
      <c r="C3" s="2" t="s">
        <v>1089</v>
      </c>
      <c r="D3" s="2" t="s">
        <v>918</v>
      </c>
      <c r="E3" s="2" t="s">
        <v>917</v>
      </c>
      <c r="F3" s="2" t="s">
        <v>1091</v>
      </c>
      <c r="G3" s="2" t="s">
        <v>128</v>
      </c>
      <c r="H3" s="2" t="s">
        <v>410</v>
      </c>
      <c r="I3" s="2" t="s">
        <v>1473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956</v>
      </c>
      <c r="V1" s="1" t="s">
        <v>1429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601</v>
      </c>
      <c r="H2" s="3" t="s">
        <v>37</v>
      </c>
      <c r="I2" s="3" t="s">
        <v>648</v>
      </c>
      <c r="J2" s="3" t="s">
        <v>38</v>
      </c>
      <c r="K2" s="10" t="s">
        <v>650</v>
      </c>
      <c r="L2" s="10" t="s">
        <v>342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628</v>
      </c>
      <c r="E3" s="3" t="s">
        <v>39</v>
      </c>
      <c r="F3" s="3" t="s">
        <v>41</v>
      </c>
      <c r="G3" s="3" t="s">
        <v>647</v>
      </c>
      <c r="H3" s="3" t="s">
        <v>121</v>
      </c>
      <c r="I3" s="3" t="s">
        <v>649</v>
      </c>
      <c r="J3" s="3" t="s">
        <v>122</v>
      </c>
      <c r="K3" s="3" t="s">
        <v>651</v>
      </c>
      <c r="L3" s="3" t="s">
        <v>123</v>
      </c>
      <c r="M3" s="3" t="s">
        <v>652</v>
      </c>
      <c r="N3" s="3" t="s">
        <v>124</v>
      </c>
      <c r="O3" s="3" t="s">
        <v>653</v>
      </c>
      <c r="P3" s="3" t="s">
        <v>125</v>
      </c>
      <c r="Q3" s="3" t="s">
        <v>654</v>
      </c>
      <c r="R3" s="2" t="s">
        <v>129</v>
      </c>
      <c r="S3" s="3" t="s">
        <v>691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C38" zoomScale="85" zoomScaleNormal="85" workbookViewId="0">
      <selection activeCell="E51" sqref="E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526</v>
      </c>
      <c r="I1" s="8" t="s">
        <v>525</v>
      </c>
      <c r="J1" s="6" t="s">
        <v>12</v>
      </c>
      <c r="K1" s="6" t="s">
        <v>8</v>
      </c>
      <c r="L1" s="8" t="s">
        <v>527</v>
      </c>
      <c r="M1" s="8" t="s">
        <v>956</v>
      </c>
      <c r="N1" s="8" t="s">
        <v>1429</v>
      </c>
    </row>
    <row r="2" spans="1:14" x14ac:dyDescent="0.3">
      <c r="A2" s="27" t="s">
        <v>1103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1104</v>
      </c>
      <c r="G2" s="28" t="s">
        <v>1198</v>
      </c>
      <c r="H2" s="28">
        <v>50</v>
      </c>
      <c r="I2" s="28" t="s">
        <v>600</v>
      </c>
      <c r="J2" s="28" t="s">
        <v>601</v>
      </c>
      <c r="K2" s="28" t="s">
        <v>37</v>
      </c>
      <c r="L2" s="28" t="s">
        <v>1105</v>
      </c>
      <c r="M2" s="29"/>
      <c r="N2" s="2" t="s">
        <v>1430</v>
      </c>
    </row>
    <row r="3" spans="1:14" x14ac:dyDescent="0.3">
      <c r="A3" s="2" t="s">
        <v>1179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1180</v>
      </c>
      <c r="G3" s="28" t="s">
        <v>1198</v>
      </c>
      <c r="H3" s="28">
        <v>50</v>
      </c>
      <c r="I3" s="28" t="s">
        <v>600</v>
      </c>
      <c r="J3" s="28" t="s">
        <v>601</v>
      </c>
      <c r="K3" s="28" t="s">
        <v>37</v>
      </c>
      <c r="L3" s="28" t="s">
        <v>1181</v>
      </c>
      <c r="M3" s="2"/>
      <c r="N3" s="2"/>
    </row>
    <row r="4" spans="1:14" x14ac:dyDescent="0.3">
      <c r="A4" s="19" t="s">
        <v>1106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1107</v>
      </c>
      <c r="G4" s="28" t="s">
        <v>1198</v>
      </c>
      <c r="H4" s="20">
        <v>50</v>
      </c>
      <c r="I4" s="20" t="s">
        <v>600</v>
      </c>
      <c r="J4" s="20" t="s">
        <v>601</v>
      </c>
      <c r="K4" s="20" t="s">
        <v>37</v>
      </c>
      <c r="L4" s="20" t="s">
        <v>1108</v>
      </c>
      <c r="M4" s="26"/>
      <c r="N4" s="2"/>
    </row>
    <row r="5" spans="1:14" x14ac:dyDescent="0.3">
      <c r="A5" s="43" t="s">
        <v>1100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1101</v>
      </c>
      <c r="G5" s="46" t="s">
        <v>1198</v>
      </c>
      <c r="H5" s="45">
        <v>50</v>
      </c>
      <c r="I5" s="45" t="s">
        <v>600</v>
      </c>
      <c r="J5" s="45" t="s">
        <v>601</v>
      </c>
      <c r="K5" s="45" t="s">
        <v>37</v>
      </c>
      <c r="L5" s="45" t="s">
        <v>1102</v>
      </c>
      <c r="M5" s="47"/>
      <c r="N5" s="48"/>
    </row>
    <row r="6" spans="1:14" x14ac:dyDescent="0.3">
      <c r="A6" s="2" t="s">
        <v>901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564</v>
      </c>
      <c r="G6" s="28" t="s">
        <v>1198</v>
      </c>
      <c r="H6" s="2">
        <v>50</v>
      </c>
      <c r="I6" s="2" t="s">
        <v>600</v>
      </c>
      <c r="J6" s="2" t="s">
        <v>601</v>
      </c>
      <c r="K6" s="2" t="s">
        <v>37</v>
      </c>
      <c r="L6" s="2">
        <v>1</v>
      </c>
      <c r="M6" s="2"/>
      <c r="N6" s="2"/>
    </row>
    <row r="7" spans="1:14" x14ac:dyDescent="0.3">
      <c r="A7" s="2" t="s">
        <v>528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565</v>
      </c>
      <c r="G7" s="28" t="s">
        <v>1198</v>
      </c>
      <c r="H7" s="2">
        <v>50</v>
      </c>
      <c r="I7" s="2" t="s">
        <v>600</v>
      </c>
      <c r="J7" s="2" t="s">
        <v>601</v>
      </c>
      <c r="K7" s="2" t="s">
        <v>37</v>
      </c>
      <c r="L7" s="2">
        <v>1.2</v>
      </c>
      <c r="M7" s="2"/>
      <c r="N7" s="2"/>
    </row>
    <row r="8" spans="1:14" x14ac:dyDescent="0.3">
      <c r="A8" s="2" t="s">
        <v>529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566</v>
      </c>
      <c r="G8" s="28" t="s">
        <v>1198</v>
      </c>
      <c r="H8" s="2">
        <v>50</v>
      </c>
      <c r="I8" s="2" t="s">
        <v>600</v>
      </c>
      <c r="J8" s="2" t="s">
        <v>601</v>
      </c>
      <c r="K8" s="2" t="s">
        <v>37</v>
      </c>
      <c r="L8" s="2">
        <v>1.5</v>
      </c>
      <c r="M8" s="2"/>
      <c r="N8" s="2"/>
    </row>
    <row r="9" spans="1:14" x14ac:dyDescent="0.3">
      <c r="A9" s="2" t="s">
        <v>530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567</v>
      </c>
      <c r="G9" s="28" t="s">
        <v>1198</v>
      </c>
      <c r="H9" s="2">
        <v>50</v>
      </c>
      <c r="I9" s="2" t="s">
        <v>600</v>
      </c>
      <c r="J9" s="2" t="s">
        <v>601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531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568</v>
      </c>
      <c r="G10" s="28" t="s">
        <v>1198</v>
      </c>
      <c r="H10" s="2">
        <v>50</v>
      </c>
      <c r="I10" s="2" t="s">
        <v>600</v>
      </c>
      <c r="J10" s="2" t="s">
        <v>601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532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569</v>
      </c>
      <c r="G11" s="28" t="s">
        <v>1198</v>
      </c>
      <c r="H11" s="2">
        <v>50</v>
      </c>
      <c r="I11" s="2" t="s">
        <v>600</v>
      </c>
      <c r="J11" s="2" t="s">
        <v>601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533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570</v>
      </c>
      <c r="G12" s="28" t="s">
        <v>1198</v>
      </c>
      <c r="H12" s="2">
        <v>50</v>
      </c>
      <c r="I12" s="2" t="s">
        <v>600</v>
      </c>
      <c r="J12" s="2" t="s">
        <v>601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534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571</v>
      </c>
      <c r="G13" s="28" t="s">
        <v>1198</v>
      </c>
      <c r="H13" s="2">
        <v>50</v>
      </c>
      <c r="I13" s="2" t="s">
        <v>600</v>
      </c>
      <c r="J13" s="2" t="s">
        <v>601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535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572</v>
      </c>
      <c r="G14" s="28" t="s">
        <v>1198</v>
      </c>
      <c r="H14" s="2">
        <v>50</v>
      </c>
      <c r="I14" s="2" t="s">
        <v>600</v>
      </c>
      <c r="J14" s="2" t="s">
        <v>601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536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573</v>
      </c>
      <c r="G15" s="28" t="s">
        <v>1198</v>
      </c>
      <c r="H15" s="2">
        <v>50</v>
      </c>
      <c r="I15" s="2" t="s">
        <v>600</v>
      </c>
      <c r="J15" s="2" t="s">
        <v>601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537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574</v>
      </c>
      <c r="G16" s="28" t="s">
        <v>1198</v>
      </c>
      <c r="H16" s="2">
        <v>50</v>
      </c>
      <c r="I16" s="2" t="s">
        <v>600</v>
      </c>
      <c r="J16" s="2" t="s">
        <v>601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538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575</v>
      </c>
      <c r="G17" s="28" t="s">
        <v>1198</v>
      </c>
      <c r="H17" s="2">
        <v>50</v>
      </c>
      <c r="I17" s="2" t="s">
        <v>600</v>
      </c>
      <c r="J17" s="2" t="s">
        <v>601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539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576</v>
      </c>
      <c r="G18" s="28" t="s">
        <v>1198</v>
      </c>
      <c r="H18" s="2">
        <v>50</v>
      </c>
      <c r="I18" s="2" t="s">
        <v>600</v>
      </c>
      <c r="J18" s="2" t="s">
        <v>601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540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577</v>
      </c>
      <c r="G19" s="28" t="s">
        <v>1198</v>
      </c>
      <c r="H19" s="2">
        <v>50</v>
      </c>
      <c r="I19" s="2" t="s">
        <v>600</v>
      </c>
      <c r="J19" s="2" t="s">
        <v>601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541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578</v>
      </c>
      <c r="G20" s="28" t="s">
        <v>1198</v>
      </c>
      <c r="H20" s="2">
        <v>50</v>
      </c>
      <c r="I20" s="2" t="s">
        <v>600</v>
      </c>
      <c r="J20" s="2" t="s">
        <v>601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542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579</v>
      </c>
      <c r="G21" s="28" t="s">
        <v>1198</v>
      </c>
      <c r="H21" s="2">
        <v>50</v>
      </c>
      <c r="I21" s="2" t="s">
        <v>600</v>
      </c>
      <c r="J21" s="2" t="s">
        <v>601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543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580</v>
      </c>
      <c r="G22" s="28" t="s">
        <v>1198</v>
      </c>
      <c r="H22" s="2">
        <v>50</v>
      </c>
      <c r="I22" s="2" t="s">
        <v>600</v>
      </c>
      <c r="J22" s="2" t="s">
        <v>601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544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581</v>
      </c>
      <c r="G23" s="28" t="s">
        <v>1198</v>
      </c>
      <c r="H23" s="2">
        <v>50</v>
      </c>
      <c r="I23" s="2" t="s">
        <v>600</v>
      </c>
      <c r="J23" s="2" t="s">
        <v>601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545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582</v>
      </c>
      <c r="G24" s="28" t="s">
        <v>1198</v>
      </c>
      <c r="H24" s="2">
        <v>50</v>
      </c>
      <c r="I24" s="2" t="s">
        <v>600</v>
      </c>
      <c r="J24" s="2" t="s">
        <v>601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546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583</v>
      </c>
      <c r="G25" s="28" t="s">
        <v>1198</v>
      </c>
      <c r="H25" s="2">
        <v>50</v>
      </c>
      <c r="I25" s="2" t="s">
        <v>600</v>
      </c>
      <c r="J25" s="2" t="s">
        <v>601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547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584</v>
      </c>
      <c r="G26" s="28" t="s">
        <v>1198</v>
      </c>
      <c r="H26" s="2">
        <v>50</v>
      </c>
      <c r="I26" s="2" t="s">
        <v>600</v>
      </c>
      <c r="J26" s="2" t="s">
        <v>601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548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585</v>
      </c>
      <c r="G27" s="28" t="s">
        <v>1198</v>
      </c>
      <c r="H27" s="2">
        <v>50</v>
      </c>
      <c r="I27" s="2" t="s">
        <v>600</v>
      </c>
      <c r="J27" s="2" t="s">
        <v>601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549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586</v>
      </c>
      <c r="G28" s="28" t="s">
        <v>1198</v>
      </c>
      <c r="H28" s="2">
        <v>50</v>
      </c>
      <c r="I28" s="2" t="s">
        <v>600</v>
      </c>
      <c r="J28" s="2" t="s">
        <v>601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550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587</v>
      </c>
      <c r="G29" s="28" t="s">
        <v>1198</v>
      </c>
      <c r="H29" s="2">
        <v>50</v>
      </c>
      <c r="I29" s="2" t="s">
        <v>600</v>
      </c>
      <c r="J29" s="2" t="s">
        <v>601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551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1198</v>
      </c>
      <c r="H30" s="2">
        <v>50</v>
      </c>
      <c r="I30" s="2" t="s">
        <v>600</v>
      </c>
      <c r="J30" s="2" t="s">
        <v>601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552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588</v>
      </c>
      <c r="G31" s="28" t="s">
        <v>1198</v>
      </c>
      <c r="H31" s="2">
        <v>50</v>
      </c>
      <c r="I31" s="2" t="s">
        <v>600</v>
      </c>
      <c r="J31" s="2" t="s">
        <v>601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553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589</v>
      </c>
      <c r="G32" s="28" t="s">
        <v>1198</v>
      </c>
      <c r="H32" s="2">
        <v>50</v>
      </c>
      <c r="I32" s="2" t="s">
        <v>600</v>
      </c>
      <c r="J32" s="2" t="s">
        <v>601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554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590</v>
      </c>
      <c r="G33" s="28" t="s">
        <v>1198</v>
      </c>
      <c r="H33" s="2">
        <v>50</v>
      </c>
      <c r="I33" s="2" t="s">
        <v>600</v>
      </c>
      <c r="J33" s="2" t="s">
        <v>601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555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591</v>
      </c>
      <c r="G34" s="28" t="s">
        <v>1198</v>
      </c>
      <c r="H34" s="2">
        <v>50</v>
      </c>
      <c r="I34" s="2" t="s">
        <v>600</v>
      </c>
      <c r="J34" s="2" t="s">
        <v>601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556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592</v>
      </c>
      <c r="G35" s="28" t="s">
        <v>1198</v>
      </c>
      <c r="H35" s="2">
        <v>50</v>
      </c>
      <c r="I35" s="2" t="s">
        <v>600</v>
      </c>
      <c r="J35" s="2" t="s">
        <v>601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557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593</v>
      </c>
      <c r="G36" s="28" t="s">
        <v>1198</v>
      </c>
      <c r="H36" s="2">
        <v>50</v>
      </c>
      <c r="I36" s="2" t="s">
        <v>600</v>
      </c>
      <c r="J36" s="2" t="s">
        <v>601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558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594</v>
      </c>
      <c r="G37" s="28" t="s">
        <v>1198</v>
      </c>
      <c r="H37" s="2">
        <v>50</v>
      </c>
      <c r="I37" s="2" t="s">
        <v>600</v>
      </c>
      <c r="J37" s="2" t="s">
        <v>601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559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595</v>
      </c>
      <c r="G38" s="28" t="s">
        <v>1198</v>
      </c>
      <c r="H38" s="2">
        <v>50</v>
      </c>
      <c r="I38" s="2" t="s">
        <v>600</v>
      </c>
      <c r="J38" s="2" t="s">
        <v>601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560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596</v>
      </c>
      <c r="G39" s="28" t="s">
        <v>1198</v>
      </c>
      <c r="H39" s="2">
        <v>50</v>
      </c>
      <c r="I39" s="2" t="s">
        <v>600</v>
      </c>
      <c r="J39" s="2" t="s">
        <v>601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561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597</v>
      </c>
      <c r="G40" s="28" t="s">
        <v>1198</v>
      </c>
      <c r="H40" s="2">
        <v>50</v>
      </c>
      <c r="I40" s="2" t="s">
        <v>600</v>
      </c>
      <c r="J40" s="2" t="s">
        <v>601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562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598</v>
      </c>
      <c r="G41" s="28" t="s">
        <v>1198</v>
      </c>
      <c r="H41" s="2">
        <v>50</v>
      </c>
      <c r="I41" s="2" t="s">
        <v>600</v>
      </c>
      <c r="J41" s="2" t="s">
        <v>601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563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599</v>
      </c>
      <c r="G42" s="28" t="s">
        <v>1198</v>
      </c>
      <c r="H42" s="2">
        <v>50</v>
      </c>
      <c r="I42" s="2" t="s">
        <v>600</v>
      </c>
      <c r="J42" s="2" t="s">
        <v>601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1112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630</v>
      </c>
      <c r="G43" s="28" t="s">
        <v>1198</v>
      </c>
      <c r="H43" s="2">
        <v>50</v>
      </c>
      <c r="I43" s="2" t="s">
        <v>600</v>
      </c>
      <c r="J43" s="2" t="s">
        <v>681</v>
      </c>
      <c r="K43" s="2" t="s">
        <v>682</v>
      </c>
      <c r="L43" s="2" t="s">
        <v>1113</v>
      </c>
      <c r="M43" s="2"/>
      <c r="N43" s="2"/>
    </row>
    <row r="44" spans="1:14" x14ac:dyDescent="0.3">
      <c r="A44" s="2" t="s">
        <v>708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1198</v>
      </c>
      <c r="H44" s="2">
        <v>50</v>
      </c>
      <c r="I44" s="2" t="s">
        <v>600</v>
      </c>
      <c r="J44" s="2" t="s">
        <v>681</v>
      </c>
      <c r="K44" s="2" t="s">
        <v>682</v>
      </c>
      <c r="L44" s="2">
        <v>4700</v>
      </c>
      <c r="M44" s="2"/>
      <c r="N44" s="2"/>
    </row>
    <row r="45" spans="1:14" x14ac:dyDescent="0.3">
      <c r="A45" s="2" t="s">
        <v>710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633</v>
      </c>
      <c r="G45" s="28" t="s">
        <v>1198</v>
      </c>
      <c r="H45" s="2">
        <v>35</v>
      </c>
      <c r="I45" s="2" t="s">
        <v>600</v>
      </c>
      <c r="J45" s="2" t="s">
        <v>683</v>
      </c>
      <c r="K45" s="2" t="s">
        <v>684</v>
      </c>
      <c r="L45" s="2">
        <v>10000</v>
      </c>
      <c r="M45" s="2"/>
      <c r="N45" s="2"/>
    </row>
    <row r="46" spans="1:14" x14ac:dyDescent="0.3">
      <c r="A46" s="2" t="s">
        <v>709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635</v>
      </c>
      <c r="G46" s="28" t="s">
        <v>1198</v>
      </c>
      <c r="H46" s="2">
        <v>25</v>
      </c>
      <c r="I46" s="2" t="s">
        <v>600</v>
      </c>
      <c r="J46" s="2" t="s">
        <v>683</v>
      </c>
      <c r="K46" s="2" t="s">
        <v>684</v>
      </c>
      <c r="L46" s="2">
        <v>22000</v>
      </c>
      <c r="M46" s="2"/>
      <c r="N46" s="2"/>
    </row>
    <row r="47" spans="1:14" x14ac:dyDescent="0.3">
      <c r="A47" s="2" t="s">
        <v>948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1198</v>
      </c>
      <c r="H47" s="2">
        <v>1000</v>
      </c>
      <c r="I47" s="2" t="s">
        <v>600</v>
      </c>
      <c r="J47" s="2" t="s">
        <v>946</v>
      </c>
      <c r="K47" s="2" t="s">
        <v>947</v>
      </c>
      <c r="L47" s="2">
        <v>100</v>
      </c>
      <c r="M47" s="2"/>
      <c r="N47" s="2"/>
    </row>
    <row r="48" spans="1:14" x14ac:dyDescent="0.3">
      <c r="A48" s="2" t="s">
        <v>1407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1408</v>
      </c>
      <c r="G48" s="28" t="s">
        <v>1198</v>
      </c>
      <c r="H48" s="2">
        <v>1000</v>
      </c>
      <c r="I48" s="2" t="s">
        <v>600</v>
      </c>
      <c r="J48" s="2" t="s">
        <v>683</v>
      </c>
      <c r="K48" s="2" t="s">
        <v>684</v>
      </c>
      <c r="L48" s="2" t="s">
        <v>1119</v>
      </c>
      <c r="M48" s="2" t="s">
        <v>1409</v>
      </c>
      <c r="N48" s="2" t="s">
        <v>1430</v>
      </c>
    </row>
    <row r="49" spans="1:14" x14ac:dyDescent="0.3">
      <c r="A49" s="2" t="s">
        <v>1420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1420</v>
      </c>
      <c r="D49" s="2" t="s">
        <v>30</v>
      </c>
      <c r="E49" s="2" t="s">
        <v>27</v>
      </c>
      <c r="F49" s="2" t="s">
        <v>1416</v>
      </c>
      <c r="G49" s="37" t="s">
        <v>1417</v>
      </c>
      <c r="H49" s="2" t="s">
        <v>1418</v>
      </c>
      <c r="I49" s="2" t="s">
        <v>1419</v>
      </c>
      <c r="J49" s="2" t="s">
        <v>601</v>
      </c>
      <c r="K49" s="2" t="s">
        <v>37</v>
      </c>
      <c r="L49" s="2" t="s">
        <v>1421</v>
      </c>
      <c r="M49" s="2" t="s">
        <v>1422</v>
      </c>
      <c r="N49" s="2" t="s">
        <v>1430</v>
      </c>
    </row>
    <row r="50" spans="1:14" x14ac:dyDescent="0.3">
      <c r="A50" s="2" t="s">
        <v>1449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1198</v>
      </c>
      <c r="H50" s="2" t="s">
        <v>385</v>
      </c>
      <c r="I50" s="2" t="s">
        <v>600</v>
      </c>
      <c r="J50" s="2" t="s">
        <v>1448</v>
      </c>
      <c r="K50" s="2" t="s">
        <v>1447</v>
      </c>
      <c r="L50" s="2">
        <v>100</v>
      </c>
      <c r="M50" s="2"/>
      <c r="N50" s="2" t="s">
        <v>1430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526</v>
      </c>
      <c r="I1" s="6" t="s">
        <v>607</v>
      </c>
      <c r="J1" s="6" t="s">
        <v>12</v>
      </c>
      <c r="K1" s="6" t="s">
        <v>8</v>
      </c>
      <c r="L1" s="9" t="s">
        <v>606</v>
      </c>
      <c r="M1" s="6" t="s">
        <v>13</v>
      </c>
      <c r="N1" s="6" t="s">
        <v>9</v>
      </c>
      <c r="O1" s="8" t="s">
        <v>956</v>
      </c>
      <c r="P1" s="8" t="s">
        <v>1429</v>
      </c>
    </row>
    <row r="2" spans="1:16" x14ac:dyDescent="0.3">
      <c r="A2" s="2" t="s">
        <v>608</v>
      </c>
      <c r="B2" s="2" t="s">
        <v>627</v>
      </c>
      <c r="C2" s="2" t="s">
        <v>27</v>
      </c>
      <c r="D2" s="2" t="s">
        <v>628</v>
      </c>
      <c r="E2" s="2" t="s">
        <v>39</v>
      </c>
      <c r="F2" s="2" t="s">
        <v>599</v>
      </c>
      <c r="G2">
        <v>0.1</v>
      </c>
      <c r="H2">
        <v>50</v>
      </c>
      <c r="I2" s="2" t="s">
        <v>646</v>
      </c>
      <c r="J2" s="2" t="s">
        <v>647</v>
      </c>
      <c r="K2" s="2" t="s">
        <v>121</v>
      </c>
      <c r="L2">
        <v>1</v>
      </c>
    </row>
    <row r="3" spans="1:16" x14ac:dyDescent="0.3">
      <c r="A3" s="2" t="s">
        <v>609</v>
      </c>
      <c r="B3" s="2" t="s">
        <v>627</v>
      </c>
      <c r="C3" s="2" t="s">
        <v>27</v>
      </c>
      <c r="D3" s="2" t="s">
        <v>628</v>
      </c>
      <c r="E3" s="2" t="s">
        <v>39</v>
      </c>
      <c r="F3" s="2" t="s">
        <v>629</v>
      </c>
      <c r="G3">
        <v>0.1</v>
      </c>
      <c r="H3">
        <v>50</v>
      </c>
      <c r="I3" s="2" t="s">
        <v>646</v>
      </c>
      <c r="J3" s="2" t="s">
        <v>647</v>
      </c>
      <c r="K3" s="2" t="s">
        <v>121</v>
      </c>
      <c r="L3">
        <v>1.5</v>
      </c>
    </row>
    <row r="4" spans="1:16" x14ac:dyDescent="0.3">
      <c r="A4" s="2" t="s">
        <v>610</v>
      </c>
      <c r="B4" s="2" t="s">
        <v>627</v>
      </c>
      <c r="C4" s="2" t="s">
        <v>27</v>
      </c>
      <c r="D4" s="2" t="s">
        <v>628</v>
      </c>
      <c r="E4" s="2" t="s">
        <v>39</v>
      </c>
      <c r="F4" s="2" t="s">
        <v>630</v>
      </c>
      <c r="G4">
        <v>0.1</v>
      </c>
      <c r="H4">
        <v>50</v>
      </c>
      <c r="I4" s="2" t="s">
        <v>646</v>
      </c>
      <c r="J4" s="2" t="s">
        <v>647</v>
      </c>
      <c r="K4" s="2" t="s">
        <v>121</v>
      </c>
      <c r="L4">
        <v>2.2000000000000002</v>
      </c>
    </row>
    <row r="5" spans="1:16" x14ac:dyDescent="0.3">
      <c r="A5" s="2" t="s">
        <v>611</v>
      </c>
      <c r="B5" s="2" t="s">
        <v>627</v>
      </c>
      <c r="C5" s="2" t="s">
        <v>27</v>
      </c>
      <c r="D5" s="2" t="s">
        <v>628</v>
      </c>
      <c r="E5" s="2" t="s">
        <v>39</v>
      </c>
      <c r="F5" s="2" t="s">
        <v>631</v>
      </c>
      <c r="G5">
        <v>0.1</v>
      </c>
      <c r="H5">
        <v>50</v>
      </c>
      <c r="I5" s="2" t="s">
        <v>646</v>
      </c>
      <c r="J5" s="2" t="s">
        <v>647</v>
      </c>
      <c r="K5" s="2" t="s">
        <v>121</v>
      </c>
      <c r="L5">
        <v>3.3</v>
      </c>
    </row>
    <row r="6" spans="1:16" x14ac:dyDescent="0.3">
      <c r="A6" s="2" t="s">
        <v>612</v>
      </c>
      <c r="B6" s="2" t="s">
        <v>627</v>
      </c>
      <c r="C6" s="2" t="s">
        <v>27</v>
      </c>
      <c r="D6" s="2" t="s">
        <v>628</v>
      </c>
      <c r="E6" s="2" t="s">
        <v>39</v>
      </c>
      <c r="F6" s="2" t="s">
        <v>41</v>
      </c>
      <c r="G6">
        <v>0.1</v>
      </c>
      <c r="H6">
        <v>50</v>
      </c>
      <c r="I6" s="2" t="s">
        <v>646</v>
      </c>
      <c r="J6" s="2" t="s">
        <v>647</v>
      </c>
      <c r="K6" s="2" t="s">
        <v>121</v>
      </c>
      <c r="L6">
        <v>4.7</v>
      </c>
    </row>
    <row r="7" spans="1:16" x14ac:dyDescent="0.3">
      <c r="A7" s="2" t="s">
        <v>613</v>
      </c>
      <c r="B7" s="2" t="s">
        <v>627</v>
      </c>
      <c r="C7" s="2" t="s">
        <v>27</v>
      </c>
      <c r="D7" s="2" t="s">
        <v>628</v>
      </c>
      <c r="E7" s="2" t="s">
        <v>39</v>
      </c>
      <c r="F7" s="2" t="s">
        <v>632</v>
      </c>
      <c r="G7">
        <v>0.1</v>
      </c>
      <c r="H7">
        <v>50</v>
      </c>
      <c r="I7" s="2" t="s">
        <v>646</v>
      </c>
      <c r="J7" s="2" t="s">
        <v>647</v>
      </c>
      <c r="K7" s="2" t="s">
        <v>121</v>
      </c>
      <c r="L7">
        <v>6.8</v>
      </c>
    </row>
    <row r="8" spans="1:16" x14ac:dyDescent="0.3">
      <c r="A8" s="2" t="s">
        <v>614</v>
      </c>
      <c r="B8" s="2" t="s">
        <v>627</v>
      </c>
      <c r="C8" s="2" t="s">
        <v>27</v>
      </c>
      <c r="D8" s="2" t="s">
        <v>628</v>
      </c>
      <c r="E8" s="2" t="s">
        <v>39</v>
      </c>
      <c r="F8" s="2" t="s">
        <v>633</v>
      </c>
      <c r="G8">
        <v>0.1</v>
      </c>
      <c r="H8">
        <v>50</v>
      </c>
      <c r="I8" s="2" t="s">
        <v>646</v>
      </c>
      <c r="J8" s="2" t="s">
        <v>647</v>
      </c>
      <c r="K8" s="2" t="s">
        <v>121</v>
      </c>
      <c r="L8">
        <v>10</v>
      </c>
    </row>
    <row r="9" spans="1:16" x14ac:dyDescent="0.3">
      <c r="A9" s="2" t="s">
        <v>615</v>
      </c>
      <c r="B9" s="2" t="s">
        <v>627</v>
      </c>
      <c r="C9" s="2" t="s">
        <v>27</v>
      </c>
      <c r="D9" s="2" t="s">
        <v>628</v>
      </c>
      <c r="E9" s="2" t="s">
        <v>39</v>
      </c>
      <c r="F9" s="2" t="s">
        <v>634</v>
      </c>
      <c r="G9">
        <v>0.1</v>
      </c>
      <c r="H9">
        <v>50</v>
      </c>
      <c r="I9" s="2" t="s">
        <v>646</v>
      </c>
      <c r="J9" s="2" t="s">
        <v>647</v>
      </c>
      <c r="K9" s="2" t="s">
        <v>121</v>
      </c>
      <c r="L9">
        <v>15</v>
      </c>
    </row>
    <row r="10" spans="1:16" x14ac:dyDescent="0.3">
      <c r="A10" s="2" t="s">
        <v>616</v>
      </c>
      <c r="B10" s="2" t="s">
        <v>627</v>
      </c>
      <c r="C10" s="2" t="s">
        <v>27</v>
      </c>
      <c r="D10" s="2" t="s">
        <v>628</v>
      </c>
      <c r="E10" s="2" t="s">
        <v>39</v>
      </c>
      <c r="F10" s="2" t="s">
        <v>635</v>
      </c>
      <c r="G10">
        <v>0.1</v>
      </c>
      <c r="H10">
        <v>50</v>
      </c>
      <c r="I10" s="2" t="s">
        <v>646</v>
      </c>
      <c r="J10" s="2" t="s">
        <v>647</v>
      </c>
      <c r="K10" s="2" t="s">
        <v>121</v>
      </c>
      <c r="L10">
        <v>22</v>
      </c>
    </row>
    <row r="11" spans="1:16" x14ac:dyDescent="0.3">
      <c r="A11" s="2" t="s">
        <v>617</v>
      </c>
      <c r="B11" s="2" t="s">
        <v>627</v>
      </c>
      <c r="C11" s="2" t="s">
        <v>27</v>
      </c>
      <c r="D11" s="2" t="s">
        <v>628</v>
      </c>
      <c r="E11" s="2" t="s">
        <v>39</v>
      </c>
      <c r="F11" s="2" t="s">
        <v>636</v>
      </c>
      <c r="G11">
        <v>0.1</v>
      </c>
      <c r="H11">
        <v>50</v>
      </c>
      <c r="I11" s="2" t="s">
        <v>646</v>
      </c>
      <c r="J11" s="2" t="s">
        <v>647</v>
      </c>
      <c r="K11" s="2" t="s">
        <v>121</v>
      </c>
      <c r="L11">
        <v>33</v>
      </c>
    </row>
    <row r="12" spans="1:16" x14ac:dyDescent="0.3">
      <c r="A12" s="2" t="s">
        <v>618</v>
      </c>
      <c r="B12" s="2" t="s">
        <v>627</v>
      </c>
      <c r="C12" s="2" t="s">
        <v>27</v>
      </c>
      <c r="D12" s="2" t="s">
        <v>628</v>
      </c>
      <c r="E12" s="2" t="s">
        <v>39</v>
      </c>
      <c r="F12" s="2" t="s">
        <v>637</v>
      </c>
      <c r="G12">
        <v>0.1</v>
      </c>
      <c r="H12">
        <v>50</v>
      </c>
      <c r="I12" s="2" t="s">
        <v>646</v>
      </c>
      <c r="J12" s="2" t="s">
        <v>647</v>
      </c>
      <c r="K12" s="2" t="s">
        <v>121</v>
      </c>
      <c r="L12">
        <v>47</v>
      </c>
    </row>
    <row r="13" spans="1:16" x14ac:dyDescent="0.3">
      <c r="A13" s="2" t="s">
        <v>619</v>
      </c>
      <c r="B13" s="2" t="s">
        <v>627</v>
      </c>
      <c r="C13" s="2" t="s">
        <v>27</v>
      </c>
      <c r="D13" s="2" t="s">
        <v>628</v>
      </c>
      <c r="E13" s="2" t="s">
        <v>39</v>
      </c>
      <c r="F13" s="2" t="s">
        <v>638</v>
      </c>
      <c r="G13">
        <v>0.1</v>
      </c>
      <c r="H13">
        <v>50</v>
      </c>
      <c r="I13" s="2" t="s">
        <v>646</v>
      </c>
      <c r="J13" s="2" t="s">
        <v>647</v>
      </c>
      <c r="K13" s="2" t="s">
        <v>121</v>
      </c>
      <c r="L13">
        <v>68</v>
      </c>
    </row>
    <row r="14" spans="1:16" x14ac:dyDescent="0.3">
      <c r="A14" s="2" t="s">
        <v>620</v>
      </c>
      <c r="B14" s="2" t="s">
        <v>627</v>
      </c>
      <c r="C14" s="2" t="s">
        <v>27</v>
      </c>
      <c r="D14" s="2" t="s">
        <v>628</v>
      </c>
      <c r="E14" s="2" t="s">
        <v>39</v>
      </c>
      <c r="F14" s="2" t="s">
        <v>639</v>
      </c>
      <c r="G14">
        <v>0.1</v>
      </c>
      <c r="H14">
        <v>50</v>
      </c>
      <c r="I14" s="2" t="s">
        <v>646</v>
      </c>
      <c r="J14" s="2" t="s">
        <v>647</v>
      </c>
      <c r="K14" s="2" t="s">
        <v>121</v>
      </c>
      <c r="L14">
        <v>100</v>
      </c>
    </row>
    <row r="15" spans="1:16" x14ac:dyDescent="0.3">
      <c r="A15" s="2" t="s">
        <v>621</v>
      </c>
      <c r="B15" s="2" t="s">
        <v>627</v>
      </c>
      <c r="C15" s="2" t="s">
        <v>27</v>
      </c>
      <c r="D15" s="2" t="s">
        <v>628</v>
      </c>
      <c r="E15" s="2" t="s">
        <v>39</v>
      </c>
      <c r="F15" s="2" t="s">
        <v>640</v>
      </c>
      <c r="G15">
        <v>0.1</v>
      </c>
      <c r="H15">
        <v>50</v>
      </c>
      <c r="I15" s="2" t="s">
        <v>646</v>
      </c>
      <c r="J15" s="2" t="s">
        <v>647</v>
      </c>
      <c r="K15" s="2" t="s">
        <v>121</v>
      </c>
      <c r="L15">
        <v>150</v>
      </c>
    </row>
    <row r="16" spans="1:16" x14ac:dyDescent="0.3">
      <c r="A16" s="2" t="s">
        <v>622</v>
      </c>
      <c r="B16" s="2" t="s">
        <v>627</v>
      </c>
      <c r="C16" s="2" t="s">
        <v>27</v>
      </c>
      <c r="D16" s="2" t="s">
        <v>628</v>
      </c>
      <c r="E16" s="2" t="s">
        <v>39</v>
      </c>
      <c r="F16" s="2" t="s">
        <v>641</v>
      </c>
      <c r="G16">
        <v>0.1</v>
      </c>
      <c r="H16">
        <v>50</v>
      </c>
      <c r="I16" s="2" t="s">
        <v>646</v>
      </c>
      <c r="J16" s="2" t="s">
        <v>647</v>
      </c>
      <c r="K16" s="2" t="s">
        <v>121</v>
      </c>
      <c r="L16">
        <v>220</v>
      </c>
    </row>
    <row r="17" spans="1:16" x14ac:dyDescent="0.3">
      <c r="A17" s="2" t="s">
        <v>623</v>
      </c>
      <c r="B17" s="2" t="s">
        <v>627</v>
      </c>
      <c r="C17" s="2" t="s">
        <v>27</v>
      </c>
      <c r="D17" s="2" t="s">
        <v>628</v>
      </c>
      <c r="E17" s="2" t="s">
        <v>39</v>
      </c>
      <c r="F17" s="2" t="s">
        <v>642</v>
      </c>
      <c r="G17">
        <v>0.1</v>
      </c>
      <c r="H17">
        <v>50</v>
      </c>
      <c r="I17" s="2" t="s">
        <v>646</v>
      </c>
      <c r="J17" s="2" t="s">
        <v>647</v>
      </c>
      <c r="K17" s="2" t="s">
        <v>121</v>
      </c>
      <c r="L17">
        <v>330</v>
      </c>
    </row>
    <row r="18" spans="1:16" x14ac:dyDescent="0.3">
      <c r="A18" s="2" t="s">
        <v>624</v>
      </c>
      <c r="B18" s="2" t="s">
        <v>627</v>
      </c>
      <c r="C18" s="2" t="s">
        <v>27</v>
      </c>
      <c r="D18" s="2" t="s">
        <v>628</v>
      </c>
      <c r="E18" s="2" t="s">
        <v>39</v>
      </c>
      <c r="F18" s="2" t="s">
        <v>643</v>
      </c>
      <c r="G18">
        <v>0.1</v>
      </c>
      <c r="H18">
        <v>50</v>
      </c>
      <c r="I18" s="2" t="s">
        <v>646</v>
      </c>
      <c r="J18" s="2" t="s">
        <v>647</v>
      </c>
      <c r="K18" s="2" t="s">
        <v>121</v>
      </c>
      <c r="L18">
        <v>470</v>
      </c>
    </row>
    <row r="19" spans="1:16" x14ac:dyDescent="0.3">
      <c r="A19" s="2" t="s">
        <v>625</v>
      </c>
      <c r="B19" s="2" t="s">
        <v>627</v>
      </c>
      <c r="C19" s="2" t="s">
        <v>27</v>
      </c>
      <c r="D19" s="2" t="s">
        <v>628</v>
      </c>
      <c r="E19" s="2" t="s">
        <v>39</v>
      </c>
      <c r="F19" s="2" t="s">
        <v>644</v>
      </c>
      <c r="G19">
        <v>0.1</v>
      </c>
      <c r="H19">
        <v>50</v>
      </c>
      <c r="I19" s="2" t="s">
        <v>646</v>
      </c>
      <c r="J19" s="2" t="s">
        <v>647</v>
      </c>
      <c r="K19" s="2" t="s">
        <v>121</v>
      </c>
      <c r="L19">
        <v>680</v>
      </c>
    </row>
    <row r="20" spans="1:16" x14ac:dyDescent="0.3">
      <c r="A20" s="2" t="s">
        <v>626</v>
      </c>
      <c r="B20" s="2" t="s">
        <v>627</v>
      </c>
      <c r="C20" s="2" t="s">
        <v>27</v>
      </c>
      <c r="D20" s="2" t="s">
        <v>628</v>
      </c>
      <c r="E20" s="2" t="s">
        <v>39</v>
      </c>
      <c r="F20" s="2" t="s">
        <v>645</v>
      </c>
      <c r="G20">
        <v>0.1</v>
      </c>
      <c r="H20">
        <v>50</v>
      </c>
      <c r="I20" s="2" t="s">
        <v>646</v>
      </c>
      <c r="J20" s="2" t="s">
        <v>647</v>
      </c>
      <c r="K20" s="2" t="s">
        <v>121</v>
      </c>
      <c r="L20">
        <v>1000</v>
      </c>
    </row>
    <row r="21" spans="1:16" x14ac:dyDescent="0.3">
      <c r="A21" s="2" t="s">
        <v>736</v>
      </c>
      <c r="B21" t="s">
        <v>732</v>
      </c>
      <c r="C21" s="2" t="s">
        <v>27</v>
      </c>
      <c r="D21" s="2" t="s">
        <v>628</v>
      </c>
      <c r="E21" s="2" t="s">
        <v>39</v>
      </c>
      <c r="F21" s="2" t="s">
        <v>733</v>
      </c>
      <c r="G21">
        <v>20</v>
      </c>
      <c r="H21">
        <v>10</v>
      </c>
      <c r="I21" t="s">
        <v>734</v>
      </c>
      <c r="J21" s="2" t="s">
        <v>735</v>
      </c>
      <c r="K21" t="s">
        <v>731</v>
      </c>
      <c r="L21">
        <v>2200</v>
      </c>
      <c r="M21" s="2" t="s">
        <v>787</v>
      </c>
      <c r="N21" t="s">
        <v>788</v>
      </c>
    </row>
    <row r="22" spans="1:16" x14ac:dyDescent="0.3">
      <c r="A22" t="s">
        <v>742</v>
      </c>
      <c r="B22" t="s">
        <v>743</v>
      </c>
      <c r="C22" s="2" t="s">
        <v>27</v>
      </c>
      <c r="D22" s="2" t="s">
        <v>628</v>
      </c>
      <c r="E22" s="2" t="s">
        <v>39</v>
      </c>
      <c r="F22" s="2" t="s">
        <v>645</v>
      </c>
      <c r="G22">
        <v>20</v>
      </c>
      <c r="H22">
        <v>25</v>
      </c>
      <c r="I22" t="s">
        <v>899</v>
      </c>
      <c r="J22" s="2" t="s">
        <v>744</v>
      </c>
      <c r="K22" t="s">
        <v>745</v>
      </c>
      <c r="L22">
        <v>1000</v>
      </c>
      <c r="P22" t="s">
        <v>1430</v>
      </c>
    </row>
    <row r="23" spans="1:16" x14ac:dyDescent="0.3">
      <c r="A23" t="s">
        <v>900</v>
      </c>
      <c r="B23" t="s">
        <v>743</v>
      </c>
      <c r="C23" s="2" t="s">
        <v>27</v>
      </c>
      <c r="D23" s="2" t="s">
        <v>628</v>
      </c>
      <c r="E23" s="2" t="s">
        <v>39</v>
      </c>
      <c r="F23" s="2" t="s">
        <v>645</v>
      </c>
      <c r="G23">
        <v>20</v>
      </c>
      <c r="H23">
        <v>35</v>
      </c>
      <c r="I23" t="s">
        <v>899</v>
      </c>
      <c r="J23" s="2" t="s">
        <v>898</v>
      </c>
      <c r="K23" t="s">
        <v>897</v>
      </c>
      <c r="L23">
        <v>1000</v>
      </c>
      <c r="P23" t="s">
        <v>1430</v>
      </c>
    </row>
    <row r="24" spans="1:16" x14ac:dyDescent="0.3">
      <c r="A24" t="s">
        <v>923</v>
      </c>
      <c r="B24" t="s">
        <v>924</v>
      </c>
      <c r="C24" s="2" t="s">
        <v>27</v>
      </c>
      <c r="D24" s="2" t="s">
        <v>628</v>
      </c>
      <c r="E24" s="2" t="s">
        <v>39</v>
      </c>
      <c r="F24" t="s">
        <v>925</v>
      </c>
      <c r="G24">
        <v>20</v>
      </c>
      <c r="H24">
        <v>400</v>
      </c>
      <c r="I24" t="s">
        <v>734</v>
      </c>
      <c r="J24" s="2" t="s">
        <v>929</v>
      </c>
      <c r="K24" t="s">
        <v>930</v>
      </c>
      <c r="L24">
        <v>3.3</v>
      </c>
      <c r="M24" s="2" t="s">
        <v>928</v>
      </c>
      <c r="N24" t="s">
        <v>927</v>
      </c>
      <c r="P24" t="s">
        <v>1430</v>
      </c>
    </row>
    <row r="25" spans="1:16" x14ac:dyDescent="0.3">
      <c r="A25" t="s">
        <v>971</v>
      </c>
      <c r="B25" t="s">
        <v>972</v>
      </c>
      <c r="C25" s="2" t="s">
        <v>27</v>
      </c>
      <c r="D25" s="2" t="s">
        <v>628</v>
      </c>
      <c r="E25" s="2" t="s">
        <v>39</v>
      </c>
      <c r="F25" t="s">
        <v>973</v>
      </c>
      <c r="G25">
        <v>20</v>
      </c>
      <c r="H25">
        <v>400</v>
      </c>
      <c r="I25" t="s">
        <v>734</v>
      </c>
      <c r="J25" s="2" t="s">
        <v>975</v>
      </c>
      <c r="K25" t="s">
        <v>974</v>
      </c>
      <c r="L25">
        <v>2700</v>
      </c>
      <c r="P25" t="s">
        <v>1430</v>
      </c>
    </row>
    <row r="26" spans="1:16" x14ac:dyDescent="0.3">
      <c r="A26" t="s">
        <v>1139</v>
      </c>
      <c r="B26" t="s">
        <v>743</v>
      </c>
      <c r="C26" t="s">
        <v>27</v>
      </c>
      <c r="D26" t="s">
        <v>628</v>
      </c>
      <c r="E26" t="s">
        <v>39</v>
      </c>
      <c r="F26" t="s">
        <v>642</v>
      </c>
      <c r="G26">
        <v>20</v>
      </c>
      <c r="H26">
        <v>35</v>
      </c>
      <c r="I26" t="s">
        <v>899</v>
      </c>
      <c r="J26" t="s">
        <v>1140</v>
      </c>
      <c r="K26" t="s">
        <v>1141</v>
      </c>
      <c r="L26">
        <v>330</v>
      </c>
    </row>
    <row r="27" spans="1:16" x14ac:dyDescent="0.3">
      <c r="A27" t="s">
        <v>1142</v>
      </c>
      <c r="B27" t="s">
        <v>1143</v>
      </c>
      <c r="C27" t="s">
        <v>27</v>
      </c>
      <c r="D27" t="s">
        <v>628</v>
      </c>
      <c r="E27" t="s">
        <v>39</v>
      </c>
      <c r="F27" t="s">
        <v>639</v>
      </c>
      <c r="G27">
        <v>20</v>
      </c>
      <c r="H27">
        <v>35</v>
      </c>
      <c r="I27" t="s">
        <v>899</v>
      </c>
      <c r="J27" t="s">
        <v>1144</v>
      </c>
      <c r="K27" t="s">
        <v>1145</v>
      </c>
      <c r="L27">
        <v>100</v>
      </c>
    </row>
    <row r="28" spans="1:16" x14ac:dyDescent="0.3">
      <c r="A28" t="s">
        <v>1433</v>
      </c>
      <c r="B28" t="s">
        <v>1434</v>
      </c>
      <c r="D28" t="s">
        <v>628</v>
      </c>
      <c r="E28" t="s">
        <v>39</v>
      </c>
      <c r="F28" t="s">
        <v>643</v>
      </c>
      <c r="G28">
        <v>20</v>
      </c>
      <c r="H28">
        <v>16</v>
      </c>
      <c r="I28" t="s">
        <v>899</v>
      </c>
      <c r="J28" t="s">
        <v>1140</v>
      </c>
      <c r="K28" t="s">
        <v>1141</v>
      </c>
      <c r="L28">
        <v>470</v>
      </c>
      <c r="O28" t="s">
        <v>1435</v>
      </c>
      <c r="P28" t="s">
        <v>1430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topLeftCell="G1" zoomScaleNormal="100" workbookViewId="0">
      <selection activeCell="O1" sqref="O1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662</v>
      </c>
      <c r="O1" s="1" t="s">
        <v>1463</v>
      </c>
      <c r="P1" s="1" t="s">
        <v>25</v>
      </c>
      <c r="Q1" s="1" t="s">
        <v>956</v>
      </c>
      <c r="R1" s="49" t="s">
        <v>1429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335</v>
      </c>
      <c r="B3" s="2" t="s">
        <v>336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337</v>
      </c>
      <c r="H3" s="2"/>
      <c r="I3" s="2"/>
      <c r="J3" s="2"/>
      <c r="K3" s="2"/>
      <c r="L3" s="2"/>
      <c r="M3" s="2"/>
      <c r="N3" s="18">
        <v>33</v>
      </c>
      <c r="O3" s="2" t="s">
        <v>1474</v>
      </c>
      <c r="P3" s="2" t="str">
        <f t="shared" ref="P3:P13" si="2">CONCATENATE(N3, " мк")</f>
        <v>33 мк</v>
      </c>
    </row>
    <row r="4" spans="1:18" x14ac:dyDescent="0.3">
      <c r="A4" s="2" t="s">
        <v>661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663</v>
      </c>
      <c r="H4" s="2"/>
      <c r="I4" s="2"/>
      <c r="J4" s="2"/>
      <c r="K4" s="2"/>
      <c r="L4" s="2"/>
      <c r="M4" s="2"/>
      <c r="N4" s="18">
        <v>68</v>
      </c>
      <c r="O4" s="2" t="s">
        <v>1475</v>
      </c>
      <c r="P4" s="2" t="str">
        <f t="shared" si="2"/>
        <v>68 мк</v>
      </c>
    </row>
    <row r="5" spans="1:18" x14ac:dyDescent="0.3">
      <c r="A5" t="s">
        <v>693</v>
      </c>
      <c r="B5" t="s">
        <v>694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695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1476</v>
      </c>
      <c r="P5" t="str">
        <f t="shared" si="2"/>
        <v>4,7 мк</v>
      </c>
    </row>
    <row r="6" spans="1:18" x14ac:dyDescent="0.3">
      <c r="A6" t="s">
        <v>720</v>
      </c>
      <c r="B6" t="s">
        <v>721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1466</v>
      </c>
      <c r="P6" t="str">
        <f t="shared" si="2"/>
        <v>22 мк</v>
      </c>
    </row>
    <row r="7" spans="1:18" x14ac:dyDescent="0.3">
      <c r="A7" t="s">
        <v>777</v>
      </c>
      <c r="B7" t="s">
        <v>859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778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1477</v>
      </c>
      <c r="P7" t="str">
        <f t="shared" si="2"/>
        <v>22 мк</v>
      </c>
    </row>
    <row r="8" spans="1:18" x14ac:dyDescent="0.3">
      <c r="A8" t="s">
        <v>860</v>
      </c>
      <c r="B8" t="s">
        <v>858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1478</v>
      </c>
      <c r="P8" t="str">
        <f t="shared" si="2"/>
        <v>0,33 мк</v>
      </c>
    </row>
    <row r="9" spans="1:18" x14ac:dyDescent="0.3">
      <c r="A9" t="s">
        <v>867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1479</v>
      </c>
      <c r="P9" s="2" t="str">
        <f t="shared" si="2"/>
        <v>68 мк</v>
      </c>
    </row>
    <row r="10" spans="1:18" x14ac:dyDescent="0.3">
      <c r="A10" t="s">
        <v>870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1477</v>
      </c>
      <c r="P10" s="2" t="str">
        <f t="shared" si="2"/>
        <v>12 мк</v>
      </c>
    </row>
    <row r="11" spans="1:18" x14ac:dyDescent="0.3">
      <c r="A11" t="s">
        <v>906</v>
      </c>
      <c r="B11" t="s">
        <v>907</v>
      </c>
      <c r="C11" t="s">
        <v>949</v>
      </c>
      <c r="D11" s="2" t="s">
        <v>908</v>
      </c>
      <c r="E11" s="2" t="s">
        <v>906</v>
      </c>
      <c r="F11" s="2" t="str">
        <f t="shared" si="12"/>
        <v>Footprints\Inductance\M20VN.PcbLib</v>
      </c>
      <c r="G11" s="2" t="s">
        <v>906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1478</v>
      </c>
      <c r="P11" t="s">
        <v>909</v>
      </c>
      <c r="R11" t="s">
        <v>1430</v>
      </c>
    </row>
    <row r="12" spans="1:18" x14ac:dyDescent="0.3">
      <c r="A12" t="s">
        <v>920</v>
      </c>
      <c r="B12" t="s">
        <v>921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1480</v>
      </c>
      <c r="P12" s="2" t="str">
        <f t="shared" si="2"/>
        <v>47 мк</v>
      </c>
    </row>
    <row r="13" spans="1:18" x14ac:dyDescent="0.3">
      <c r="A13" t="s">
        <v>922</v>
      </c>
      <c r="B13" t="s">
        <v>926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1480</v>
      </c>
      <c r="P13" s="2" t="str">
        <f t="shared" si="2"/>
        <v>100 мк</v>
      </c>
    </row>
    <row r="14" spans="1:18" x14ac:dyDescent="0.3">
      <c r="A14" t="s">
        <v>942</v>
      </c>
      <c r="B14" t="s">
        <v>944</v>
      </c>
      <c r="C14" t="str">
        <f t="shared" si="11"/>
        <v>HV_trans</v>
      </c>
      <c r="D14" s="2" t="s">
        <v>943</v>
      </c>
      <c r="E14" s="2" t="s">
        <v>942</v>
      </c>
      <c r="F14" s="2" t="str">
        <f t="shared" si="12"/>
        <v>Footprints\Inductance\EE16_transformer.PcbLib</v>
      </c>
      <c r="G14" s="2" t="s">
        <v>945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1481</v>
      </c>
      <c r="P14">
        <f>N14</f>
        <v>0</v>
      </c>
      <c r="R14" t="s">
        <v>1430</v>
      </c>
    </row>
    <row r="15" spans="1:18" x14ac:dyDescent="0.3">
      <c r="A15" t="s">
        <v>1092</v>
      </c>
      <c r="B15" t="s">
        <v>1093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1121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1482</v>
      </c>
      <c r="P15" t="s">
        <v>634</v>
      </c>
    </row>
    <row r="16" spans="1:18" x14ac:dyDescent="0.3">
      <c r="A16" t="s">
        <v>1146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1483</v>
      </c>
      <c r="P16" t="s">
        <v>599</v>
      </c>
    </row>
    <row r="17" spans="1:18" x14ac:dyDescent="0.3">
      <c r="A17" t="s">
        <v>1147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1484</v>
      </c>
      <c r="P17" t="s">
        <v>642</v>
      </c>
    </row>
    <row r="18" spans="1:18" x14ac:dyDescent="0.3">
      <c r="A18" t="s">
        <v>1176</v>
      </c>
      <c r="B18" t="s">
        <v>1177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1485</v>
      </c>
      <c r="P18" t="s">
        <v>634</v>
      </c>
    </row>
    <row r="19" spans="1:18" x14ac:dyDescent="0.3">
      <c r="A19" t="s">
        <v>1394</v>
      </c>
      <c r="B19" t="s">
        <v>1395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778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1486</v>
      </c>
      <c r="P19" t="str">
        <f t="shared" ref="P19:P20" si="19">CONCATENATE(N19, " мк")</f>
        <v>4,7 мк</v>
      </c>
      <c r="R19" t="s">
        <v>1430</v>
      </c>
    </row>
    <row r="20" spans="1:18" x14ac:dyDescent="0.3">
      <c r="A20" t="s">
        <v>1396</v>
      </c>
      <c r="B20" t="s">
        <v>1397</v>
      </c>
      <c r="C20" t="str">
        <f>A20</f>
        <v>CDRH6D12NP-2R2NC</v>
      </c>
      <c r="D20" s="2" t="s">
        <v>1398</v>
      </c>
      <c r="E20" s="2" t="s">
        <v>1399</v>
      </c>
      <c r="F20" s="2" t="str">
        <f>CONCATENATE("Footprints\Inductance\",G20,".PcbLib")</f>
        <v>Footprints\Inductance\CDRH6D12.PcbLib</v>
      </c>
      <c r="G20" s="2" t="s">
        <v>1400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1486</v>
      </c>
      <c r="P20" t="str">
        <f t="shared" si="19"/>
        <v>2,2 мк</v>
      </c>
      <c r="R20" t="s">
        <v>1430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1463</v>
      </c>
      <c r="L1" s="1" t="s">
        <v>956</v>
      </c>
      <c r="M1" s="49" t="s">
        <v>1429</v>
      </c>
      <c r="N1" s="17"/>
      <c r="O1" s="1"/>
      <c r="P1" s="1"/>
      <c r="Q1" s="1"/>
    </row>
    <row r="2" spans="1:17" ht="15.6" x14ac:dyDescent="0.3">
      <c r="A2" s="21" t="s">
        <v>931</v>
      </c>
      <c r="B2" s="22" t="s">
        <v>932</v>
      </c>
      <c r="C2" s="20" t="str">
        <f>A2</f>
        <v>TS820-600B-TR</v>
      </c>
      <c r="D2" s="22" t="s">
        <v>934</v>
      </c>
      <c r="E2" s="22" t="s">
        <v>933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935</v>
      </c>
      <c r="K2" s="26" t="s">
        <v>936</v>
      </c>
      <c r="L2" s="26"/>
      <c r="M2" s="2" t="s">
        <v>1430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opLeftCell="B3" zoomScaleNormal="100" workbookViewId="0">
      <selection activeCell="B14" sqref="B14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956</v>
      </c>
      <c r="N1" s="49" t="s">
        <v>1429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1011</v>
      </c>
      <c r="I3" s="2" t="s">
        <v>1010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1431</v>
      </c>
      <c r="G5" s="2" t="s">
        <v>64</v>
      </c>
      <c r="H5" s="2"/>
      <c r="I5" s="2"/>
      <c r="J5" s="2"/>
      <c r="K5" s="2"/>
    </row>
    <row r="6" spans="1:20" x14ac:dyDescent="0.3">
      <c r="A6" s="2" t="s">
        <v>369</v>
      </c>
      <c r="B6" s="2" t="s">
        <v>371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370</v>
      </c>
      <c r="H6" s="2" t="str">
        <f t="shared" si="0"/>
        <v>Footprints\1206SB.PcbLib</v>
      </c>
      <c r="I6" s="2" t="s">
        <v>824</v>
      </c>
      <c r="J6" s="2" t="str">
        <f t="shared" ref="J6" si="1">CONCATENATE("Footprints\",K6,".PcbLib")</f>
        <v>Footprints\0805SB_wide_gap.PcbLib</v>
      </c>
      <c r="K6" s="2" t="s">
        <v>872</v>
      </c>
      <c r="N6" t="s">
        <v>1430</v>
      </c>
    </row>
    <row r="7" spans="1:20" x14ac:dyDescent="0.3">
      <c r="A7" s="2" t="s">
        <v>704</v>
      </c>
      <c r="B7" s="2" t="s">
        <v>705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706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1430</v>
      </c>
    </row>
    <row r="8" spans="1:20" x14ac:dyDescent="0.3">
      <c r="A8" s="2" t="s">
        <v>728</v>
      </c>
      <c r="B8" s="2" t="s">
        <v>727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706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1430</v>
      </c>
    </row>
    <row r="9" spans="1:20" x14ac:dyDescent="0.3">
      <c r="A9" s="2" t="s">
        <v>740</v>
      </c>
      <c r="B9" s="2" t="s">
        <v>738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739</v>
      </c>
      <c r="F9" s="2" t="str">
        <f t="shared" si="0"/>
        <v>Footprints\fuse_20x5_on_clips_FC-M.PcbLib</v>
      </c>
      <c r="G9" s="2" t="s">
        <v>737</v>
      </c>
      <c r="H9" s="2"/>
      <c r="I9" s="2"/>
      <c r="J9" s="2"/>
      <c r="K9" s="2"/>
      <c r="N9" t="s">
        <v>1430</v>
      </c>
    </row>
    <row r="10" spans="1:20" x14ac:dyDescent="0.3">
      <c r="A10" s="2" t="s">
        <v>782</v>
      </c>
      <c r="B10" s="2" t="s">
        <v>783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782</v>
      </c>
      <c r="H10" s="2"/>
      <c r="I10" s="2"/>
      <c r="J10" s="2"/>
      <c r="K10" s="2"/>
      <c r="N10" t="s">
        <v>1430</v>
      </c>
    </row>
    <row r="11" spans="1:20" x14ac:dyDescent="0.3">
      <c r="A11" s="2" t="s">
        <v>813</v>
      </c>
      <c r="B11" s="2" t="s">
        <v>814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813</v>
      </c>
      <c r="H11" s="2"/>
      <c r="I11" s="2"/>
      <c r="J11" s="2"/>
      <c r="K11" s="2"/>
      <c r="N11" t="s">
        <v>1430</v>
      </c>
    </row>
    <row r="12" spans="1:20" x14ac:dyDescent="0.3">
      <c r="A12" s="2" t="s">
        <v>861</v>
      </c>
      <c r="B12" s="2" t="s">
        <v>862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813</v>
      </c>
      <c r="F12" s="2" t="str">
        <f t="shared" ref="F12" si="4">CONCATENATE("Footprints\",G12,".PcbLib")</f>
        <v>Footprints\cooler3030.PcbLib</v>
      </c>
      <c r="G12" s="2" t="s">
        <v>861</v>
      </c>
      <c r="H12" s="2"/>
      <c r="I12" s="2"/>
      <c r="J12" s="2"/>
      <c r="K12" s="2"/>
      <c r="N12" t="s">
        <v>1430</v>
      </c>
    </row>
    <row r="13" spans="1:20" x14ac:dyDescent="0.3">
      <c r="A13" s="2" t="s">
        <v>983</v>
      </c>
      <c r="B13" s="2" t="s">
        <v>985</v>
      </c>
      <c r="C13" s="2" t="s">
        <v>984</v>
      </c>
      <c r="D13" t="s">
        <v>986</v>
      </c>
      <c r="E13" s="2" t="s">
        <v>987</v>
      </c>
      <c r="F13" s="2" t="s">
        <v>982</v>
      </c>
      <c r="G13" s="2" t="s">
        <v>981</v>
      </c>
      <c r="H13" s="2"/>
      <c r="I13" s="2"/>
      <c r="J13" s="2"/>
      <c r="K13" s="2"/>
      <c r="M13" s="23" t="s">
        <v>988</v>
      </c>
      <c r="N13" t="s">
        <v>1430</v>
      </c>
    </row>
    <row r="14" spans="1:20" x14ac:dyDescent="0.3">
      <c r="A14" t="s">
        <v>989</v>
      </c>
      <c r="B14" t="s">
        <v>991</v>
      </c>
      <c r="C14" t="s">
        <v>990</v>
      </c>
      <c r="D14" t="s">
        <v>986</v>
      </c>
      <c r="E14" s="2" t="s">
        <v>987</v>
      </c>
      <c r="F14" s="2" t="str">
        <f t="shared" ref="F14:F15" si="5">CONCATENATE("Footprints\",G14,".PcbLib")</f>
        <v>Footprints\spacer_m2.5_h16.PcbLib</v>
      </c>
      <c r="G14" t="s">
        <v>989</v>
      </c>
      <c r="J14" t="str">
        <f>CONCATENATE("Footprints\",K14,".PcbLib")</f>
        <v>Footprints\.PcbLib</v>
      </c>
      <c r="N14" t="s">
        <v>1430</v>
      </c>
    </row>
    <row r="15" spans="1:20" x14ac:dyDescent="0.3">
      <c r="A15" t="s">
        <v>1012</v>
      </c>
      <c r="B15" t="s">
        <v>1013</v>
      </c>
      <c r="C15" t="str">
        <f>A15</f>
        <v>CR2032-VAY3-15.2</v>
      </c>
      <c r="D15" t="s">
        <v>1014</v>
      </c>
      <c r="E15" t="s">
        <v>1015</v>
      </c>
      <c r="F15" s="2" t="str">
        <f t="shared" si="5"/>
        <v>Footprints\CR2032-VAY3-15.2.PcbLib</v>
      </c>
      <c r="G15" t="s">
        <v>1012</v>
      </c>
      <c r="J15" t="str">
        <f>CONCATENATE("Footprints\",K15,".PcbLib")</f>
        <v>Footprints\.PcbLib</v>
      </c>
      <c r="N15" t="s">
        <v>1430</v>
      </c>
    </row>
    <row r="16" spans="1:20" x14ac:dyDescent="0.3">
      <c r="A16" t="s">
        <v>1040</v>
      </c>
      <c r="B16" t="s">
        <v>1041</v>
      </c>
      <c r="C16" t="s">
        <v>1042</v>
      </c>
      <c r="D16" t="str">
        <f t="shared" ref="D16" si="6">CONCATENATE("Schematic\",A16,".SchLib")</f>
        <v>Schematic\4WayDIP.SchLib</v>
      </c>
      <c r="E16" t="s">
        <v>1043</v>
      </c>
      <c r="F16" t="s">
        <v>1044</v>
      </c>
      <c r="G16" t="s">
        <v>1045</v>
      </c>
      <c r="J16" t="str">
        <f t="shared" ref="J16" si="7">CONCATENATE("Footprints\",K16,".PcbLib")</f>
        <v>Footprints\.PcbLib</v>
      </c>
    </row>
    <row r="17" spans="1:14" x14ac:dyDescent="0.3">
      <c r="A17" t="s">
        <v>1375</v>
      </c>
      <c r="B17" t="s">
        <v>1376</v>
      </c>
      <c r="C17" t="str">
        <f>A17</f>
        <v>Button_DIP_12x12</v>
      </c>
      <c r="D17" t="s">
        <v>1377</v>
      </c>
      <c r="E17" s="2" t="s">
        <v>54</v>
      </c>
      <c r="F17" t="s">
        <v>1378</v>
      </c>
      <c r="G17" t="s">
        <v>1375</v>
      </c>
      <c r="J17" t="str">
        <f>CONCATENATE("Footprints\",K17,".PcbLib")</f>
        <v>Footprints\.PcbLib</v>
      </c>
    </row>
    <row r="18" spans="1:14" x14ac:dyDescent="0.3">
      <c r="A18" t="s">
        <v>1413</v>
      </c>
      <c r="B18" t="s">
        <v>1414</v>
      </c>
      <c r="C18" t="str">
        <f>A18</f>
        <v>X322525MOB4SI</v>
      </c>
      <c r="D18" t="str">
        <f>CONCATENATE("Schematic\",E18,".SchLib")</f>
        <v>Schematic\XTAL_1-3_GND.SchLib</v>
      </c>
      <c r="E18" t="s">
        <v>1410</v>
      </c>
      <c r="F18" t="s">
        <v>1415</v>
      </c>
      <c r="G18" t="s">
        <v>1413</v>
      </c>
      <c r="J18" t="str">
        <f>CONCATENATE("Footprints\",K18,".PcbLib")</f>
        <v>Footprints\.PcbLib</v>
      </c>
      <c r="L18" t="s">
        <v>1411</v>
      </c>
      <c r="M18" t="s">
        <v>1412</v>
      </c>
      <c r="N18" t="s">
        <v>1430</v>
      </c>
    </row>
    <row r="19" spans="1:14" x14ac:dyDescent="0.3">
      <c r="A19" s="2" t="s">
        <v>1437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1437</v>
      </c>
      <c r="H19" s="2"/>
      <c r="I19" s="2"/>
      <c r="J19" s="2"/>
      <c r="K19" s="2"/>
      <c r="M19" t="s">
        <v>1454</v>
      </c>
      <c r="N19" t="s">
        <v>1455</v>
      </c>
    </row>
    <row r="20" spans="1:14" x14ac:dyDescent="0.3">
      <c r="A20" t="s">
        <v>1456</v>
      </c>
      <c r="B20" s="2" t="s">
        <v>1457</v>
      </c>
      <c r="C20" s="2" t="str">
        <f>A20</f>
        <v>SMT-NUT-M2H1.5</v>
      </c>
      <c r="D20" t="s">
        <v>986</v>
      </c>
      <c r="E20" s="2" t="s">
        <v>987</v>
      </c>
      <c r="F20" s="2" t="s">
        <v>982</v>
      </c>
      <c r="G20">
        <v>9774015151</v>
      </c>
      <c r="M20" s="23" t="s">
        <v>988</v>
      </c>
      <c r="N20" t="s">
        <v>1455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abSelected="1" topLeftCell="D35" zoomScaleNormal="100" workbookViewId="0">
      <selection activeCell="F48" sqref="F48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956</v>
      </c>
      <c r="K1" s="1" t="s">
        <v>979</v>
      </c>
      <c r="L1" s="49" t="s">
        <v>1429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345</v>
      </c>
      <c r="E2" s="2" t="s">
        <v>111</v>
      </c>
      <c r="F2" t="s">
        <v>346</v>
      </c>
      <c r="G2" s="2" t="s">
        <v>65</v>
      </c>
      <c r="K2" t="s">
        <v>980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347</v>
      </c>
      <c r="E3" s="2" t="s">
        <v>112</v>
      </c>
      <c r="F3" t="s">
        <v>348</v>
      </c>
      <c r="G3" s="2" t="s">
        <v>67</v>
      </c>
      <c r="K3" t="s">
        <v>980</v>
      </c>
    </row>
    <row r="4" spans="1:12" x14ac:dyDescent="0.3">
      <c r="A4" t="s">
        <v>882</v>
      </c>
      <c r="B4" t="s">
        <v>108</v>
      </c>
      <c r="C4" s="2" t="s">
        <v>882</v>
      </c>
      <c r="D4" t="s">
        <v>349</v>
      </c>
      <c r="E4" s="2" t="s">
        <v>113</v>
      </c>
      <c r="F4" t="s">
        <v>950</v>
      </c>
      <c r="G4" t="s">
        <v>107</v>
      </c>
      <c r="K4" t="s">
        <v>980</v>
      </c>
      <c r="L4" t="s">
        <v>1455</v>
      </c>
    </row>
    <row r="5" spans="1:12" x14ac:dyDescent="0.3">
      <c r="A5" t="s">
        <v>109</v>
      </c>
      <c r="B5" t="s">
        <v>110</v>
      </c>
      <c r="C5" s="2" t="s">
        <v>109</v>
      </c>
      <c r="D5" t="s">
        <v>350</v>
      </c>
      <c r="E5" s="2" t="s">
        <v>114</v>
      </c>
      <c r="F5" t="s">
        <v>351</v>
      </c>
      <c r="G5" t="s">
        <v>109</v>
      </c>
      <c r="K5" t="s">
        <v>980</v>
      </c>
      <c r="L5" t="s">
        <v>1455</v>
      </c>
    </row>
    <row r="6" spans="1:12" x14ac:dyDescent="0.3">
      <c r="A6" t="s">
        <v>115</v>
      </c>
      <c r="B6" t="s">
        <v>116</v>
      </c>
      <c r="C6" s="2" t="s">
        <v>115</v>
      </c>
      <c r="D6" t="s">
        <v>352</v>
      </c>
      <c r="E6" s="2" t="s">
        <v>117</v>
      </c>
      <c r="F6" t="s">
        <v>353</v>
      </c>
      <c r="G6" t="s">
        <v>115</v>
      </c>
      <c r="H6" t="s">
        <v>358</v>
      </c>
      <c r="I6" t="s">
        <v>334</v>
      </c>
      <c r="K6" t="s">
        <v>980</v>
      </c>
    </row>
    <row r="7" spans="1:12" x14ac:dyDescent="0.3">
      <c r="A7" t="s">
        <v>847</v>
      </c>
      <c r="B7" t="s">
        <v>118</v>
      </c>
      <c r="C7" s="2" t="s">
        <v>847</v>
      </c>
      <c r="D7" t="s">
        <v>660</v>
      </c>
      <c r="E7" s="2" t="s">
        <v>658</v>
      </c>
      <c r="F7" t="s">
        <v>848</v>
      </c>
      <c r="G7" t="s">
        <v>847</v>
      </c>
      <c r="K7" t="s">
        <v>980</v>
      </c>
      <c r="L7" t="s">
        <v>1430</v>
      </c>
    </row>
    <row r="8" spans="1:12" x14ac:dyDescent="0.3">
      <c r="A8" t="s">
        <v>331</v>
      </c>
      <c r="B8" t="s">
        <v>332</v>
      </c>
      <c r="C8" s="2" t="s">
        <v>331</v>
      </c>
      <c r="D8" t="s">
        <v>354</v>
      </c>
      <c r="E8" t="s">
        <v>119</v>
      </c>
      <c r="F8" t="s">
        <v>355</v>
      </c>
      <c r="G8" t="s">
        <v>331</v>
      </c>
      <c r="H8" t="s">
        <v>368</v>
      </c>
      <c r="I8" t="s">
        <v>356</v>
      </c>
      <c r="K8" t="s">
        <v>980</v>
      </c>
    </row>
    <row r="9" spans="1:12" x14ac:dyDescent="0.3">
      <c r="A9" t="s">
        <v>333</v>
      </c>
      <c r="B9" t="s">
        <v>657</v>
      </c>
      <c r="C9" s="2" t="s">
        <v>333</v>
      </c>
      <c r="D9" t="s">
        <v>846</v>
      </c>
      <c r="E9" t="s">
        <v>845</v>
      </c>
      <c r="F9" t="s">
        <v>357</v>
      </c>
      <c r="G9" t="s">
        <v>333</v>
      </c>
      <c r="K9" t="s">
        <v>980</v>
      </c>
      <c r="L9" t="s">
        <v>1430</v>
      </c>
    </row>
    <row r="10" spans="1:12" x14ac:dyDescent="0.3">
      <c r="A10" t="s">
        <v>343</v>
      </c>
      <c r="B10" t="s">
        <v>344</v>
      </c>
      <c r="C10" s="2" t="s">
        <v>343</v>
      </c>
      <c r="D10" t="s">
        <v>354</v>
      </c>
      <c r="E10" t="s">
        <v>119</v>
      </c>
      <c r="F10" t="s">
        <v>359</v>
      </c>
      <c r="G10" t="s">
        <v>343</v>
      </c>
      <c r="K10" t="s">
        <v>980</v>
      </c>
    </row>
    <row r="11" spans="1:12" x14ac:dyDescent="0.3">
      <c r="A11" t="s">
        <v>360</v>
      </c>
      <c r="B11" t="s">
        <v>361</v>
      </c>
      <c r="C11" s="2" t="s">
        <v>360</v>
      </c>
      <c r="D11" t="s">
        <v>362</v>
      </c>
      <c r="E11" t="s">
        <v>363</v>
      </c>
      <c r="F11" t="s">
        <v>364</v>
      </c>
      <c r="G11" t="s">
        <v>360</v>
      </c>
      <c r="K11" t="s">
        <v>980</v>
      </c>
      <c r="L11" t="s">
        <v>1430</v>
      </c>
    </row>
    <row r="12" spans="1:12" x14ac:dyDescent="0.3">
      <c r="A12" t="s">
        <v>365</v>
      </c>
      <c r="B12" t="s">
        <v>366</v>
      </c>
      <c r="C12" s="2" t="s">
        <v>365</v>
      </c>
      <c r="D12" t="s">
        <v>362</v>
      </c>
      <c r="E12" t="s">
        <v>363</v>
      </c>
      <c r="F12" t="s">
        <v>367</v>
      </c>
      <c r="G12" t="s">
        <v>365</v>
      </c>
      <c r="K12" t="s">
        <v>980</v>
      </c>
      <c r="L12" t="s">
        <v>1430</v>
      </c>
    </row>
    <row r="13" spans="1:12" x14ac:dyDescent="0.3">
      <c r="A13" t="s">
        <v>655</v>
      </c>
      <c r="B13" t="s">
        <v>656</v>
      </c>
      <c r="C13" s="2"/>
      <c r="D13" t="s">
        <v>660</v>
      </c>
      <c r="E13" t="s">
        <v>658</v>
      </c>
      <c r="F13" t="s">
        <v>659</v>
      </c>
      <c r="G13" t="s">
        <v>655</v>
      </c>
      <c r="K13" t="s">
        <v>980</v>
      </c>
    </row>
    <row r="14" spans="1:12" x14ac:dyDescent="0.3">
      <c r="A14" t="s">
        <v>685</v>
      </c>
      <c r="B14" t="s">
        <v>686</v>
      </c>
      <c r="C14" s="2" t="s">
        <v>687</v>
      </c>
      <c r="D14" t="s">
        <v>688</v>
      </c>
      <c r="E14" t="s">
        <v>687</v>
      </c>
      <c r="F14" t="s">
        <v>689</v>
      </c>
      <c r="G14" t="s">
        <v>687</v>
      </c>
      <c r="K14" t="s">
        <v>980</v>
      </c>
    </row>
    <row r="15" spans="1:12" x14ac:dyDescent="0.3">
      <c r="A15" t="s">
        <v>754</v>
      </c>
      <c r="B15" t="s">
        <v>757</v>
      </c>
      <c r="C15" s="2" t="s">
        <v>754</v>
      </c>
      <c r="D15" t="s">
        <v>755</v>
      </c>
      <c r="E15" t="s">
        <v>754</v>
      </c>
      <c r="F15" t="s">
        <v>756</v>
      </c>
      <c r="G15" t="s">
        <v>754</v>
      </c>
      <c r="K15" t="s">
        <v>980</v>
      </c>
    </row>
    <row r="16" spans="1:12" x14ac:dyDescent="0.3">
      <c r="A16" t="s">
        <v>799</v>
      </c>
      <c r="B16" t="s">
        <v>807</v>
      </c>
      <c r="C16" s="2" t="s">
        <v>800</v>
      </c>
      <c r="D16" t="s">
        <v>801</v>
      </c>
      <c r="E16" t="s">
        <v>799</v>
      </c>
      <c r="F16" t="s">
        <v>802</v>
      </c>
      <c r="G16" t="s">
        <v>799</v>
      </c>
      <c r="K16" t="s">
        <v>980</v>
      </c>
      <c r="L16" t="s">
        <v>1430</v>
      </c>
    </row>
    <row r="17" spans="1:12" x14ac:dyDescent="0.3">
      <c r="A17" t="s">
        <v>803</v>
      </c>
      <c r="B17" t="s">
        <v>806</v>
      </c>
      <c r="C17" s="2" t="s">
        <v>804</v>
      </c>
      <c r="D17" t="s">
        <v>805</v>
      </c>
      <c r="E17" t="s">
        <v>803</v>
      </c>
      <c r="F17" t="s">
        <v>808</v>
      </c>
      <c r="G17" t="s">
        <v>809</v>
      </c>
      <c r="K17" t="s">
        <v>980</v>
      </c>
      <c r="L17" t="s">
        <v>1430</v>
      </c>
    </row>
    <row r="18" spans="1:12" x14ac:dyDescent="0.3">
      <c r="A18" t="s">
        <v>810</v>
      </c>
      <c r="B18" t="s">
        <v>811</v>
      </c>
      <c r="C18" s="2" t="s">
        <v>810</v>
      </c>
      <c r="D18" t="s">
        <v>345</v>
      </c>
      <c r="E18" t="s">
        <v>111</v>
      </c>
      <c r="F18" t="s">
        <v>812</v>
      </c>
      <c r="G18" t="s">
        <v>810</v>
      </c>
      <c r="K18" t="s">
        <v>980</v>
      </c>
      <c r="L18" t="s">
        <v>1430</v>
      </c>
    </row>
    <row r="19" spans="1:12" x14ac:dyDescent="0.3">
      <c r="A19" t="s">
        <v>815</v>
      </c>
      <c r="B19" t="s">
        <v>819</v>
      </c>
      <c r="C19" s="2" t="s">
        <v>816</v>
      </c>
      <c r="D19" t="s">
        <v>817</v>
      </c>
      <c r="E19" t="s">
        <v>815</v>
      </c>
      <c r="F19" t="s">
        <v>818</v>
      </c>
      <c r="G19" t="s">
        <v>815</v>
      </c>
      <c r="K19" t="s">
        <v>980</v>
      </c>
      <c r="L19" t="s">
        <v>1430</v>
      </c>
    </row>
    <row r="20" spans="1:12" x14ac:dyDescent="0.3">
      <c r="A20" t="s">
        <v>822</v>
      </c>
      <c r="B20" t="s">
        <v>806</v>
      </c>
      <c r="C20" s="2" t="s">
        <v>823</v>
      </c>
      <c r="D20" t="s">
        <v>805</v>
      </c>
      <c r="E20" t="s">
        <v>803</v>
      </c>
      <c r="F20" t="s">
        <v>821</v>
      </c>
      <c r="G20" t="s">
        <v>820</v>
      </c>
      <c r="K20" t="s">
        <v>980</v>
      </c>
      <c r="L20" t="s">
        <v>1430</v>
      </c>
    </row>
    <row r="21" spans="1:12" x14ac:dyDescent="0.3">
      <c r="A21" t="s">
        <v>825</v>
      </c>
      <c r="B21" t="s">
        <v>829</v>
      </c>
      <c r="C21" s="2" t="s">
        <v>825</v>
      </c>
      <c r="D21" t="s">
        <v>352</v>
      </c>
      <c r="E21" t="s">
        <v>117</v>
      </c>
      <c r="F21" t="s">
        <v>826</v>
      </c>
      <c r="G21" t="s">
        <v>825</v>
      </c>
      <c r="K21" t="s">
        <v>980</v>
      </c>
      <c r="L21" t="s">
        <v>1430</v>
      </c>
    </row>
    <row r="22" spans="1:12" x14ac:dyDescent="0.3">
      <c r="A22" t="s">
        <v>828</v>
      </c>
      <c r="B22" t="s">
        <v>827</v>
      </c>
      <c r="C22" s="2" t="s">
        <v>828</v>
      </c>
      <c r="D22" t="s">
        <v>349</v>
      </c>
      <c r="E22" t="s">
        <v>113</v>
      </c>
      <c r="F22" t="s">
        <v>830</v>
      </c>
      <c r="G22" t="s">
        <v>828</v>
      </c>
      <c r="K22" t="s">
        <v>980</v>
      </c>
      <c r="L22" t="s">
        <v>1430</v>
      </c>
    </row>
    <row r="23" spans="1:12" x14ac:dyDescent="0.3">
      <c r="A23" t="s">
        <v>831</v>
      </c>
      <c r="B23" t="s">
        <v>832</v>
      </c>
      <c r="C23" s="2" t="s">
        <v>831</v>
      </c>
      <c r="D23" t="s">
        <v>350</v>
      </c>
      <c r="E23" t="s">
        <v>114</v>
      </c>
      <c r="F23" t="s">
        <v>833</v>
      </c>
      <c r="G23" t="s">
        <v>831</v>
      </c>
      <c r="K23" t="s">
        <v>980</v>
      </c>
      <c r="L23" t="s">
        <v>1430</v>
      </c>
    </row>
    <row r="24" spans="1:12" x14ac:dyDescent="0.3">
      <c r="A24" t="s">
        <v>835</v>
      </c>
      <c r="B24" t="s">
        <v>834</v>
      </c>
      <c r="C24" s="2" t="s">
        <v>835</v>
      </c>
      <c r="D24" t="s">
        <v>352</v>
      </c>
      <c r="E24" t="s">
        <v>117</v>
      </c>
      <c r="F24" t="s">
        <v>838</v>
      </c>
      <c r="G24" t="s">
        <v>835</v>
      </c>
      <c r="K24" t="s">
        <v>980</v>
      </c>
      <c r="L24" t="s">
        <v>1430</v>
      </c>
    </row>
    <row r="25" spans="1:12" x14ac:dyDescent="0.3">
      <c r="A25" t="s">
        <v>841</v>
      </c>
      <c r="B25" t="s">
        <v>844</v>
      </c>
      <c r="C25" s="2" t="s">
        <v>841</v>
      </c>
      <c r="D25" t="s">
        <v>349</v>
      </c>
      <c r="E25" t="s">
        <v>113</v>
      </c>
      <c r="F25" t="s">
        <v>839</v>
      </c>
      <c r="G25" t="s">
        <v>841</v>
      </c>
      <c r="K25" t="s">
        <v>980</v>
      </c>
      <c r="L25" t="s">
        <v>1430</v>
      </c>
    </row>
    <row r="26" spans="1:12" x14ac:dyDescent="0.3">
      <c r="A26" t="s">
        <v>842</v>
      </c>
      <c r="B26" t="s">
        <v>843</v>
      </c>
      <c r="C26" s="2" t="s">
        <v>842</v>
      </c>
      <c r="D26" t="s">
        <v>836</v>
      </c>
      <c r="E26" t="s">
        <v>837</v>
      </c>
      <c r="F26" t="s">
        <v>840</v>
      </c>
      <c r="G26" t="s">
        <v>842</v>
      </c>
      <c r="K26" t="s">
        <v>980</v>
      </c>
      <c r="L26" t="s">
        <v>1430</v>
      </c>
    </row>
    <row r="27" spans="1:12" x14ac:dyDescent="0.3">
      <c r="A27" t="s">
        <v>881</v>
      </c>
      <c r="B27" t="s">
        <v>880</v>
      </c>
      <c r="C27" s="2" t="s">
        <v>881</v>
      </c>
      <c r="D27" t="s">
        <v>354</v>
      </c>
      <c r="E27" s="2" t="s">
        <v>119</v>
      </c>
      <c r="F27" t="s">
        <v>950</v>
      </c>
      <c r="G27" t="s">
        <v>879</v>
      </c>
      <c r="K27" t="s">
        <v>980</v>
      </c>
      <c r="L27" t="s">
        <v>1430</v>
      </c>
    </row>
    <row r="28" spans="1:12" x14ac:dyDescent="0.3">
      <c r="A28" t="s">
        <v>951</v>
      </c>
      <c r="B28" t="s">
        <v>958</v>
      </c>
      <c r="C28" t="s">
        <v>951</v>
      </c>
      <c r="D28" t="s">
        <v>349</v>
      </c>
      <c r="E28" s="2" t="s">
        <v>113</v>
      </c>
      <c r="F28" t="s">
        <v>952</v>
      </c>
      <c r="G28" t="s">
        <v>953</v>
      </c>
      <c r="J28" t="s">
        <v>957</v>
      </c>
      <c r="K28" t="s">
        <v>980</v>
      </c>
      <c r="L28" t="s">
        <v>1430</v>
      </c>
    </row>
    <row r="29" spans="1:12" x14ac:dyDescent="0.3">
      <c r="A29" t="s">
        <v>954</v>
      </c>
      <c r="B29" t="s">
        <v>959</v>
      </c>
      <c r="C29" t="s">
        <v>954</v>
      </c>
      <c r="D29" t="s">
        <v>354</v>
      </c>
      <c r="E29" s="2" t="s">
        <v>119</v>
      </c>
      <c r="F29" t="s">
        <v>952</v>
      </c>
      <c r="G29" t="s">
        <v>955</v>
      </c>
      <c r="J29" t="s">
        <v>957</v>
      </c>
      <c r="K29" t="s">
        <v>980</v>
      </c>
      <c r="L29" t="s">
        <v>1430</v>
      </c>
    </row>
    <row r="30" spans="1:12" x14ac:dyDescent="0.3">
      <c r="A30" t="s">
        <v>961</v>
      </c>
      <c r="B30" t="s">
        <v>960</v>
      </c>
      <c r="C30" t="str">
        <f>Таблица9[[#This Row],[Part Number]]</f>
        <v>PBS-4</v>
      </c>
      <c r="D30" t="s">
        <v>349</v>
      </c>
      <c r="E30" s="2" t="s">
        <v>113</v>
      </c>
      <c r="F30" t="s">
        <v>965</v>
      </c>
      <c r="G30" t="s">
        <v>963</v>
      </c>
      <c r="J30" t="s">
        <v>966</v>
      </c>
      <c r="K30" t="s">
        <v>980</v>
      </c>
      <c r="L30" t="s">
        <v>1430</v>
      </c>
    </row>
    <row r="31" spans="1:12" x14ac:dyDescent="0.3">
      <c r="A31" t="s">
        <v>962</v>
      </c>
      <c r="B31" t="s">
        <v>960</v>
      </c>
      <c r="C31" t="str">
        <f>Таблица9[[#This Row],[Part Number]]</f>
        <v>PBS-2</v>
      </c>
      <c r="D31" t="s">
        <v>354</v>
      </c>
      <c r="E31" s="2" t="s">
        <v>119</v>
      </c>
      <c r="F31" t="s">
        <v>965</v>
      </c>
      <c r="G31" t="s">
        <v>964</v>
      </c>
      <c r="J31" t="s">
        <v>966</v>
      </c>
      <c r="K31" t="s">
        <v>980</v>
      </c>
      <c r="L31" t="s">
        <v>1430</v>
      </c>
    </row>
    <row r="32" spans="1:12" x14ac:dyDescent="0.3">
      <c r="A32" t="s">
        <v>976</v>
      </c>
      <c r="B32" t="s">
        <v>118</v>
      </c>
      <c r="C32" t="s">
        <v>976</v>
      </c>
      <c r="D32" t="s">
        <v>354</v>
      </c>
      <c r="E32" s="2" t="s">
        <v>119</v>
      </c>
      <c r="F32" t="s">
        <v>977</v>
      </c>
      <c r="G32" t="s">
        <v>976</v>
      </c>
      <c r="J32" t="s">
        <v>978</v>
      </c>
      <c r="K32" t="s">
        <v>980</v>
      </c>
      <c r="L32" t="s">
        <v>1430</v>
      </c>
    </row>
    <row r="33" spans="1:12" x14ac:dyDescent="0.3">
      <c r="A33" t="s">
        <v>992</v>
      </c>
      <c r="B33" t="s">
        <v>993</v>
      </c>
      <c r="C33" t="s">
        <v>992</v>
      </c>
      <c r="D33" t="s">
        <v>350</v>
      </c>
      <c r="E33" s="2" t="s">
        <v>114</v>
      </c>
      <c r="F33" t="s">
        <v>950</v>
      </c>
      <c r="G33" t="s">
        <v>994</v>
      </c>
      <c r="J33" t="s">
        <v>1006</v>
      </c>
      <c r="K33" t="s">
        <v>980</v>
      </c>
      <c r="L33" t="s">
        <v>1430</v>
      </c>
    </row>
    <row r="34" spans="1:12" x14ac:dyDescent="0.3">
      <c r="A34" t="s">
        <v>995</v>
      </c>
      <c r="B34" t="s">
        <v>996</v>
      </c>
      <c r="C34" t="s">
        <v>995</v>
      </c>
      <c r="D34" t="s">
        <v>1156</v>
      </c>
      <c r="E34" s="2" t="s">
        <v>1157</v>
      </c>
      <c r="F34" t="s">
        <v>997</v>
      </c>
      <c r="G34" t="s">
        <v>998</v>
      </c>
      <c r="J34" t="s">
        <v>966</v>
      </c>
      <c r="K34" t="s">
        <v>980</v>
      </c>
      <c r="L34" t="s">
        <v>1430</v>
      </c>
    </row>
    <row r="35" spans="1:12" x14ac:dyDescent="0.3">
      <c r="A35" t="s">
        <v>1193</v>
      </c>
      <c r="B35" t="s">
        <v>996</v>
      </c>
      <c r="C35" t="s">
        <v>1193</v>
      </c>
      <c r="D35" t="s">
        <v>1156</v>
      </c>
      <c r="E35" s="2" t="s">
        <v>1157</v>
      </c>
      <c r="F35" t="s">
        <v>1194</v>
      </c>
      <c r="G35" t="s">
        <v>1195</v>
      </c>
      <c r="J35" s="38" t="s">
        <v>1006</v>
      </c>
      <c r="K35" t="s">
        <v>980</v>
      </c>
      <c r="L35" t="s">
        <v>1430</v>
      </c>
    </row>
    <row r="36" spans="1:12" x14ac:dyDescent="0.3">
      <c r="A36" t="s">
        <v>999</v>
      </c>
      <c r="B36" t="s">
        <v>1000</v>
      </c>
      <c r="C36" s="2" t="s">
        <v>1001</v>
      </c>
      <c r="D36" t="s">
        <v>1002</v>
      </c>
      <c r="E36" t="s">
        <v>1003</v>
      </c>
      <c r="F36" t="s">
        <v>1004</v>
      </c>
      <c r="G36" t="s">
        <v>999</v>
      </c>
      <c r="J36" t="s">
        <v>1005</v>
      </c>
      <c r="K36" t="s">
        <v>980</v>
      </c>
      <c r="L36" t="s">
        <v>1430</v>
      </c>
    </row>
    <row r="37" spans="1:12" x14ac:dyDescent="0.3">
      <c r="A37" t="s">
        <v>1007</v>
      </c>
      <c r="B37" t="s">
        <v>1008</v>
      </c>
      <c r="C37" s="2" t="s">
        <v>1007</v>
      </c>
      <c r="D37" t="s">
        <v>352</v>
      </c>
      <c r="E37" s="2" t="s">
        <v>117</v>
      </c>
      <c r="F37" t="s">
        <v>950</v>
      </c>
      <c r="G37" t="s">
        <v>1009</v>
      </c>
      <c r="J37" t="s">
        <v>1006</v>
      </c>
      <c r="K37" t="s">
        <v>980</v>
      </c>
      <c r="L37" t="s">
        <v>1430</v>
      </c>
    </row>
    <row r="38" spans="1:12" x14ac:dyDescent="0.3">
      <c r="A38" t="s">
        <v>1046</v>
      </c>
      <c r="B38" t="s">
        <v>1047</v>
      </c>
      <c r="C38" s="2" t="s">
        <v>1046</v>
      </c>
      <c r="D38" t="s">
        <v>1048</v>
      </c>
      <c r="E38" t="s">
        <v>1046</v>
      </c>
      <c r="F38" t="s">
        <v>1049</v>
      </c>
      <c r="G38" t="s">
        <v>1046</v>
      </c>
      <c r="K38" t="s">
        <v>980</v>
      </c>
    </row>
    <row r="39" spans="1:12" x14ac:dyDescent="0.3">
      <c r="A39" t="s">
        <v>1050</v>
      </c>
      <c r="B39" t="s">
        <v>1051</v>
      </c>
      <c r="C39" s="2" t="s">
        <v>1050</v>
      </c>
      <c r="D39" t="s">
        <v>1052</v>
      </c>
      <c r="E39" t="s">
        <v>1050</v>
      </c>
      <c r="F39" t="s">
        <v>1053</v>
      </c>
      <c r="G39" t="s">
        <v>1050</v>
      </c>
      <c r="K39" t="s">
        <v>980</v>
      </c>
    </row>
    <row r="40" spans="1:12" x14ac:dyDescent="0.3">
      <c r="A40" t="s">
        <v>1054</v>
      </c>
      <c r="B40" t="s">
        <v>1055</v>
      </c>
      <c r="C40" s="2" t="s">
        <v>1056</v>
      </c>
      <c r="D40" t="s">
        <v>1057</v>
      </c>
      <c r="E40" t="s">
        <v>1054</v>
      </c>
      <c r="F40" t="s">
        <v>1058</v>
      </c>
      <c r="G40" t="s">
        <v>1054</v>
      </c>
      <c r="H40" t="s">
        <v>1488</v>
      </c>
      <c r="I40" t="s">
        <v>1487</v>
      </c>
      <c r="K40" t="s">
        <v>980</v>
      </c>
    </row>
    <row r="41" spans="1:12" x14ac:dyDescent="0.3">
      <c r="A41" t="s">
        <v>1059</v>
      </c>
      <c r="B41" t="s">
        <v>1060</v>
      </c>
      <c r="C41" s="2" t="s">
        <v>1061</v>
      </c>
      <c r="D41" t="s">
        <v>1062</v>
      </c>
      <c r="E41" t="s">
        <v>1063</v>
      </c>
      <c r="F41" t="s">
        <v>1064</v>
      </c>
      <c r="G41" t="s">
        <v>1065</v>
      </c>
      <c r="K41" t="s">
        <v>980</v>
      </c>
    </row>
    <row r="42" spans="1:12" x14ac:dyDescent="0.3">
      <c r="A42" s="2" t="s">
        <v>1068</v>
      </c>
      <c r="B42" t="s">
        <v>1066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1069</v>
      </c>
      <c r="F42" t="str">
        <f>CONCATENATE("Footprints\Connectors\", G42, ".PcbLib")</f>
        <v>Footprints\Connectors\DF12(3.0)-32DP.PcbLib</v>
      </c>
      <c r="G42" t="s">
        <v>1068</v>
      </c>
      <c r="K42" t="s">
        <v>980</v>
      </c>
      <c r="L42" t="s">
        <v>1455</v>
      </c>
    </row>
    <row r="43" spans="1:12" x14ac:dyDescent="0.3">
      <c r="A43" s="2" t="s">
        <v>1067</v>
      </c>
      <c r="B43" t="s">
        <v>1070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1069</v>
      </c>
      <c r="F43" t="str">
        <f>CONCATENATE("Footprints\Connectors\", G43, ".PcbLib")</f>
        <v>Footprints\Connectors\DF12(3.0)-32DS.PcbLib</v>
      </c>
      <c r="G43" t="s">
        <v>1067</v>
      </c>
      <c r="K43" t="s">
        <v>980</v>
      </c>
      <c r="L43" t="s">
        <v>1455</v>
      </c>
    </row>
    <row r="44" spans="1:12" x14ac:dyDescent="0.3">
      <c r="A44" t="s">
        <v>1071</v>
      </c>
      <c r="B44" t="s">
        <v>1072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1073</v>
      </c>
      <c r="F44" t="str">
        <f t="shared" ref="F44:F46" si="2">CONCATENATE("Footprints\Connectors\", G44, ".PcbLib")</f>
        <v>Footprints\Connectors\DF40C-50DP.PcbLib</v>
      </c>
      <c r="G44" t="s">
        <v>1071</v>
      </c>
      <c r="K44" t="s">
        <v>980</v>
      </c>
      <c r="L44" t="s">
        <v>1455</v>
      </c>
    </row>
    <row r="45" spans="1:12" x14ac:dyDescent="0.3">
      <c r="A45" t="s">
        <v>1074</v>
      </c>
      <c r="B45" t="s">
        <v>1075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1073</v>
      </c>
      <c r="F45" t="str">
        <f t="shared" si="2"/>
        <v>Footprints\Connectors\DF40C-50DS.PcbLib</v>
      </c>
      <c r="G45" t="s">
        <v>1074</v>
      </c>
      <c r="K45" t="s">
        <v>980</v>
      </c>
      <c r="L45" t="s">
        <v>1455</v>
      </c>
    </row>
    <row r="46" spans="1:12" x14ac:dyDescent="0.3">
      <c r="A46" t="s">
        <v>1076</v>
      </c>
      <c r="B46" t="s">
        <v>1075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1073</v>
      </c>
      <c r="F46" t="str">
        <f t="shared" si="2"/>
        <v>Footprints\Connectors\DF40HC(4.0)-50DS.PcbLib</v>
      </c>
      <c r="G46" t="s">
        <v>1076</v>
      </c>
      <c r="K46" t="s">
        <v>980</v>
      </c>
      <c r="L46" t="s">
        <v>1455</v>
      </c>
    </row>
    <row r="47" spans="1:12" x14ac:dyDescent="0.3">
      <c r="A47" t="s">
        <v>1077</v>
      </c>
      <c r="B47" t="s">
        <v>1078</v>
      </c>
      <c r="C47" s="2" t="str">
        <f t="shared" si="0"/>
        <v>PLS-6</v>
      </c>
      <c r="D47" t="str">
        <f t="shared" si="1"/>
        <v>Schematic\Connectors\Conn_6pin.SchLib</v>
      </c>
      <c r="E47" t="s">
        <v>1079</v>
      </c>
      <c r="F47" t="s">
        <v>950</v>
      </c>
      <c r="G47" t="s">
        <v>1080</v>
      </c>
      <c r="K47" t="s">
        <v>980</v>
      </c>
      <c r="L47" t="s">
        <v>1455</v>
      </c>
    </row>
    <row r="48" spans="1:12" x14ac:dyDescent="0.3">
      <c r="A48" t="s">
        <v>1148</v>
      </c>
      <c r="B48" t="s">
        <v>1149</v>
      </c>
      <c r="C48" s="2" t="s">
        <v>1148</v>
      </c>
      <c r="D48" t="s">
        <v>352</v>
      </c>
      <c r="E48" s="2" t="s">
        <v>117</v>
      </c>
      <c r="F48" t="s">
        <v>1150</v>
      </c>
      <c r="G48" t="s">
        <v>1148</v>
      </c>
      <c r="K48" t="s">
        <v>980</v>
      </c>
      <c r="L48" t="s">
        <v>1455</v>
      </c>
    </row>
    <row r="49" spans="1:12" x14ac:dyDescent="0.3">
      <c r="A49" t="s">
        <v>1151</v>
      </c>
      <c r="B49" t="s">
        <v>1152</v>
      </c>
      <c r="C49" s="2" t="s">
        <v>1151</v>
      </c>
      <c r="D49" t="s">
        <v>660</v>
      </c>
      <c r="E49" s="2" t="s">
        <v>658</v>
      </c>
      <c r="F49" t="s">
        <v>1153</v>
      </c>
      <c r="G49" t="s">
        <v>1151</v>
      </c>
      <c r="K49" t="s">
        <v>980</v>
      </c>
      <c r="L49" t="s">
        <v>1455</v>
      </c>
    </row>
    <row r="50" spans="1:12" x14ac:dyDescent="0.3">
      <c r="A50" t="s">
        <v>1154</v>
      </c>
      <c r="B50" t="s">
        <v>1155</v>
      </c>
      <c r="C50" s="2" t="s">
        <v>1154</v>
      </c>
      <c r="D50" t="s">
        <v>1156</v>
      </c>
      <c r="E50" s="2" t="s">
        <v>1157</v>
      </c>
      <c r="F50" t="s">
        <v>1158</v>
      </c>
      <c r="G50" t="s">
        <v>1154</v>
      </c>
      <c r="K50" t="s">
        <v>980</v>
      </c>
      <c r="L50" t="s">
        <v>1455</v>
      </c>
    </row>
    <row r="51" spans="1:12" x14ac:dyDescent="0.3">
      <c r="A51" t="s">
        <v>1160</v>
      </c>
      <c r="B51" t="s">
        <v>1161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1157</v>
      </c>
      <c r="F51" t="str">
        <f t="shared" ref="F51:F54" si="5">CONCATENATE("Footprints\Connectors\", G51, ".PcbLib")</f>
        <v>Footprints\Connectors\DF40C-40DP.PcbLib</v>
      </c>
      <c r="G51" t="s">
        <v>1160</v>
      </c>
      <c r="K51" t="s">
        <v>980</v>
      </c>
      <c r="L51" t="s">
        <v>1455</v>
      </c>
    </row>
    <row r="52" spans="1:12" x14ac:dyDescent="0.3">
      <c r="A52" t="s">
        <v>1162</v>
      </c>
      <c r="B52" t="s">
        <v>1163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1157</v>
      </c>
      <c r="F52" t="str">
        <f t="shared" si="5"/>
        <v>Footprints\Connectors\DF40C-40DS.PcbLib</v>
      </c>
      <c r="G52" t="s">
        <v>1162</v>
      </c>
      <c r="K52" t="s">
        <v>980</v>
      </c>
      <c r="L52" t="s">
        <v>1455</v>
      </c>
    </row>
    <row r="53" spans="1:12" x14ac:dyDescent="0.3">
      <c r="A53" t="s">
        <v>1182</v>
      </c>
      <c r="B53" t="s">
        <v>1183</v>
      </c>
      <c r="C53" s="2" t="s">
        <v>1182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1182</v>
      </c>
      <c r="J53" t="s">
        <v>1184</v>
      </c>
      <c r="K53" t="s">
        <v>980</v>
      </c>
      <c r="L53" t="s">
        <v>1430</v>
      </c>
    </row>
    <row r="54" spans="1:12" x14ac:dyDescent="0.3">
      <c r="A54" t="s">
        <v>1186</v>
      </c>
      <c r="B54" t="s">
        <v>1185</v>
      </c>
      <c r="C54" t="s">
        <v>1182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1187</v>
      </c>
      <c r="J54" t="s">
        <v>1184</v>
      </c>
      <c r="K54" t="s">
        <v>980</v>
      </c>
      <c r="L54" t="s">
        <v>1430</v>
      </c>
    </row>
    <row r="55" spans="1:12" x14ac:dyDescent="0.3">
      <c r="A55" s="33" t="s">
        <v>1384</v>
      </c>
      <c r="B55" s="34" t="s">
        <v>1385</v>
      </c>
      <c r="C55" s="34" t="s">
        <v>1384</v>
      </c>
      <c r="D55" s="34" t="s">
        <v>986</v>
      </c>
      <c r="E55" s="34" t="s">
        <v>987</v>
      </c>
      <c r="F55" s="34" t="s">
        <v>1386</v>
      </c>
      <c r="G55" s="34" t="s">
        <v>1387</v>
      </c>
      <c r="H55" s="34"/>
      <c r="I55" s="34"/>
      <c r="J55" s="34"/>
      <c r="K55" s="40" t="s">
        <v>980</v>
      </c>
    </row>
    <row r="56" spans="1:12" x14ac:dyDescent="0.3">
      <c r="A56" t="s">
        <v>1388</v>
      </c>
      <c r="B56" t="s">
        <v>1389</v>
      </c>
      <c r="C56" s="2" t="s">
        <v>1388</v>
      </c>
      <c r="D56" s="34" t="s">
        <v>1390</v>
      </c>
      <c r="E56" t="s">
        <v>1388</v>
      </c>
      <c r="F56" s="34" t="s">
        <v>1392</v>
      </c>
      <c r="G56" t="s">
        <v>1393</v>
      </c>
      <c r="J56" t="s">
        <v>1391</v>
      </c>
      <c r="K56" s="40" t="s">
        <v>980</v>
      </c>
      <c r="L56" t="s">
        <v>1430</v>
      </c>
    </row>
    <row r="57" spans="1:12" x14ac:dyDescent="0.3">
      <c r="A57" t="s">
        <v>1401</v>
      </c>
      <c r="B57" t="s">
        <v>1402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1403</v>
      </c>
      <c r="F57" t="str">
        <f t="shared" ref="F57:F58" si="8">CONCATENATE("Footprints\Connectors\", G57, ".PcbLib")</f>
        <v>Footprints\Connectors\DIN41612_48_3row_straight_female.PcbLib</v>
      </c>
      <c r="G57" t="s">
        <v>1401</v>
      </c>
      <c r="J57" s="38" t="s">
        <v>1404</v>
      </c>
      <c r="K57" t="s">
        <v>980</v>
      </c>
      <c r="L57" t="s">
        <v>1455</v>
      </c>
    </row>
    <row r="58" spans="1:12" x14ac:dyDescent="0.3">
      <c r="A58" t="s">
        <v>1405</v>
      </c>
      <c r="B58" t="s">
        <v>1406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1403</v>
      </c>
      <c r="F58" t="str">
        <f t="shared" si="8"/>
        <v>Footprints\Connectors\DIN41612_48_3row_right_angle_male.PcbLib</v>
      </c>
      <c r="G58" t="s">
        <v>1405</v>
      </c>
      <c r="J58" s="38" t="s">
        <v>1404</v>
      </c>
      <c r="K58" s="41" t="s">
        <v>980</v>
      </c>
      <c r="L58" t="s">
        <v>1455</v>
      </c>
    </row>
    <row r="59" spans="1:12" x14ac:dyDescent="0.3">
      <c r="A59">
        <v>430450200</v>
      </c>
      <c r="B59" t="s">
        <v>1438</v>
      </c>
      <c r="C59">
        <v>430450200</v>
      </c>
      <c r="D59" t="s">
        <v>354</v>
      </c>
      <c r="E59" t="s">
        <v>119</v>
      </c>
      <c r="F59" t="s">
        <v>1439</v>
      </c>
      <c r="G59" t="s">
        <v>1440</v>
      </c>
      <c r="J59" t="s">
        <v>1441</v>
      </c>
      <c r="K59" t="s">
        <v>980</v>
      </c>
      <c r="L59" t="s">
        <v>1430</v>
      </c>
    </row>
    <row r="60" spans="1:12" x14ac:dyDescent="0.3">
      <c r="A60" t="s">
        <v>1442</v>
      </c>
      <c r="B60" t="s">
        <v>1443</v>
      </c>
      <c r="C60" t="s">
        <v>1442</v>
      </c>
      <c r="D60" t="s">
        <v>1444</v>
      </c>
      <c r="E60" t="s">
        <v>1442</v>
      </c>
      <c r="F60" t="s">
        <v>1445</v>
      </c>
      <c r="G60" t="s">
        <v>1442</v>
      </c>
      <c r="J60" t="s">
        <v>1446</v>
      </c>
      <c r="K60" t="s">
        <v>980</v>
      </c>
      <c r="L60" t="s">
        <v>1430</v>
      </c>
    </row>
    <row r="61" spans="1:12" x14ac:dyDescent="0.3">
      <c r="A61" t="s">
        <v>1458</v>
      </c>
      <c r="B61" t="s">
        <v>1459</v>
      </c>
      <c r="C61" s="2" t="s">
        <v>1460</v>
      </c>
      <c r="D61" t="str">
        <f t="shared" ref="D61" si="9">CONCATENATE("Schematic\Connectors\", E61, ".SchLib")</f>
        <v>Schematic\Connectors\RJ45-8p8c.SchLib</v>
      </c>
      <c r="E61" t="s">
        <v>1461</v>
      </c>
      <c r="F61" t="str">
        <f t="shared" ref="F61" si="10">CONCATENATE("Footprints\Connectors\", G61, ".PcbLib")</f>
        <v>Footprints\Connectors\1-406541-5.PcbLib</v>
      </c>
      <c r="G61" t="s">
        <v>1460</v>
      </c>
      <c r="J61" s="38" t="s">
        <v>1462</v>
      </c>
      <c r="K61" t="s">
        <v>980</v>
      </c>
      <c r="L61" t="s">
        <v>1455</v>
      </c>
    </row>
    <row r="62" spans="1:12" x14ac:dyDescent="0.3">
      <c r="A62" t="s">
        <v>1489</v>
      </c>
      <c r="B62" t="s">
        <v>1490</v>
      </c>
      <c r="C62" t="s">
        <v>1489</v>
      </c>
      <c r="D62" s="34" t="s">
        <v>1491</v>
      </c>
      <c r="E62" t="s">
        <v>1489</v>
      </c>
      <c r="F62" s="34" t="s">
        <v>1492</v>
      </c>
      <c r="G62" t="s">
        <v>1489</v>
      </c>
      <c r="J62" s="38" t="s">
        <v>1493</v>
      </c>
      <c r="K62" s="40" t="s">
        <v>980</v>
      </c>
      <c r="L62" t="s">
        <v>1430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2025-10-16T18:28:41Z</dcterms:modified>
</cp:coreProperties>
</file>