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C7B48F12-1531-4A18-88E5-82E08E14FD7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1" l="1"/>
  <c r="D18" i="5"/>
  <c r="C18" i="5"/>
  <c r="J18" i="5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<sst xmlns="http://schemas.openxmlformats.org/spreadsheetml/2006/main" count="3517" uniqueCount="1442">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</sst>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0" fillId="0" borderId="0" xfId="0" applyNumberFormat="1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1" tableType="xml" totalsRowShown="0" dataDxfId="139" connectionId="19">
  <autoFilter ref="A1:M11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6" connectionId="18">
  <autoFilter ref="A1:M15" xr:uid="{11DAD5D3-6841-4BFD-8583-65DE6E00D680}"/>
  <tableColumns count="13">
    <tableColumn id="1" xr3:uid="{59488B22-9EFD-4960-9418-72616CC8F6CC}" uniqueName="PartNumber" name="Part Number" dataDxfId="125">
      <xmlColumnPr mapId="8" xpath="/Transistors/Part/PartNumber" xmlDataType="string"/>
    </tableColumn>
    <tableColumn id="2" xr3:uid="{B6051881-2BC5-4D5F-9AEE-A86DF4412A4C}" uniqueName="Description" name="Description" dataDxfId="124">
      <xmlColumnPr mapId="8" xpath="/Transistors/Part/Description" xmlDataType="string"/>
    </tableColumn>
    <tableColumn id="3" xr3:uid="{377CEA9C-B3A1-4F57-920A-BA1AC9164370}" uniqueName="Comment" name="Comment" dataDxfId="12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2">
      <xmlColumnPr mapId="8" xpath="/Transistors/Part/LibraryPath" xmlDataType="string"/>
    </tableColumn>
    <tableColumn id="5" xr3:uid="{02693066-D721-4B47-BEE5-D678B96A10FB}" uniqueName="LibraryRef" name="Library Ref" dataDxfId="12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2" tableType="xml" totalsRowShown="0" headerRowDxfId="21" dataDxfId="20" connectionId="14">
  <autoFilter ref="A1:O182" xr:uid="{02061886-A591-4FD8-8C5B-3D1D2DB1F417}"/>
  <tableColumns count="15">
    <tableColumn id="1" xr3:uid="{1DE1C76C-B7F9-47FB-9EB0-156A2D87FD9E}" uniqueName="PartNumber" name="Part Number" dataDxfId="19">
      <xmlColumnPr mapId="38" xpath="/Resistors/Part/PartNumber" xmlDataType="string"/>
    </tableColumn>
    <tableColumn id="2" xr3:uid="{64E60790-EB9B-4A0D-B52C-7CB5A6F82DE8}" uniqueName="Description" name="Description" dataDxfId="18">
      <xmlColumnPr mapId="38" xpath="/Resistors/Part/Description" xmlDataType="string"/>
    </tableColumn>
    <tableColumn id="3" xr3:uid="{497E7478-3EE2-4F8D-A572-C738B7321387}" uniqueName="Comment" name="Comment" dataDxfId="17">
      <xmlColumnPr mapId="38" xpath="/Resistors/Part/Comment" xmlDataType="string"/>
    </tableColumn>
    <tableColumn id="4" xr3:uid="{255B034D-70D9-458C-8FA7-FEB8317A497F}" uniqueName="LibraryPath" name="Library Path" dataDxfId="16">
      <xmlColumnPr mapId="38" xpath="/Resistors/Part/LibraryPath" xmlDataType="string"/>
    </tableColumn>
    <tableColumn id="5" xr3:uid="{A3865419-9EA5-4AAA-B07F-FF52D437DC02}" uniqueName="LibraryRef" name="Library Ref" dataDxfId="15">
      <xmlColumnPr mapId="38" xpath="/Resistors/Part/LibraryRef" xmlDataType="string"/>
    </tableColumn>
    <tableColumn id="6" xr3:uid="{CE64E0F7-2F9E-477F-8D1B-040D90CB5685}" uniqueName="Value" name="Value" dataDxfId="14">
      <xmlColumnPr mapId="38" xpath="/Resistors/Part/Value" xmlDataType="string"/>
    </tableColumn>
    <tableColumn id="7" xr3:uid="{41F7703B-5A2D-47F6-B9C9-B9D386FC3CF8}" uniqueName="Tolerance" name="Tolerance" dataDxfId="13">
      <xmlColumnPr mapId="38" xpath="/Resistors/Part/Tolerance" xmlDataType="double"/>
    </tableColumn>
    <tableColumn id="8" xr3:uid="{429E7452-DB30-417B-B5E7-8F2AA238A5A4}" uniqueName="FootprintPath1" name="Footprint Path 1" dataDxfId="12">
      <xmlColumnPr mapId="38" xpath="/Resistors/Part/FootprintPath1" xmlDataType="string"/>
    </tableColumn>
    <tableColumn id="9" xr3:uid="{298A4272-57F5-45C2-AFCD-965909B2DD40}" uniqueName="FootprintRef1" name="Footprint Ref 1" dataDxfId="11">
      <xmlColumnPr mapId="38" xpath="/Resistors/Part/FootprintRef1" xmlDataType="string"/>
    </tableColumn>
    <tableColumn id="10" xr3:uid="{0DFE9A6B-806A-476A-90DD-58A133FB25CD}" uniqueName="10" name="Footprint Path 2" dataDxfId="10"/>
    <tableColumn id="11" xr3:uid="{5972F9B7-4E29-40F8-85A0-ADFB6C3B63D0}" uniqueName="11" name="Footprint Ref 2" dataDxfId="9"/>
    <tableColumn id="12" xr3:uid="{2BA89A40-2C66-4CDA-B275-A463CA193B24}" uniqueName="12" name="Footprint Path 3" dataDxfId="8"/>
    <tableColumn id="13" xr3:uid="{EB6CB4D4-35E1-4CE3-A4E3-74A449E2B85B}" uniqueName="13" name="Footprint Ref 3" dataDxfId="7"/>
    <tableColumn id="14" xr3:uid="{B126E269-CC34-4371-BF7F-84DF0C0ADEDC}" uniqueName="14" name="Datasheet" dataDxfId="6"/>
    <tableColumn id="15" xr3:uid="{155D5290-0F95-4C8C-856A-9074D435EEE5}" uniqueName="15" name="Автор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19" connectionId="12">
  <autoFilter ref="A1:L3" xr:uid="{A29CC993-9C97-4A73-9D5A-85F4F6169F0D}"/>
  <tableColumns count="12">
    <tableColumn id="1" xr3:uid="{E7E6BB90-3474-4E90-9662-90728792951F}" uniqueName="PartNumber" name="Part Number" dataDxfId="118">
      <xmlColumnPr mapId="84" xpath="/Rectifier_diodes/Part/PartNumber" xmlDataType="string"/>
    </tableColumn>
    <tableColumn id="2" xr3:uid="{98A92000-AA1B-456E-BA64-C1F29B956DE5}" uniqueName="Description" name="Description" dataDxfId="117">
      <xmlColumnPr mapId="84" xpath="/Rectifier_diodes/Part/Description" xmlDataType="string"/>
    </tableColumn>
    <tableColumn id="3" xr3:uid="{B4AB4090-17C1-4AE7-9CAE-97918340114E}" uniqueName="Comment" name="Comment" dataDxfId="116">
      <xmlColumnPr mapId="84" xpath="/Rectifier_diodes/Part/Comment" xmlDataType="string"/>
    </tableColumn>
    <tableColumn id="4" xr3:uid="{37B831E9-0546-4F3D-869B-DCA849A60D6D}" uniqueName="LibraryPath" name="Library Path" dataDxfId="115">
      <xmlColumnPr mapId="84" xpath="/Rectifier_diodes/Part/LibraryPath" xmlDataType="string"/>
    </tableColumn>
    <tableColumn id="5" xr3:uid="{D6CB281C-3F3F-4F98-A962-C06645057757}" uniqueName="LibraryRef" name="Library Ref" dataDxfId="114">
      <xmlColumnPr mapId="84" xpath="/Rectifier_diodes/Part/LibraryRef" xmlDataType="string"/>
    </tableColumn>
    <tableColumn id="6" xr3:uid="{A8BCEECB-ED11-4B88-BF6F-96CF63D897BC}" uniqueName="FootprintPath1" name="Footprint Path 1" dataDxfId="113">
      <xmlColumnPr mapId="84" xpath="/Rectifier_diodes/Part/FootprintPath1" xmlDataType="string"/>
    </tableColumn>
    <tableColumn id="7" xr3:uid="{7B9CD19C-2EC8-4C56-940C-1504C11DD55E}" uniqueName="FootprintRef1" name="Footprint Ref 1" dataDxfId="112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111">
      <xmlColumnPr mapId="84" xpath="/Rectifier_diodes/Part/RepetitivePeakReverseVoltage" xmlDataType="string"/>
    </tableColumn>
    <tableColumn id="9" xr3:uid="{EB5ACFA6-079B-4694-9B63-C1A08D4A6545}" uniqueName="Current" name="Current (A)" dataDxfId="110">
      <xmlColumnPr mapId="84" xpath="/Rectifier_diodes/Part/Current" xmlDataType="string"/>
    </tableColumn>
    <tableColumn id="10" xr3:uid="{A56E2E46-8996-40FE-9125-8C74FA00102E}" uniqueName="Power" name="Power (W)" dataDxfId="109">
      <xmlColumnPr mapId="84" xpath="/Rectifier_diodes/Part/Power" xmlDataType="string"/>
    </tableColumn>
    <tableColumn id="14" xr3:uid="{97A2782D-2BBA-490A-A60F-15D84AFDCD53}" uniqueName="0" name="Datasheet" dataDxfId="108"/>
    <tableColumn id="11" xr3:uid="{7390A152-FDA2-4403-A974-D1880B2C3E97}" uniqueName="11" name="Автор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07" dataDxfId="106" connectionId="1">
  <autoFilter ref="A1:V3" xr:uid="{1041C5C1-00FD-47DC-8B7C-9DEBE212D9D4}"/>
  <tableColumns count="22">
    <tableColumn id="1" xr3:uid="{55BDD111-6381-449E-BF2B-3FEC8107762D}" uniqueName="PartNumber" name="Part Number" dataDxfId="105">
      <xmlColumnPr mapId="18" xpath="/Capacitors/Part/PartNumber" xmlDataType="string"/>
    </tableColumn>
    <tableColumn id="2" xr3:uid="{0D3E1F2C-B0CC-4A36-A41B-2F2DAEC98E3B}" uniqueName="Description" name="Description" dataDxfId="104">
      <xmlColumnPr mapId="18" xpath="/Capacitors/Part/Description" xmlDataType="string"/>
    </tableColumn>
    <tableColumn id="3" xr3:uid="{16739D52-8082-4E8D-B1E1-B82F60766E2A}" uniqueName="Comment" name="Comment" dataDxfId="103">
      <xmlColumnPr mapId="18" xpath="/Capacitors/Part/Comment" xmlDataType="string"/>
    </tableColumn>
    <tableColumn id="4" xr3:uid="{AC1F3F2E-0C78-451D-9178-0A9D15C49726}" uniqueName="LibraryPath" name="Library Path" dataDxfId="102">
      <xmlColumnPr mapId="18" xpath="/Capacitors/Part/LibraryPath" xmlDataType="string"/>
    </tableColumn>
    <tableColumn id="5" xr3:uid="{9169ABA3-E41E-40E0-B785-3D3B749D70BB}" uniqueName="LibraryRef" name="Library Ref" dataDxfId="101">
      <xmlColumnPr mapId="18" xpath="/Capacitors/Part/LibraryRef" xmlDataType="string"/>
    </tableColumn>
    <tableColumn id="6" xr3:uid="{01EADD2D-36E6-41EE-B894-B537CCE6649E}" uniqueName="Value" name="Value" dataDxfId="100">
      <xmlColumnPr mapId="18" xpath="/Capacitors/Part/Value" xmlDataType="string"/>
    </tableColumn>
    <tableColumn id="7" xr3:uid="{EC779EF2-47DD-4E8F-A8D2-159E83C79180}" uniqueName="FootprintPath1" name="Footprint Path 1" dataDxfId="99">
      <xmlColumnPr mapId="18" xpath="/Capacitors/Part/FootprintPath1" xmlDataType="string"/>
    </tableColumn>
    <tableColumn id="8" xr3:uid="{C244A49A-3E6F-4B22-983D-FFA97DB3DFF6}" uniqueName="FootprintRef1" name="Footprint Ref 1" dataDxfId="98">
      <xmlColumnPr mapId="18" xpath="/Capacitors/Part/FootprintRef1" xmlDataType="string"/>
    </tableColumn>
    <tableColumn id="9" xr3:uid="{85136BD9-A68F-40E0-9A6F-E71ECA929F04}" uniqueName="FootprintPath2" name="Footprint Path 2" dataDxfId="97">
      <xmlColumnPr mapId="18" xpath="/Capacitors/Part/FootprintPath2" xmlDataType="string"/>
    </tableColumn>
    <tableColumn id="10" xr3:uid="{9FB3A5B2-04CB-44F8-A289-C2FB25F43941}" uniqueName="FootprintRef2" name="Footprint Ref 2" dataDxfId="96">
      <xmlColumnPr mapId="18" xpath="/Capacitors/Part/FootprintRef2" xmlDataType="string"/>
    </tableColumn>
    <tableColumn id="11" xr3:uid="{50FA7750-FC9E-444C-8D52-C6B51BBD63C1}" uniqueName="FootprintPath3" name="Footprint Path 3" dataDxfId="95">
      <xmlColumnPr mapId="18" xpath="/Capacitors/Part/FootprintPath3" xmlDataType="string"/>
    </tableColumn>
    <tableColumn id="12" xr3:uid="{CB4B7F73-4E19-42EF-9940-4C2907529981}" uniqueName="FootprintRef3" name="Footprint Ref 3" dataDxfId="94">
      <xmlColumnPr mapId="18" xpath="/Capacitors/Part/FootprintRef3" xmlDataType="string"/>
    </tableColumn>
    <tableColumn id="13" xr3:uid="{6B23463C-82AA-426D-ACBC-49A19C1D46FA}" uniqueName="FootprintPath4" name="Footprint Path 4" dataDxfId="93">
      <xmlColumnPr mapId="18" xpath="/Capacitors/Part/FootprintPath4" xmlDataType="string"/>
    </tableColumn>
    <tableColumn id="14" xr3:uid="{AD691620-AB1F-42E2-B1E4-053F5C2B80E9}" uniqueName="FootprintRef4" name="Footprint Ref 4" dataDxfId="92">
      <xmlColumnPr mapId="18" xpath="/Capacitors/Part/FootprintRef4" xmlDataType="string"/>
    </tableColumn>
    <tableColumn id="15" xr3:uid="{FD0F620C-73A8-49FB-B6E9-F06F81ED3185}" uniqueName="FootprintPath5" name="Footprint Path 5" dataDxfId="91">
      <xmlColumnPr mapId="18" xpath="/Capacitors/Part/FootprintPath5" xmlDataType="string"/>
    </tableColumn>
    <tableColumn id="16" xr3:uid="{F3B1D3FD-D16A-41B6-BA7D-FAFB3CCAEEC4}" uniqueName="FootprintRef5" name="Footprint Ref 5" dataDxfId="90">
      <xmlColumnPr mapId="18" xpath="/Capacitors/Part/FootprintRef5" xmlDataType="string"/>
    </tableColumn>
    <tableColumn id="17" xr3:uid="{130B1CD3-35EC-447E-93DF-ED8F8DC7A59A}" uniqueName="FootprintPath6" name="Footprint Path 6" dataDxfId="89">
      <xmlColumnPr mapId="18" xpath="/Capacitors/Part/FootprintPath6" xmlDataType="string"/>
    </tableColumn>
    <tableColumn id="18" xr3:uid="{77AF5D99-AE0B-40E5-8972-14E04BB93BB4}" uniqueName="FootprintRef6" name="Footprint Ref 6" dataDxfId="88">
      <xmlColumnPr mapId="18" xpath="/Capacitors/Part/FootprintRef6" xmlDataType="string"/>
    </tableColumn>
    <tableColumn id="19" xr3:uid="{6809872D-01AC-4EF6-B33F-6B8DA2D054C9}" uniqueName="FootprintPath7" name="Footprint Path 7" dataDxfId="87">
      <xmlColumnPr mapId="18" xpath="/Capacitors/Part/FootprintPath7" xmlDataType="string"/>
    </tableColumn>
    <tableColumn id="20" xr3:uid="{352E5BAE-89D3-4F1C-AA92-CDC22EDD2B11}" uniqueName="FootprintRef7" name="Footprint Ref 7" dataDxfId="86">
      <xmlColumnPr mapId="18" xpath="/Capacitors/Part/FootprintRef7" xmlDataType="string"/>
    </tableColumn>
    <tableColumn id="21" xr3:uid="{A4B57C00-6D54-4DAD-902D-06A5DE02018A}" uniqueName="21" name="Datasheet" dataDxfId="85"/>
    <tableColumn id="22" xr3:uid="{E32A5D7A-B096-4499-9FBD-9F4FD79F2DC2}" uniqueName="22" name="Автор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9" tableType="xml" totalsRowShown="0" headerRowDxfId="84" headerRowBorderDxfId="83" tableBorderDxfId="82" connectionId="2">
  <autoFilter ref="A1:N49" xr:uid="{327E2CF9-785D-47F4-832A-C43F8CC576C1}"/>
  <tableColumns count="14">
    <tableColumn id="1" xr3:uid="{2D0493C6-3702-49E5-A0C3-4E2E8E195E17}" uniqueName="PartNumber" name="Part Number" dataDxfId="81">
      <xmlColumnPr mapId="43" xpath="/Capacitors_ceramic/Part/PartNumber" xmlDataType="string"/>
    </tableColumn>
    <tableColumn id="2" xr3:uid="{3FA58AD0-DEA9-402B-AF51-421884AC47BB}" uniqueName="Description" name="Description" dataDxfId="8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79">
      <xmlColumnPr mapId="43" xpath="/Capacitors_ceramic/Part/LibraryRef" xmlDataType="string"/>
    </tableColumn>
    <tableColumn id="4" xr3:uid="{EC600B45-0E9F-4512-A8BA-DAE1BBEF89DB}" uniqueName="LibraryPath" name="Library Path" dataDxfId="78">
      <xmlColumnPr mapId="43" xpath="/Capacitors_ceramic/Part/LibraryPath" xmlDataType="string"/>
    </tableColumn>
    <tableColumn id="7" xr3:uid="{825A321C-E6A0-4EAF-AEC4-F451D6437D35}" uniqueName="Tolerance" name="Library Ref" dataDxfId="77">
      <xmlColumnPr mapId="43" xpath="/Capacitors_ceramic/Part/Tolerance" xmlDataType="double"/>
    </tableColumn>
    <tableColumn id="8" xr3:uid="{6BBE44D9-FFC5-457D-8041-DAABC8C7BA50}" uniqueName="Voltage" name="Value" dataDxfId="76">
      <xmlColumnPr mapId="43" xpath="/Capacitors_ceramic/Part/Voltage" xmlDataType="integer"/>
    </tableColumn>
    <tableColumn id="9" xr3:uid="{40615D5C-FAC6-4DE7-AD52-985B05512BA6}" uniqueName="Dielectric" name="Tolerance" dataDxfId="75">
      <xmlColumnPr mapId="43" xpath="/Capacitors_ceramic/Part/Dielectric" xmlDataType="string"/>
    </tableColumn>
    <tableColumn id="10" xr3:uid="{A0E5BE7F-C8F6-4C6F-887E-2AC1E17340A3}" uniqueName="FootprintPath1" name="Voltage (V)" dataDxfId="74">
      <xmlColumnPr mapId="43" xpath="/Capacitors_ceramic/Part/FootprintPath1" xmlDataType="string"/>
    </tableColumn>
    <tableColumn id="11" xr3:uid="{1125B898-8A5A-4932-9E6A-70BE1D0B17C2}" uniqueName="FootprintRef1" name="Dielectric" dataDxfId="73">
      <xmlColumnPr mapId="43" xpath="/Capacitors_ceramic/Part/FootprintRef1" xmlDataType="string"/>
    </tableColumn>
    <tableColumn id="12" xr3:uid="{A0B20E33-F9DE-4128-B3C1-A5F5EF419A6A}" uniqueName="Capacity" name="Footprint Path 1" dataDxfId="72">
      <xmlColumnPr mapId="43" xpath="/Capacitors_ceramic/Part/Capacity" xmlDataType="double"/>
    </tableColumn>
    <tableColumn id="3" xr3:uid="{3CA4A3C4-175F-4D31-8C1D-DB8BDFEC6751}" uniqueName="3" name="Footprint Ref 1" dataDxfId="71"/>
    <tableColumn id="13" xr3:uid="{AC6DF023-DF8E-4431-956C-EF5B1E686C64}" uniqueName="13" name="Capacity (nF)" dataDxfId="70"/>
    <tableColumn id="14" xr3:uid="{F581E0EF-A6A3-43F4-9E9D-EE0565B490AB}" uniqueName="14" name="Datasheet" dataDxfId="69"/>
    <tableColumn id="6" xr3:uid="{6441484A-4B24-46D3-8427-885C43151488}" uniqueName="6" name="Автор" dataDxfId="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7" tableType="xml" totalsRowShown="0" headerRowDxfId="68" headerRowBorderDxfId="67" tableBorderDxfId="66" connectionId="3">
  <autoFilter ref="A1:P27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65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64"/>
    <tableColumn id="7" xr3:uid="{49B409CD-94AC-4F2C-BC5E-E8FF519C8D6F}" uniqueName="FootprintRef1" name="Library Ref" dataDxfId="63"/>
    <tableColumn id="8" xr3:uid="{71017A8D-C83B-4D64-80AC-6C5EC84419D6}" uniqueName="FootprintPath1" name="Footprint Path 1" dataDxfId="62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61">
      <xmlColumnPr mapId="66" xpath="/Inductance/Part/FootprintRef1" xmlDataType="string"/>
    </tableColumn>
    <tableColumn id="10" xr3:uid="{14D45471-DB98-4B30-AE3F-A5F2151147AD}" uniqueName="FootprintPath2" name="Footprint Path 2" dataDxfId="60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59">
      <xmlColumnPr mapId="66" xpath="/Inductance/Part/FootprintRef2" xmlDataType="string"/>
    </tableColumn>
    <tableColumn id="12" xr3:uid="{32F2E3FF-9422-4CF5-B324-9B3A82F8F97B}" uniqueName="FootprintPath3" name="Footprint Path 3" dataDxfId="58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57">
      <xmlColumnPr mapId="66" xpath="/Inductance/Part/FootprintRef3" xmlDataType="string"/>
    </tableColumn>
    <tableColumn id="14" xr3:uid="{182C547A-FB6B-4C10-86F9-E53125E130E2}" uniqueName="FootprintPath4" name="Footprint Path 4" dataDxfId="56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55">
      <xmlColumnPr mapId="66" xpath="/Inductance/Part/FootprintRef4" xmlDataType="string"/>
    </tableColumn>
    <tableColumn id="4" xr3:uid="{CA7AF69B-83D2-4752-8493-BAD0C62EE720}" uniqueName="Inductance" name="Inductance (μH)" dataDxfId="54">
      <xmlColumnPr mapId="66" xpath="/Inductance/Part/Inductance" xmlDataType="string"/>
    </tableColumn>
    <tableColumn id="5" xr3:uid="{C2963412-5B9C-4A2F-B88B-CC5D53C10CE2}" uniqueName="Current" name="Current (A)" dataDxfId="53">
      <xmlColumnPr mapId="66" xpath="/Inductance/Part/Current" xmlDataType="string"/>
    </tableColumn>
    <tableColumn id="16" xr3:uid="{CFC80C7F-7597-4120-91B5-A73734ECE731}" uniqueName="Value" name="Value" dataDxfId="52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51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50">
      <xmlColumnPr mapId="81" xpath="/Thyristors/Part/LibraryPath" xmlDataType="string"/>
    </tableColumn>
    <tableColumn id="7" xr3:uid="{80B3F569-C3F5-47F7-8D7B-28E201DA2617}" uniqueName="LibraryRef" name="Library Ref" dataDxfId="49">
      <xmlColumnPr mapId="81" xpath="/Thyristors/Part/LibraryRef" xmlDataType="string"/>
    </tableColumn>
    <tableColumn id="8" xr3:uid="{89EB4D75-A298-4A70-95A0-C55A38516DD5}" uniqueName="FootprintPath1" name="Footprint Path 1" dataDxfId="48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47">
      <xmlColumnPr mapId="81" xpath="/Thyristors/Part/FootprintRef1" xmlDataType="string"/>
    </tableColumn>
    <tableColumn id="10" xr3:uid="{9EE91FEA-9669-439B-8C30-DE7C5C8EDEAC}" uniqueName="FootprintPath2" name="Footprint Path 2" dataDxfId="46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45">
      <xmlColumnPr mapId="81" xpath="/Thyristors/Part/FootprintRef2" xmlDataType="string"/>
    </tableColumn>
    <tableColumn id="12" xr3:uid="{FBA8999D-4F5F-4375-B94D-80D73962B6E9}" uniqueName="Voltage" name="Напряжение" dataDxfId="44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43">
      <xmlColumnPr mapId="81" xpath="/Thyristors/Part/Current" xmlDataType="string"/>
    </tableColumn>
    <tableColumn id="14" xr3:uid="{DB8175AF-F0C6-47C1-8F0E-9BE83B53E316}" uniqueName="Power" name="Datasheet" dataDxfId="42">
      <calculatedColumnFormula>CONCATENATE("Footprints\Inductance\",M2,".PcbLib")</calculatedColumnFormula>
    </tableColumn>
    <tableColumn id="4" xr3:uid="{D9995BFB-85DE-45BC-8357-32D82CDF7ADB}" uniqueName="4" name="Автор" dataDxfId="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8" tableType="xml" totalsRowShown="0" headerRowDxfId="41" dataDxfId="40" connectionId="11">
  <autoFilter ref="A1:N18" xr:uid="{071F457A-0F82-4CD6-80C4-65E86DBEF353}"/>
  <tableColumns count="14">
    <tableColumn id="1" xr3:uid="{AE9DCB61-0A9B-41D9-AC76-56D9ED6F9D71}" uniqueName="PartNumber" name="Part Number" dataDxfId="39">
      <xmlColumnPr mapId="73" xpath="/Other/Part/PartNumber" xmlDataType="string"/>
    </tableColumn>
    <tableColumn id="2" xr3:uid="{8662C04B-9C7C-48A2-ACC7-0FAAF1F41588}" uniqueName="Description" name="Description" dataDxfId="38">
      <xmlColumnPr mapId="73" xpath="/Other/Part/Description" xmlDataType="string"/>
    </tableColumn>
    <tableColumn id="3" xr3:uid="{7CF3CA75-1923-4F19-999C-14E1807BD3F5}" uniqueName="Comment" name="Comment" dataDxfId="3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3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3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34">
      <xmlColumnPr mapId="73" xpath="/Other/Part/FootprintPath1" xmlDataType="string"/>
    </tableColumn>
    <tableColumn id="7" xr3:uid="{78484622-732C-4ACF-9F43-B1AC2CDD73FA}" uniqueName="FootprintRef1" name="Footprint Ref 1" dataDxfId="33">
      <xmlColumnPr mapId="73" xpath="/Other/Part/FootprintRef1" xmlDataType="string"/>
    </tableColumn>
    <tableColumn id="8" xr3:uid="{9B1D9BE1-3884-44C5-88CA-6A2CCE154C24}" uniqueName="FootprintPath2" name="Footprint Path 2" dataDxfId="32">
      <xmlColumnPr mapId="73" xpath="/Other/Part/FootprintPath2" xmlDataType="string"/>
    </tableColumn>
    <tableColumn id="9" xr3:uid="{41DD9B28-B52E-42E2-980C-18F4A1B9EC96}" uniqueName="FootprintRef2" name="Footprint Ref 2" dataDxfId="31">
      <xmlColumnPr mapId="73" xpath="/Other/Part/FootprintRef2" xmlDataType="string"/>
    </tableColumn>
    <tableColumn id="10" xr3:uid="{93223D18-9C09-4B7B-8F23-E7B288A9B36F}" uniqueName="FootprintPath3" name="Footprint Path 3" dataDxfId="3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29">
      <xmlColumnPr mapId="73" xpath="/Other/Part/FootprintRef3" xmlDataType="string"/>
    </tableColumn>
    <tableColumn id="12" xr3:uid="{7C7EE8D3-0879-4E51-BE9D-9FFCF5159E00}" uniqueName="12" name="Value" dataDxfId="28"/>
    <tableColumn id="13" xr3:uid="{C52E9A30-4E71-4BA8-BCEB-15C10C4A25CB}" uniqueName="13" name="Datasheet" dataDxfId="27"/>
    <tableColumn id="14" xr3:uid="{DF464249-2F59-4FAB-86C7-C3B8ACB81D99}" uniqueName="14" name="Автор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58" tableType="xml" totalsRowShown="0" headerRowDxfId="26" connectionId="7">
  <autoFilter ref="A1:L5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5">
      <xmlColumnPr mapId="12" xpath="/Connectors/Part/Comment" xmlDataType="string"/>
    </tableColumn>
    <tableColumn id="4" xr3:uid="{380EC291-D984-459A-9EA9-43539735BE21}" uniqueName="LibraryPath" name="Library Path" dataDxfId="24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3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tabSelected="1"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1"/>
  <sheetViews>
    <sheetView zoomScale="85" zoomScaleNormal="85" workbookViewId="0">
      <selection activeCell="M11" sqref="M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  <c r="M2" s="41"/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M3" s="41"/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M4" s="41"/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  <c r="M5" s="41"/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  <c r="M6" s="41"/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  <c r="M7" s="41"/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  <c r="M8" s="41"/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  <c r="M9" s="41"/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  <c r="M10" s="41"/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  <c r="M11" s="41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48" zoomScale="55" zoomScaleNormal="55" workbookViewId="0">
      <selection activeCell="O183" sqref="O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5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6" t="s">
        <v>0</v>
      </c>
      <c r="B1" s="46" t="s">
        <v>1</v>
      </c>
      <c r="C1" s="46" t="s">
        <v>14</v>
      </c>
      <c r="D1" s="46" t="s">
        <v>2</v>
      </c>
      <c r="E1" s="46" t="s">
        <v>3</v>
      </c>
      <c r="F1" s="46" t="s">
        <v>12</v>
      </c>
      <c r="G1" s="46" t="s">
        <v>8</v>
      </c>
      <c r="H1" s="46" t="s">
        <v>923</v>
      </c>
      <c r="I1" s="46" t="s">
        <v>84</v>
      </c>
      <c r="J1" s="46" t="s">
        <v>71</v>
      </c>
      <c r="K1" s="46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41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  <c r="L3" s="4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  <c r="V2" s="41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  <c r="V3" s="41"/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2" zoomScale="70" zoomScaleNormal="70" workbookViewId="0">
      <selection activeCell="N1" sqref="N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7" t="s">
        <v>1109</v>
      </c>
      <c r="B5" s="48" t="str">
        <f t="shared" si="0"/>
        <v>Конденсатор 0603C ёмкостью 0,75 н 10%, 50 В, X7R</v>
      </c>
      <c r="C5" s="49" t="s">
        <v>27</v>
      </c>
      <c r="D5" s="49" t="s">
        <v>30</v>
      </c>
      <c r="E5" s="49" t="s">
        <v>27</v>
      </c>
      <c r="F5" s="49" t="s">
        <v>1110</v>
      </c>
      <c r="G5" s="50" t="s">
        <v>1207</v>
      </c>
      <c r="H5" s="49">
        <v>50</v>
      </c>
      <c r="I5" s="49" t="s">
        <v>602</v>
      </c>
      <c r="J5" s="49" t="s">
        <v>603</v>
      </c>
      <c r="K5" s="49" t="s">
        <v>37</v>
      </c>
      <c r="L5" s="49" t="s">
        <v>1111</v>
      </c>
      <c r="M5" s="51"/>
      <c r="N5" s="52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s="41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s="44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43" t="s">
        <v>1425</v>
      </c>
      <c r="G49" s="37" t="s">
        <v>1426</v>
      </c>
      <c r="H49" s="43" t="s">
        <v>1427</v>
      </c>
      <c r="I49" s="43" t="s">
        <v>1428</v>
      </c>
      <c r="J49" s="2" t="s">
        <v>603</v>
      </c>
      <c r="K49" s="2" t="s">
        <v>37</v>
      </c>
      <c r="L49" s="43" t="s">
        <v>1430</v>
      </c>
      <c r="M49" s="43" t="s">
        <v>1431</v>
      </c>
      <c r="N49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7"/>
  <sheetViews>
    <sheetView zoomScale="70" zoomScaleNormal="70" workbookViewId="0">
      <selection activeCell="P1" sqref="P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53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53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zoomScale="55" zoomScaleNormal="55" workbookViewId="0">
      <selection activeCell="C46" sqref="C46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6" t="s">
        <v>25</v>
      </c>
      <c r="M1" s="1" t="s">
        <v>964</v>
      </c>
      <c r="N1" s="53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  <c r="M2" s="41"/>
      <c r="N2" s="41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  <c r="M3" s="41"/>
      <c r="N3" s="41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M4" s="41"/>
      <c r="N4" s="41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  <c r="M5" s="41"/>
      <c r="N5" s="41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M6" s="41"/>
      <c r="N6" s="41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M7" s="41"/>
      <c r="N7" s="41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M8" s="41"/>
      <c r="N8" s="41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M9" s="41"/>
      <c r="N9" s="41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M10" s="41"/>
      <c r="N10" s="41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M11" s="41"/>
      <c r="N11" s="4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M12" s="41"/>
      <c r="N12" s="41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s="41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M14" s="41"/>
      <c r="N14" s="41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M15" s="41"/>
      <c r="N15" s="41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  <c r="M16" s="41"/>
      <c r="N16" s="41"/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  <c r="M17" s="41"/>
      <c r="N17" s="41"/>
    </row>
    <row r="18" spans="1:14" x14ac:dyDescent="0.3">
      <c r="A18" s="41" t="s">
        <v>1422</v>
      </c>
      <c r="B18" s="41" t="s">
        <v>1423</v>
      </c>
      <c r="C18" s="41" t="str">
        <f>A18</f>
        <v>X322525MOB4SI</v>
      </c>
      <c r="D18" s="41" t="str">
        <f>CONCATENATE("Schematic\",E18,".SchLib")</f>
        <v>Schematic\XTAL_1-3_GND.SchLib</v>
      </c>
      <c r="E18" s="41" t="s">
        <v>1419</v>
      </c>
      <c r="F18" t="s">
        <v>1424</v>
      </c>
      <c r="G18" s="41" t="s">
        <v>1422</v>
      </c>
      <c r="H18" s="41"/>
      <c r="I18" s="41"/>
      <c r="J18" s="41" t="str">
        <f>CONCATENATE("Footprints\",K18,".PcbLib")</f>
        <v>Footprints\.PcbLib</v>
      </c>
      <c r="K18" s="41"/>
      <c r="L18" t="s">
        <v>1420</v>
      </c>
      <c r="M18" s="41" t="s">
        <v>1421</v>
      </c>
      <c r="N18" s="41" t="s">
        <v>1439</v>
      </c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58"/>
  <sheetViews>
    <sheetView topLeftCell="C1" zoomScale="70" zoomScaleNormal="70" workbookViewId="0">
      <selection activeCell="L9" sqref="L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53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s="41" t="str">
        <f t="shared" ref="D57:D58" si="7">CONCATENATE("Schematic\Connectors\", E57, ".SchLib")</f>
        <v>Schematic\Connectors\Conn_48pin_3row.SchLib</v>
      </c>
      <c r="E57" t="s">
        <v>1412</v>
      </c>
      <c r="F57" s="41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2" x14ac:dyDescent="0.3">
      <c r="A58" s="42" t="s">
        <v>1414</v>
      </c>
      <c r="B58" s="42" t="s">
        <v>1415</v>
      </c>
      <c r="C58" s="43" t="str">
        <f t="shared" si="6"/>
        <v>DIN41612_48_3row_right_angle_male</v>
      </c>
      <c r="D58" s="44" t="str">
        <f t="shared" si="7"/>
        <v>Schematic\Connectors\Conn_48pin_3row.SchLib</v>
      </c>
      <c r="E58" s="42" t="s">
        <v>1412</v>
      </c>
      <c r="F58" s="44" t="str">
        <f t="shared" si="8"/>
        <v>Footprints\Connectors\DIN41612_48_3row_right_angle_male.PcbLib</v>
      </c>
      <c r="G58" s="42" t="s">
        <v>1414</v>
      </c>
      <c r="H58" s="42"/>
      <c r="I58" s="42"/>
      <c r="J58" s="42" t="s">
        <v>1413</v>
      </c>
      <c r="K58" s="45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2025-10-02T18:57:24Z</dcterms:modified>
</cp:coreProperties>
</file>