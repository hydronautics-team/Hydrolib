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52AC19A3-8B70-45BC-8317-42831ECD214C}" xr6:coauthVersionLast="47" xr6:coauthVersionMax="47" xr10:uidLastSave="{00000000-0000-0000-0000-000000000000}"/>
  <bookViews>
    <workbookView xWindow="3420" yWindow="3420" windowWidth="28800" windowHeight="15410" firstSheet="7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5" l="1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<sst xmlns="http://schemas.openxmlformats.org/spreadsheetml/2006/main" count="2574" uniqueCount="1031">
  <si>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</si>
  <si>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</si>
  <si>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</si>
  <si>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</si>
  <si>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</si>
  <si>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</si>
  <si>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</si>
  <si>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</si>
  <si>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</si>
  <si>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</si>
  <si>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</si>
  <si>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</si>
  <si>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</si>
  <si>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</si>
  <si>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</si>
  <si>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</si>
  <si>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</si>
  <si>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</si>
  <si>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</si>
  <si>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</si>
  <si>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</si>
  <si>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</si>
  <si>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</si>
  <si>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</si>
  <si>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</si>
  <si>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</si>
  <si>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</si>
  <si>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</si>
  <si>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</si>
  <si>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</si>
  <si>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</si>
  <si>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</si>
  <si>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</si>
  <si>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</si>
  <si>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</si>
  <si>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</si>
  <si>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</si>
  <si>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</si>
  <si>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</si>
  <si>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</si>
  <si>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</si>
  <si>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</si>
  <si>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</si>
  <si>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</si>
  <si>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</si>
  <si>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</si>
  <si>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</si>
  <si>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</si>
  <si>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</si>
  <si>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</si>
  <si>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</si>
  <si>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</si>
  <si>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</si>
  <si>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</si>
  <si>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</si>
  <si>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</si>
  <si>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</si>
  <si>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</si>
  <si>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</si>
  <si>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</si>
  <si>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</si>
  <si>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</si>
  <si>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</si>
  <si>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</si>
  <si>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</si>
  <si>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</si>
  <si>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</si>
  <si>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</si>
  <si>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</si>
  <si>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</si>
  <si>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</si>
  <si>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</si>
  <si>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</si>
  <si>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</si>
  <si>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</si>
  <si>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</si>
  <si>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</si>
  <si>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</si>
  <si>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</si>
  <si>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</si>
  <si>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</si>
  <si>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</si>
  <si>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</si>
  <si>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</si>
  <si>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</si>
  <si>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</si>
  <si>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</si>
  <si>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</si>
  <si>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</si>
  <si>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</si>
  <si>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</si>
  <si>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</si>
  <si>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</si>
  <si>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</si>
  <si>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</si>
  <si>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</si>
  <si>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</si>
  <si>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</si>
  <si>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</si>
  <si>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</si>
  <si>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</si>
  <si>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</si>
  <si>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</si>
  <si>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</si>
  <si>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</si>
  <si>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</si>
  <si>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</si>
  <si>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</si>
  <si>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</si>
  <si>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</si>
  <si>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</si>
  <si>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</si>
  <si>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</si>
  <si>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</si>
  <si>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</si>
  <si>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</si>
  <si>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</si>
  <si>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</si>
  <si>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</si>
  <si>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</si>
  <si>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</si>
  <si>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</si>
  <si>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</si>
  <si>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</si>
  <si>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</si>
  <si>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</si>
  <si>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</si>
  <si>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</si>
  <si>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</si>
  <si>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</si>
  <si>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</si>
  <si>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</si>
  <si>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</si>
  <si>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</si>
  <si>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</si>
  <si>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</si>
  <si>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</si>
  <si>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</si>
  <si>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</si>
  <si>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</si>
  <si>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</si>
  <si>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</si>
  <si>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</si>
  <si>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</si>
  <si>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</si>
  <si>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</si>
  <si>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</si>
  <si>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</si>
  <si>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</si>
  <si>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</si>
  <si>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</si>
  <si>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</si>
  <si>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</si>
  <si>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</si>
  <si>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</si>
  <si>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</si>
  <si>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</si>
  <si>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</si>
  <si>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</si>
  <si>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</si>
  <si>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</si>
  <si>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</si>
  <si>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</si>
  <si>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</si>
  <si>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</si>
  <si>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</si>
  <si>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</si>
  <si>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</si>
  <si>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</si>
  <si>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</si>
  <si>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</si>
  <si>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</si>
  <si>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</si>
  <si>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</si>
  <si>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</si>
  <si>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</si>
  <si>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</si>
  <si>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</si>
  <si>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</si>
  <si>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</si>
  <si>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</si>
  <si>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</si>
  <si>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</si>
  <si>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</si>
  <si>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</si>
  <si>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</si>
  <si>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</si>
  <si>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</si>
  <si>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</si>
  <si>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</si>
  <si>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</si>
  <si>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</si>
  <si>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</si>
  <si>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</si>
  <si>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</si>
  <si>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</si>
  <si>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</si>
  <si>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</si>
  <si>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</si>
  <si>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</si>
  <si>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</si>
  <si>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</si>
  <si>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</si>
  <si>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</si>
  <si>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</si>
  <si>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</si>
  <si>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</si>
  <si>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</si>
  <si>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</si>
  <si>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</si>
  <si>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</si>
  <si>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</si>
  <si>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</si>
  <si>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</si>
  <si>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</si>
  <si>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</si>
  <si>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</si>
  <si>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</si>
  <si>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</si>
  <si>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</si>
  <si>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</si>
  <si>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</si>
  <si>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</si>
  <si>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</si>
  <si>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</si>
  <si>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</si>
  <si>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</si>
  <si>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</si>
  <si>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</si>
  <si>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</si>
  <si>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</si>
  <si>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</si>
  <si>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</si>
  <si>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</si>
  <si>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</si>
  <si>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</si>
  <si>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</si>
  <si>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</si>
  <si>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</si>
  <si>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</si>
  <si>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</si>
  <si>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</si>
  <si>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</si>
  <si>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</si>
  <si>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</si>
  <si>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</si>
  <si>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</si>
  <si>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</si>
  <si>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</si>
  <si>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</si>
  <si>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</si>
  <si>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</si>
  <si>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</si>
  <si>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</si>
  <si>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</si>
  <si>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</si>
  <si>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</si>
  <si>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</si>
  <si>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</si>
  <si>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</si>
  <si>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</si>
  <si>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</si>
  <si>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</si>
  <si>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</si>
  <si>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</si>
  <si>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</si>
  <si>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</si>
  <si>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</si>
  <si>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</si>
  <si>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</si>
  <si>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</si>
  <si>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</si>
  <si>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</si>
  <si>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</si>
  <si>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</si>
  <si>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</si>
  <si>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</si>
  <si>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</si>
  <si>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</si>
  <si>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</si>
  <si>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</si>
  <si>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</si>
  <si>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</si>
  <si>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</si>
  <si>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</si>
  <si>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</si>
  <si>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</si>
  <si>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</si>
  <si>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</si>
  <si>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</si>
  <si>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</si>
  <si>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</si>
  <si>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</si>
  <si>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</si>
  <si>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</si>
  <si>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</si>
  <si>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</si>
  <si>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</si>
  <si>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</si>
  <si>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</si>
  <si>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</si>
  <si>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</si>
  <si>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</si>
  <si>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</si>
  <si>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</si>
  <si>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</si>
  <si>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</si>
  <si>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</si>
  <si>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</si>
  <si>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</si>
  <si>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</si>
  <si>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</si>
  <si>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</si>
  <si>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</si>
  <si>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</si>
  <si>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</si>
  <si>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</si>
  <si>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</si>
  <si>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</si>
  <si>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</si>
  <si>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</si>
  <si>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</si>
  <si>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</si>
  <si>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</si>
  <si>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</si>
  <si>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</si>
  <si>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</si>
  <si>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</si>
  <si>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</si>
  <si>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</si>
  <si>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</si>
  <si>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</si>
  <si>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</si>
  <si>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</si>
  <si>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</si>
  <si>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</si>
  <si>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</si>
  <si>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</si>
  <si>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</si>
  <si>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</si>
  <si>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</si>
  <si>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</si>
  <si>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</si>
  <si>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</si>
  <si>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</si>
  <si>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</si>
  <si>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</si>
  <si>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</si>
  <si>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</si>
  <si>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</si>
  <si>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</si>
  <si>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</si>
  <si>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</si>
  <si>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</si>
  <si>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</si>
  <si>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</si>
  <si>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</si>
  <si>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</si>
  <si>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</si>
  <si>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</si>
  <si>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</si>
  <si>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</si>
  <si>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</si>
  <si>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</si>
  <si>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</si>
  <si>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</si>
  <si>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</si>
  <si>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</si>
  <si>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</si>
  <si>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</si>
  <si>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</si>
  <si>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</si>
  <si>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</si>
  <si>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</si>
  <si>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</si>
  <si>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</si>
  <si>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</si>
  <si>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</si>
  <si>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</si>
  <si>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</si>
  <si>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</si>
  <si>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</si>
  <si>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</si>
  <si>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</si>
  <si>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</si>
  <si>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</si>
  <si>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</si>
  <si>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</si>
  <si>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</si>
  <si>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</si>
  <si>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</si>
  <si>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</si>
  <si>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</si>
  <si>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</si>
  <si>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</si>
  <si>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</si>
  <si>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</si>
  <si>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</si>
  <si>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</si>
  <si>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</si>
  <si>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</si>
  <si>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</si>
  <si>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</si>
  <si>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</si>
  <si>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</si>
  <si>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</si>
  <si>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</si>
  <si>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</si>
  <si>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</si>
  <si>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</si>
  <si>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</si>
  <si>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</si>
  <si>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</si>
  <si>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</si>
  <si>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</si>
  <si>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</si>
  <si>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</si>
  <si>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</si>
  <si>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</si>
  <si>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</si>
  <si>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</si>
  <si>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</si>
  <si>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</si>
  <si>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</si>
  <si>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</si>
  <si>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</si>
  <si>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</si>
  <si>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</si>
  <si>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</si>
  <si>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</si>
  <si>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</si>
  <si>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</si>
  <si>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</si>
  <si>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</si>
  <si>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</si>
  <si>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</si>
  <si>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</si>
  <si>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</si>
  <si>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</si>
  <si>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</si>
  <si>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</si>
  <si>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</si>
  <si>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</si>
  <si>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</si>
  <si>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</si>
  <si>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</si>
  <si>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</si>
  <si>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</si>
  <si>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</si>
  <si>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</si>
  <si>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</si>
  <si>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</si>
  <si>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</si>
  <si>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</si>
  <si>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</si>
  <si>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</si>
  <si>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</si>
  <si>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</si>
  <si>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</si>
  <si>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</si>
  <si>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</si>
  <si>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</si>
  <si>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</si>
  <si>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</si>
  <si>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</si>
  <si>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</si>
  <si>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</si>
  <si>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</si>
  <si>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</si>
  <si>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</si>
  <si>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</si>
  <si>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</si>
  <si>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</si>
  <si>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</si>
  <si>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</si>
  <si>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</si>
  <si>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</si>
  <si>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</si>
  <si>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</si>
  <si>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</si>
  <si>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</si>
  <si>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</si>
  <si>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</si>
  <si>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</si>
  <si>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</si>
  <si>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</si>
  <si>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</si>
  <si>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</si>
  <si>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</si>
  <si>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</si>
  <si>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</si>
  <si>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</si>
  <si>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</si>
  <si>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</si>
  <si>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</si>
  <si>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</si>
  <si>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</si>
  <si>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</si>
  <si>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</si>
  <si>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</si>
  <si>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</si>
  <si>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</si>
  <si>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</si>
  <si>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</si>
  <si>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</si>
  <si>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</si>
  <si>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</si>
  <si>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</si>
  <si>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</si>
  <si>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</si>
  <si>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</si>
  <si>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</si>
  <si>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</si>
  <si>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</si>
  <si>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</si>
  <si>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</si>
  <si>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</si>
  <si>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</si>
  <si>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</si>
  <si>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</si>
  <si>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</si>
  <si>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</si>
  <si>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</si>
  <si>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</si>
  <si>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</si>
  <si>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</si>
  <si>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</si>
  <si>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</si>
  <si>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</si>
  <si>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</si>
  <si>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</si>
  <si>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</si>
  <si>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</si>
  <si>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</si>
  <si>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</si>
  <si>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</si>
  <si>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</si>
  <si>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</si>
  <si>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</si>
  <si>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</si>
  <si>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</si>
  <si>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</si>
  <si>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</si>
  <si>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</si>
  <si>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</si>
  <si>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</si>
  <si>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</si>
  <si>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</si>
  <si>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</si>
  <si>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</si>
  <si>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</si>
  <si>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</si>
  <si>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</si>
  <si>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</si>
  <si>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</si>
  <si>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</si>
  <si>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</si>
  <si>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</si>
  <si>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</si>
  <si>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</si>
  <si>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</si>
  <si>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</si>
  <si>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</si>
  <si>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</si>
  <si>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</si>
  <si>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</si>
  <si>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</si>
  <si>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</si>
  <si>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</si>
  <si>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</si>
  <si>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</si>
  <si>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</si>
  <si>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</si>
  <si>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</si>
  <si>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</si>
  <si>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</si>
  <si>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</si>
  <si>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</si>
  <si>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</si>
  <si>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</si>
  <si>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</si>
  <si>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</si>
  <si>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</si>
  <si>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</si>
  <si>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</si>
  <si>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</si>
  <si>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</si>
  <si>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</si>
  <si>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</si>
  <si>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</si>
  <si>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</si>
  <si>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</si>
  <si>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</si>
  <si>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</si>
  <si>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</si>
  <si>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</si>
  <si>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</si>
  <si>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</si>
  <si>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</si>
  <si>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</si>
  <si>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</si>
  <si>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</si>
  <si>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</si>
  <si>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</si>
  <si>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</si>
  <si>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</si>
  <si>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</si>
  <si>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</si>
  <si>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</si>
  <si>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</si>
  <si>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</si>
  <si>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</si>
  <si>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</si>
  <si>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</si>
  <si>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</si>
  <si>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</si>
  <si>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</si>
  <si>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</si>
  <si>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</si>
  <si>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</si>
  <si>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</si>
  <si>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</si>
  <si>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</si>
  <si>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</si>
  <si>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</si>
  <si>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</si>
  <si>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</si>
  <si>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</si>
  <si>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</si>
  <si>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</si>
  <si>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</si>
  <si>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</si>
  <si>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</si>
  <si>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</si>
  <si>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</si>
  <si>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</si>
  <si>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</si>
  <si>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</si>
  <si>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</si>
  <si>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</si>
  <si>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</si>
  <si>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</si>
  <si>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</si>
  <si>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</si>
  <si>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</si>
  <si>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</si>
  <si>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</si>
  <si>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</si>
  <si>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</si>
  <si>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</si>
  <si>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</si>
  <si>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</si>
  <si>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</si>
  <si>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</si>
  <si>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</si>
  <si>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</si>
  <si>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</si>
  <si>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</si>
  <si>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</si>
  <si>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</si>
  <si>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</si>
  <si>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</si>
  <si>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</si>
  <si>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</si>
  <si>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</si>
  <si>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</si>
  <si>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</si>
  <si>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</si>
  <si>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</si>
  <si>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</si>
  <si>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</si>
  <si>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</si>
  <si>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</si>
  <si>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</si>
  <si>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</si>
  <si>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</si>
  <si>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</si>
  <si>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</si>
  <si>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</si>
  <si>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</si>
  <si>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</si>
  <si>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</si>
  <si>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</si>
  <si>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</si>
  <si>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</si>
  <si>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</si>
  <si>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</si>
  <si>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</si>
  <si>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</si>
  <si>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</si>
  <si>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</si>
  <si>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</si>
  <si>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</si>
  <si>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</si>
  <si>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</si>
  <si>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</si>
  <si>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</si>
  <si>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</si>
  <si>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</si>
  <si>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</si>
  <si>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</si>
  <si>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</si>
  <si>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</si>
  <si>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</si>
  <si>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</si>
  <si>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</si>
  <si>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</si>
  <si>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</si>
  <si>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</si>
  <si>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</si>
  <si>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</si>
  <si>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</si>
  <si>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</si>
  <si>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</si>
  <si>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</si>
  <si>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</si>
  <si>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</si>
  <si>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</si>
  <si>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</si>
  <si>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</si>
  <si>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</si>
  <si>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</si>
  <si>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</si>
  <si>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</si>
  <si>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</si>
  <si>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</si>
  <si>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</si>
  <si>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</si>
  <si>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</si>
  <si>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</si>
  <si>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</si>
  <si>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</si>
  <si>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</si>
  <si>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</si>
  <si>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</si>
  <si>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</si>
  <si>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</si>
  <si>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</si>
  <si>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</si>
  <si>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</si>
  <si>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</si>
  <si>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</si>
  <si>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</si>
  <si>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</si>
  <si>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</si>
  <si>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</si>
  <si>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</si>
  <si>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</si>
  <si>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</si>
  <si>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</si>
  <si>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</si>
  <si>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</si>
  <si>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</si>
  <si>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</si>
  <si>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</si>
  <si>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</si>
  <si>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</si>
  <si>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</si>
  <si>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</si>
  <si>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</si>
  <si>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</si>
  <si>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</si>
  <si>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</si>
  <si>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</si>
  <si>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</si>
  <si>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</si>
  <si>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</si>
  <si>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</si>
  <si>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</si>
  <si>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</si>
  <si>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</si>
  <si>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</si>
  <si>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</si>
  <si>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</si>
  <si>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</si>
  <si>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</si>
  <si>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</si>
  <si>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</si>
  <si>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</si>
  <si>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</si>
  <si>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</si>
  <si>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</si>
  <si>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</si>
  <si>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</si>
  <si>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</si>
  <si>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</si>
  <si>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</si>
  <si>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</si>
  <si>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</si>
  <si>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</si>
  <si>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</si>
  <si>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</si>
  <si>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</si>
  <si>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</si>
  <si>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</si>
  <si>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</si>
  <si>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</si>
  <si>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</si>
  <si>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</si>
  <si>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</si>
  <si>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</si>
  <si>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</si>
  <si>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</si>
  <si>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</si>
  <si>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</si>
  <si>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</si>
  <si>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</si>
  <si>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</si>
  <si>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</si>
  <si>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</si>
  <si>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</si>
  <si>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</si>
  <si>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</si>
  <si>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</si>
  <si>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</si>
  <si>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</si>
  <si>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</si>
  <si>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</si>
  <si>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</si>
  <si>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</si>
  <si>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</si>
  <si>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</si>
  <si>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</si>
  <si>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</si>
  <si>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</si>
  <si>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</si>
  <si>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</si>
  <si>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</si>
  <si>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</si>
  <si>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</si>
  <si>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</si>
  <si>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</si>
  <si>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</si>
  <si>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</si>
  <si>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</si>
  <si>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</si>
  <si>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</si>
  <si>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</si>
  <si>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</si>
  <si>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</si>
  <si>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</si>
  <si>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</si>
  <si>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</si>
  <si>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</si>
  <si>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</si>
  <si>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</si>
  <si>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</si>
  <si>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</si>
  <si>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</si>
  <si>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</si>
  <si>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</si>
  <si>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</si>
  <si>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</si>
  <si>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</si>
  <si>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</si>
  <si>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</si>
  <si>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</si>
  <si>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</si>
  <si>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</si>
  <si>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</si>
  <si>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</si>
  <si>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</si>
  <si>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</si>
  <si>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</si>
  <si>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</si>
  <si>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</si>
  <si>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</si>
  <si>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</si>
  <si>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</si>
  <si>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</si>
  <si>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</si>
  <si>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</si>
  <si>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</si>
  <si>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</si>
  <si>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</si>
  <si>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</si>
  <si>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</si>
  <si>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</si>
  <si>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</si>
  <si>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</si>
  <si>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</si>
  <si>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</si>
  <si>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</si>
  <si>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</si>
  <si>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</si>
  <si>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</si>
  <si>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</si>
  <si>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</si>
  <si>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</si>
  <si>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</si>
  <si>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</si>
  <si>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</si>
  <si>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</si>
  <si>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</si>
  <si>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</si>
  <si>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</si>
  <si>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</si>
  <si>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</si>
  <si>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</si>
  <si>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</si>
  <si>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</si>
  <si>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</si>
  <si>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</si>
  <si>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</si>
  <si>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</si>
  <si>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</si>
  <si>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</si>
  <si>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</si>
  <si>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</si>
  <si>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</si>
  <si>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</si>
  <si>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</si>
  <si>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</si>
  <si>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</si>
  <si>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</si>
  <si>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</si>
  <si>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</si>
  <si>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</si>
  <si>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</si>
  <si>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</si>
  <si>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</si>
  <si>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</si>
  <si>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</si>
  <si>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</si>
  <si>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</si>
  <si>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</si>
  <si>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</si>
  <si>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</si>
  <si>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</si>
  <si>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</si>
  <si>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</si>
  <si>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</si>
  <si>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</si>
  <si>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</si>
  <si>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</si>
  <si>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</si>
  <si>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</si>
  <si>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</si>
  <si>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</si>
  <si>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</si>
  <si>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</si>
  <si>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</si>
  <si>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</si>
  <si>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</si>
  <si>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</si>
  <si>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</si>
  <si>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</si>
  <si>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</si>
  <si>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</si>
  <si>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</si>
  <si>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</si>
  <si>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</si>
  <si>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</si>
  <si>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</si>
  <si>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</si>
  <si>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</si>
  <si>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</si>
  <si>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</si>
  <si>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</si>
  <si>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</si>
  <si>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</si>
  <si>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ЧИП-индуктивность 22мкГн, 1.05A, ±20% катушка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</si>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</sst>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  <xf numFmtId="0" fontId="4" fillId="0" borderId="0" xfId="0" applyFont="1" applyAlignment="1">
      <alignment horizontal="left" vertical="center" wrapText="1"/>
    </xf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I28" tableType="xml" totalsRowShown="0" headerRowDxfId="92" connectionId="6">
  <autoFilter ref="A1:I28" xr:uid="{DAFB31A0-B533-4A21-B77D-E415196B9369}"/>
  <tableColumns count="9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7" tableType="xml" totalsRowShown="0" connectionId="13">
  <autoFilter ref="A1:I7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1" tableType="xml" totalsRowShown="0" headerRowDxfId="14" dataDxfId="13" connectionId="10">
  <autoFilter ref="A1:I11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8"/>
  <sheetViews>
    <sheetView topLeftCell="C16" zoomScale="85" zoomScaleNormal="85" workbookViewId="0">
      <selection activeCell="H9" sqref="H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  <c r="H8" t="s">
        <v>984</v>
      </c>
      <c r="I8" t="s">
        <v>983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  <row r="27" spans="1:7" x14ac:dyDescent="0.35">
      <c r="A27" t="s">
        <v>958</v>
      </c>
      <c r="B27" t="s">
        <v>959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7" x14ac:dyDescent="0.35">
      <c r="A28" t="s">
        <v>979</v>
      </c>
      <c r="B28" t="s">
        <v>980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982</v>
      </c>
      <c r="G28" t="s">
        <v>981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7"/>
  <sheetViews>
    <sheetView workbookViewId="0">
      <selection activeCell="B12" sqref="B12"/>
    </sheetView>
  </sheetViews>
  <sheetFormatPr defaultRowHeight="14.5" x14ac:dyDescent="0.35"/>
  <cols>
    <col min="1" max="1" width="13.6328125" customWidth="1"/>
    <col min="2" max="2" width="31.816406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s="15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15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345</v>
      </c>
    </row>
    <row r="5" spans="1:9" x14ac:dyDescent="0.35">
      <c r="A5" t="s">
        <v>346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347</v>
      </c>
      <c r="H5">
        <v>45</v>
      </c>
      <c r="I5" s="2">
        <v>10</v>
      </c>
    </row>
    <row r="6" spans="1:9" x14ac:dyDescent="0.35">
      <c r="A6" t="s">
        <v>888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964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131</v>
      </c>
      <c r="H7">
        <v>40</v>
      </c>
      <c r="I7" s="2" t="s">
        <v>965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5" x14ac:dyDescent="0.3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  <row r="10" spans="1:19" ht="15.5" x14ac:dyDescent="0.35">
      <c r="A10" s="1" t="s">
        <v>975</v>
      </c>
      <c r="B10" s="1" t="s">
        <v>978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976</v>
      </c>
      <c r="K10" t="s">
        <v>977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3" t="s">
        <v>957</v>
      </c>
      <c r="K52" s="1" t="s">
        <v>956</v>
      </c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  <row r="173" spans="1:11" ht="15.5" x14ac:dyDescent="0.35">
      <c r="A173" s="16" t="s">
        <v>966</v>
      </c>
      <c r="B173" s="1" t="s">
        <v>967</v>
      </c>
      <c r="C173" s="1" t="s">
        <v>966</v>
      </c>
      <c r="D173" s="3" t="s">
        <v>900</v>
      </c>
      <c r="E173" s="1" t="s">
        <v>899</v>
      </c>
      <c r="F173" s="1">
        <v>100</v>
      </c>
      <c r="G173" s="14">
        <v>0.5</v>
      </c>
      <c r="H173" s="3" t="s">
        <v>896</v>
      </c>
      <c r="I173" s="13" t="s">
        <v>898</v>
      </c>
      <c r="J173" s="1"/>
      <c r="K173" s="1"/>
    </row>
    <row r="174" spans="1:11" ht="15.5" x14ac:dyDescent="0.35">
      <c r="A174" s="16" t="s">
        <v>970</v>
      </c>
      <c r="B174" s="1" t="s">
        <v>971</v>
      </c>
      <c r="C174" s="1" t="s">
        <v>970</v>
      </c>
      <c r="D174" s="3" t="s">
        <v>900</v>
      </c>
      <c r="E174" s="1" t="s">
        <v>899</v>
      </c>
      <c r="F174" s="1" t="s">
        <v>972</v>
      </c>
      <c r="G174" s="14">
        <v>0.5</v>
      </c>
      <c r="H174" s="3" t="s">
        <v>896</v>
      </c>
      <c r="I174" s="13" t="s">
        <v>898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28" workbookViewId="0">
      <selection activeCell="J42" sqref="J42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  <c r="M1" s="6" t="s">
        <v>13</v>
      </c>
      <c r="N1" s="6" t="s">
        <v>9</v>
      </c>
    </row>
    <row r="2" spans="1:14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4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4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4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4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4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4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4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4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4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4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4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4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4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4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4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4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4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4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4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  <c r="M21" s="2" t="s">
        <v>973</v>
      </c>
      <c r="N21" t="s">
        <v>974</v>
      </c>
    </row>
    <row r="22" spans="1:14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7"/>
  <sheetViews>
    <sheetView zoomScaleNormal="100" workbookViewId="0">
      <selection activeCell="B8" sqref="B8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876</v>
      </c>
      <c r="H5" s="2" t="str">
        <f t="shared" ref="H5:H6" si="2">CONCATENATE("Footprints\Inductance\",I5,".PcbLib")</f>
        <v>Footprints\Inductance\.PcbLib</v>
      </c>
      <c r="I5" s="2"/>
      <c r="J5" s="2" t="str">
        <f t="shared" ref="J5:J6" si="3">CONCATENATE("Footprints\Inductance\",K5,".PcbLib")</f>
        <v>Footprints\Inductance\.PcbLib</v>
      </c>
      <c r="K5" s="2"/>
      <c r="L5" s="2" t="str">
        <f t="shared" ref="L5:L6" si="4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342</v>
      </c>
      <c r="H6" s="2" t="str">
        <f t="shared" si="2"/>
        <v>Footprints\Inductance\.PcbLib</v>
      </c>
      <c r="I6" s="2"/>
      <c r="J6" s="2" t="str">
        <f t="shared" si="3"/>
        <v>Footprints\Inductance\.PcbLib</v>
      </c>
      <c r="K6" s="2"/>
      <c r="L6" s="2" t="str">
        <f t="shared" si="4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  <row r="7" spans="1:16" x14ac:dyDescent="0.35">
      <c r="A7" t="s">
        <v>960</v>
      </c>
      <c r="B7" t="s">
        <v>961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962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>
        <v>22</v>
      </c>
      <c r="O7" s="2" t="s">
        <v>963</v>
      </c>
      <c r="P7" t="str">
        <f>CONCATENATE(N7,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1"/>
  <sheetViews>
    <sheetView workbookViewId="0">
      <selection activeCell="G18" sqref="G1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379</v>
      </c>
      <c r="H6" t="str">
        <f t="shared" si="0"/>
        <v>Footprints\1206SB.PcbLib</v>
      </c>
      <c r="I6" t="s">
        <v>1010</v>
      </c>
    </row>
    <row r="7" spans="1:20" x14ac:dyDescent="0.35">
      <c r="A7" s="15" t="s">
        <v>885</v>
      </c>
      <c r="B7" s="15" t="s">
        <v>886</v>
      </c>
      <c r="C7" s="15" t="str">
        <f t="shared" ref="C7" si="1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 t="shared" si="0"/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 t="shared" si="0"/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 t="shared" si="0"/>
        <v>Footprints\fuse_20x5_on_clips_FC-M.PcbLib</v>
      </c>
      <c r="G9" s="15" t="s">
        <v>918</v>
      </c>
      <c r="H9" s="15"/>
      <c r="I9" s="15"/>
    </row>
    <row r="10" spans="1:20" x14ac:dyDescent="0.35">
      <c r="A10" s="15" t="s">
        <v>968</v>
      </c>
      <c r="B10" s="15" t="s">
        <v>969</v>
      </c>
      <c r="C10" s="15" t="str">
        <f>A10</f>
        <v>DHT22</v>
      </c>
      <c r="D10" s="15" t="str">
        <f>CONCATENATE("Schematic\",A10,".SchLib")</f>
        <v>Schematic\DHT22.SchLib</v>
      </c>
      <c r="E10" s="15" t="str">
        <f>A10</f>
        <v>DHT22</v>
      </c>
      <c r="F10" s="15" t="str">
        <f t="shared" si="0"/>
        <v>Footprints\DHT22.PcbLib</v>
      </c>
      <c r="G10" s="15" t="s">
        <v>968</v>
      </c>
      <c r="H10" s="15"/>
      <c r="I10" s="15"/>
    </row>
    <row r="11" spans="1:20" x14ac:dyDescent="0.35">
      <c r="A11" s="15" t="s">
        <v>999</v>
      </c>
      <c r="B11" s="15" t="s">
        <v>1000</v>
      </c>
      <c r="C11" s="15" t="str">
        <f>A11</f>
        <v>cooler4040</v>
      </c>
      <c r="D11" s="15" t="str">
        <f>CONCATENATE("Schematic\",A11,".SchLib")</f>
        <v>Schematic\cooler4040.SchLib</v>
      </c>
      <c r="E11" s="15" t="str">
        <f>A11</f>
        <v>cooler4040</v>
      </c>
      <c r="F11" s="15" t="str">
        <f t="shared" si="0"/>
        <v>Footprints\cooler4040.PcbLib</v>
      </c>
      <c r="G11" s="15" t="s">
        <v>999</v>
      </c>
      <c r="H11" s="15"/>
      <c r="I11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abSelected="1" zoomScale="85" zoomScaleNormal="85" workbookViewId="0">
      <selection activeCell="D29" sqref="D29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45.8164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  <row r="16" spans="1:9" x14ac:dyDescent="0.35">
      <c r="A16" t="s">
        <v>985</v>
      </c>
      <c r="B16" t="s">
        <v>993</v>
      </c>
      <c r="C16" s="2" t="s">
        <v>986</v>
      </c>
      <c r="D16" t="s">
        <v>987</v>
      </c>
      <c r="E16" t="s">
        <v>985</v>
      </c>
      <c r="F16" t="s">
        <v>988</v>
      </c>
      <c r="G16" t="s">
        <v>985</v>
      </c>
    </row>
    <row r="17" spans="1:7" x14ac:dyDescent="0.35">
      <c r="A17" t="s">
        <v>989</v>
      </c>
      <c r="B17" t="s">
        <v>992</v>
      </c>
      <c r="C17" s="2" t="s">
        <v>990</v>
      </c>
      <c r="D17" t="s">
        <v>991</v>
      </c>
      <c r="E17" t="s">
        <v>989</v>
      </c>
      <c r="F17" t="s">
        <v>994</v>
      </c>
      <c r="G17" t="s">
        <v>995</v>
      </c>
    </row>
    <row r="18" spans="1:7" x14ac:dyDescent="0.35">
      <c r="A18" t="s">
        <v>996</v>
      </c>
      <c r="B18" t="s">
        <v>997</v>
      </c>
      <c r="C18" s="2" t="s">
        <v>996</v>
      </c>
      <c r="D18" t="s">
        <v>351</v>
      </c>
      <c r="E18" t="s">
        <v>113</v>
      </c>
      <c r="F18" t="s">
        <v>998</v>
      </c>
      <c r="G18" t="s">
        <v>996</v>
      </c>
    </row>
    <row r="19" spans="1:7" x14ac:dyDescent="0.35">
      <c r="A19" t="s">
        <v>1001</v>
      </c>
      <c r="B19" t="s">
        <v>1005</v>
      </c>
      <c r="C19" s="2" t="s">
        <v>1002</v>
      </c>
      <c r="D19" t="s">
        <v>1003</v>
      </c>
      <c r="E19" t="s">
        <v>1001</v>
      </c>
      <c r="F19" t="s">
        <v>1004</v>
      </c>
      <c r="G19" t="s">
        <v>1001</v>
      </c>
    </row>
    <row r="20" spans="1:7" x14ac:dyDescent="0.35">
      <c r="A20" t="s">
        <v>1008</v>
      </c>
      <c r="B20" t="s">
        <v>992</v>
      </c>
      <c r="C20" s="2" t="s">
        <v>1009</v>
      </c>
      <c r="D20" s="15" t="s">
        <v>991</v>
      </c>
      <c r="E20" t="s">
        <v>989</v>
      </c>
      <c r="F20" s="15" t="s">
        <v>1007</v>
      </c>
      <c r="G20" t="s">
        <v>1006</v>
      </c>
    </row>
    <row r="21" spans="1:7" x14ac:dyDescent="0.35">
      <c r="A21" t="s">
        <v>1011</v>
      </c>
      <c r="B21" t="s">
        <v>1015</v>
      </c>
      <c r="C21" s="2" t="s">
        <v>1011</v>
      </c>
      <c r="D21" s="15" t="s">
        <v>359</v>
      </c>
      <c r="E21" t="s">
        <v>119</v>
      </c>
      <c r="F21" s="15" t="s">
        <v>1012</v>
      </c>
      <c r="G21" t="s">
        <v>1011</v>
      </c>
    </row>
    <row r="22" spans="1:7" x14ac:dyDescent="0.35">
      <c r="A22" t="s">
        <v>1014</v>
      </c>
      <c r="B22" t="s">
        <v>1013</v>
      </c>
      <c r="C22" s="2" t="s">
        <v>1014</v>
      </c>
      <c r="D22" s="15" t="s">
        <v>355</v>
      </c>
      <c r="E22" t="s">
        <v>115</v>
      </c>
      <c r="F22" s="15" t="s">
        <v>1016</v>
      </c>
      <c r="G22" t="s">
        <v>1014</v>
      </c>
    </row>
    <row r="23" spans="1:7" x14ac:dyDescent="0.35">
      <c r="A23" t="s">
        <v>1017</v>
      </c>
      <c r="B23" t="s">
        <v>1018</v>
      </c>
      <c r="C23" s="2" t="s">
        <v>1017</v>
      </c>
      <c r="D23" s="15" t="s">
        <v>357</v>
      </c>
      <c r="E23" t="s">
        <v>116</v>
      </c>
      <c r="F23" s="15" t="s">
        <v>1019</v>
      </c>
      <c r="G23" t="s">
        <v>1017</v>
      </c>
    </row>
    <row r="24" spans="1:7" x14ac:dyDescent="0.35">
      <c r="A24" t="s">
        <v>1021</v>
      </c>
      <c r="B24" t="s">
        <v>1020</v>
      </c>
      <c r="C24" s="2" t="s">
        <v>1021</v>
      </c>
      <c r="D24" s="15" t="s">
        <v>359</v>
      </c>
      <c r="E24" t="s">
        <v>119</v>
      </c>
      <c r="F24" s="15" t="s">
        <v>1024</v>
      </c>
      <c r="G24" t="s">
        <v>1021</v>
      </c>
    </row>
    <row r="25" spans="1:7" x14ac:dyDescent="0.35">
      <c r="A25" t="s">
        <v>1027</v>
      </c>
      <c r="B25" t="s">
        <v>1030</v>
      </c>
      <c r="C25" s="2" t="s">
        <v>1027</v>
      </c>
      <c r="D25" s="15" t="s">
        <v>355</v>
      </c>
      <c r="E25" t="s">
        <v>115</v>
      </c>
      <c r="F25" s="15" t="s">
        <v>1025</v>
      </c>
      <c r="G25" t="s">
        <v>1027</v>
      </c>
    </row>
    <row r="26" spans="1:7" x14ac:dyDescent="0.35">
      <c r="A26" t="s">
        <v>1028</v>
      </c>
      <c r="B26" t="s">
        <v>1029</v>
      </c>
      <c r="C26" s="2" t="s">
        <v>1028</v>
      </c>
      <c r="D26" s="15" t="s">
        <v>1022</v>
      </c>
      <c r="E26" t="s">
        <v>1023</v>
      </c>
      <c r="F26" s="15" t="s">
        <v>1026</v>
      </c>
      <c r="G26" t="s">
        <v>1028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2025-01-16T13:29:50Z</dcterms:modified>
</cp:coreProperties>
</file>