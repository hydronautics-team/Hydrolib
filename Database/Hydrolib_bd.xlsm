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ЭтаКнига"/>
  <xr:revisionPtr revIDLastSave="0" documentId="13_ncr:1_{701080BE-D5E5-488E-B09D-207F01134A1A}" xr6:coauthVersionLast="47" xr6:coauthVersionMax="47" xr10:uidLastSave="{00000000-0000-0000-0000-000000000000}"/>
  <bookViews>
    <workbookView xWindow="-96" yWindow="0" windowWidth="11712" windowHeight="12336" tabRatio="896" firstSheet="10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1" i="6" l="1"/>
  <c r="E71" i="6"/>
  <c r="D71" i="6"/>
  <c r="F70" i="6"/>
  <c r="E70" i="6"/>
  <c r="D70" i="6"/>
  <c r="C70" i="6"/>
  <c r="L31" i="10"/>
  <c r="J31" i="10"/>
  <c r="H31" i="10"/>
  <c r="F31" i="10"/>
  <c r="C31" i="10"/>
  <c r="F75" i="1"/>
  <c r="E75" i="1"/>
  <c r="D75" i="1"/>
  <c r="C75" i="1"/>
  <c r="F74" i="1"/>
  <c r="E74" i="1"/>
  <c r="D74" i="1"/>
  <c r="C74" i="1"/>
  <c r="F73" i="1"/>
  <c r="E73" i="1"/>
  <c r="D73" i="1"/>
  <c r="C73" i="1"/>
  <c r="F72" i="1"/>
  <c r="E72" i="1"/>
  <c r="D72" i="1"/>
  <c r="C72" i="1"/>
  <c r="F71" i="1"/>
  <c r="E71" i="1"/>
  <c r="D71" i="1"/>
  <c r="C71" i="1"/>
  <c r="F70" i="1"/>
  <c r="E70" i="1"/>
  <c r="D70" i="1"/>
  <c r="C70" i="1"/>
  <c r="B15" i="8" l="1"/>
  <c r="C15" i="8"/>
  <c r="D15" i="8"/>
  <c r="F15" i="8"/>
  <c r="J15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<sst xmlns="http://schemas.openxmlformats.org/spreadsheetml/2006/main" count="4262" uniqueCount="1780">
  <si>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</si>
  <si>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</si>
  <si>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</si>
  <si>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</si>
  <si>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</si>
  <si>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</si>
  <si>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</si>
  <si>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</si>
  <si>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</si>
  <si>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</si>
  <si>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</si>
  <si>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</si>
  <si>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</si>
  <si>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</si>
  <si>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</si>
  <si>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</si>
  <si>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</si>
  <si>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</si>
  <si>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</si>
  <si>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</si>
  <si>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</si>
  <si>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</si>
  <si>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</si>
  <si>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</si>
  <si>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</si>
  <si>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</si>
  <si>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</si>
  <si>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</si>
  <si>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</si>
  <si>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</si>
  <si>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</si>
  <si>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</si>
  <si>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</si>
  <si>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</si>
  <si>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</si>
  <si>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</si>
  <si>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</si>
  <si>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</si>
  <si>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</si>
  <si>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</si>
  <si>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</si>
  <si>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</si>
  <si>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</si>
  <si>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</si>
  <si>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</si>
  <si>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</si>
  <si>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</si>
  <si>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</si>
  <si>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</si>
  <si>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</si>
  <si>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</si>
  <si>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</si>
  <si>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</si>
  <si>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</si>
  <si>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</si>
  <si>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</si>
  <si>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</si>
  <si>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</si>
  <si>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</si>
  <si>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</si>
  <si>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</si>
  <si>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</si>
  <si>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</si>
  <si>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</si>
  <si>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</si>
  <si>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</si>
  <si>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</si>
  <si>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</si>
  <si>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</si>
  <si>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</si>
  <si>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</si>
  <si>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</si>
  <si>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</si>
  <si>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</si>
  <si>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</si>
  <si>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</si>
  <si>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</si>
  <si>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</si>
  <si>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</si>
  <si>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</si>
  <si>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</si>
  <si>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</si>
  <si>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</si>
  <si>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</si>
  <si>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</si>
  <si>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</si>
  <si>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</si>
  <si>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</si>
  <si>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</si>
  <si>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</si>
  <si>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</si>
  <si>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</si>
  <si>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</si>
  <si>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</si>
  <si>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</si>
  <si>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</si>
  <si>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</si>
  <si>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</si>
  <si>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</si>
  <si>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</si>
  <si>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</si>
  <si>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</si>
  <si>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</si>
  <si>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</si>
  <si>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</si>
  <si>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</si>
  <si>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</si>
  <si>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</si>
  <si>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</si>
  <si>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</si>
  <si>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</si>
  <si>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</si>
  <si>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</si>
  <si>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</si>
  <si>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</si>
  <si>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</si>
  <si>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</si>
  <si>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</si>
  <si>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</si>
  <si>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</si>
  <si>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</si>
  <si>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</si>
  <si>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</si>
  <si>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</si>
  <si>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</si>
  <si>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</si>
  <si>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</si>
  <si>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</si>
  <si>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</si>
  <si>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</si>
  <si>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</si>
  <si>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</si>
  <si>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</si>
  <si>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</si>
  <si>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</si>
  <si>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</si>
  <si>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</si>
  <si>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</si>
  <si>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</si>
  <si>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</si>
  <si>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</si>
  <si>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</si>
  <si>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</si>
  <si>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</si>
  <si>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</si>
  <si>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</si>
  <si>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</si>
  <si>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</si>
  <si>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</si>
  <si>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</si>
  <si>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</si>
  <si>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</si>
  <si>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</si>
  <si>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</si>
  <si>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</si>
  <si>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</si>
  <si>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</si>
  <si>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</si>
  <si>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</si>
  <si>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</si>
  <si>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</si>
  <si>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</si>
  <si>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</si>
  <si>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</si>
  <si>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</si>
  <si>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</si>
  <si>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</si>
  <si>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</si>
  <si>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</si>
  <si>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</si>
  <si>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</si>
  <si>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</si>
  <si>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</si>
  <si>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</si>
  <si>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</si>
  <si>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</si>
  <si>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</si>
  <si>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</si>
  <si>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</si>
  <si>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</si>
  <si>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</si>
  <si>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</si>
  <si>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</si>
  <si>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</si>
  <si>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</si>
  <si>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</si>
  <si>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</si>
  <si>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</si>
  <si>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</si>
  <si>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</si>
  <si>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</si>
  <si>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</si>
  <si>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</si>
  <si>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</si>
  <si>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</si>
  <si>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</si>
  <si>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</si>
  <si>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</si>
  <si>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</si>
  <si>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</si>
  <si>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</si>
  <si>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</si>
  <si>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</si>
  <si>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</si>
  <si>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</si>
  <si>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</si>
  <si>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</si>
  <si>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</si>
  <si>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</si>
  <si>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</si>
  <si>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</si>
  <si>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</si>
  <si>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</si>
  <si>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</si>
  <si>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</si>
  <si>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</si>
  <si>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</si>
  <si>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</si>
  <si>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</si>
  <si>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</si>
  <si>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</si>
  <si>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</si>
  <si>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</si>
  <si>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</si>
  <si>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</si>
  <si>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</si>
  <si>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</si>
  <si>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</si>
  <si>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</si>
  <si>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</si>
  <si>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</si>
  <si>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</si>
  <si>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</si>
  <si>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</si>
  <si>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</si>
  <si>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</si>
  <si>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</si>
  <si>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</si>
  <si>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</si>
  <si>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</si>
  <si>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</si>
  <si>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</si>
  <si>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</si>
  <si>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</si>
  <si>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</si>
  <si>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</si>
  <si>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</si>
  <si>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</si>
  <si>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</si>
  <si>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</si>
  <si>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</si>
  <si>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</si>
  <si>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</si>
  <si>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</si>
  <si>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</si>
  <si>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</si>
  <si>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</si>
  <si>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</si>
  <si>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</si>
  <si>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</si>
  <si>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</si>
  <si>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</si>
  <si>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</si>
  <si>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</si>
  <si>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</si>
  <si>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</si>
  <si>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</si>
  <si>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</si>
  <si>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</si>
  <si>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</si>
  <si>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</si>
  <si>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</si>
  <si>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</si>
  <si>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</si>
  <si>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</si>
  <si>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</si>
  <si>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</si>
  <si>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</si>
  <si>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</si>
  <si>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</si>
  <si>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</si>
  <si>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</si>
  <si>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</si>
  <si>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</si>
  <si>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</si>
  <si>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</si>
  <si>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</si>
  <si>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</si>
  <si>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</si>
  <si>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</si>
  <si>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</si>
  <si>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</si>
  <si>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</si>
  <si>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</si>
  <si>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</si>
  <si>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</si>
  <si>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</si>
  <si>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</si>
  <si>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</si>
  <si>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</si>
  <si>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</si>
  <si>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</si>
  <si>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</si>
  <si>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</si>
  <si>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</si>
  <si>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</si>
  <si>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</si>
  <si>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</si>
  <si>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</si>
  <si>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</si>
  <si>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</si>
  <si>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</si>
  <si>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</si>
  <si>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</si>
  <si>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</si>
  <si>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</si>
  <si>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</si>
  <si>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</si>
  <si>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</si>
  <si>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</si>
  <si>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</si>
  <si>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</si>
  <si>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</si>
  <si>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</si>
  <si>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</si>
  <si>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</si>
  <si>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</si>
  <si>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</si>
  <si>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</si>
  <si>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</si>
  <si>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</si>
  <si>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</si>
  <si>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</si>
  <si>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</si>
  <si>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</si>
  <si>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</si>
  <si>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</si>
  <si>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</si>
  <si>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</si>
  <si>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</si>
  <si>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</si>
  <si>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</si>
  <si>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</si>
  <si>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</si>
  <si>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</si>
  <si>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</si>
  <si>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</si>
  <si>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</si>
  <si>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</si>
  <si>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</si>
  <si>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</si>
  <si>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</si>
  <si>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</si>
  <si>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</si>
  <si>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</si>
  <si>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</si>
  <si>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</si>
  <si>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</si>
  <si>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</si>
  <si>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</si>
  <si>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</si>
  <si>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</si>
  <si>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</si>
  <si>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</si>
  <si>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</si>
  <si>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</si>
  <si>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</si>
  <si>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</si>
  <si>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</si>
  <si>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</si>
  <si>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</si>
  <si>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</si>
  <si>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</si>
  <si>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</si>
  <si>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</si>
  <si>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</si>
  <si>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</si>
  <si>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</si>
  <si>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</si>
  <si>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</si>
  <si>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</si>
  <si>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</si>
  <si>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</si>
  <si>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</si>
  <si>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</si>
  <si>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</si>
  <si>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</si>
  <si>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</si>
  <si>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</si>
  <si>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</si>
  <si>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</si>
  <si>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</si>
  <si>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</si>
  <si>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</si>
  <si>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</si>
  <si>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</si>
  <si>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</si>
  <si>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</si>
  <si>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</si>
  <si>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</si>
  <si>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</si>
  <si>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</si>
  <si>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</si>
  <si>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</si>
  <si>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</si>
  <si>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</si>
  <si>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</si>
  <si>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</si>
  <si>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</si>
  <si>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</si>
  <si>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</si>
  <si>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</si>
  <si>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</si>
  <si>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</si>
  <si>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</si>
  <si>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</si>
  <si>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</si>
  <si>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</si>
  <si>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</si>
  <si>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</si>
  <si>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</si>
  <si>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</si>
  <si>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</si>
  <si>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</si>
  <si>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</si>
  <si>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</si>
  <si>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</si>
  <si>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</si>
  <si>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</si>
  <si>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</si>
  <si>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</si>
  <si>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</si>
  <si>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</si>
  <si>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</si>
  <si>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</si>
  <si>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</si>
  <si>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</si>
  <si>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</si>
  <si>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</si>
  <si>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</si>
  <si>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</si>
  <si>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</si>
  <si>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</si>
  <si>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</si>
  <si>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</si>
  <si>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</si>
  <si>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</si>
  <si>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</si>
  <si>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</si>
  <si>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</si>
  <si>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</si>
  <si>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</si>
  <si>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</si>
  <si>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</si>
  <si>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</si>
  <si>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</si>
  <si>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</si>
  <si>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</si>
  <si>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</si>
  <si>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</si>
  <si>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</si>
  <si>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</si>
  <si>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</si>
  <si>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</si>
  <si>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</si>
  <si>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</si>
  <si>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</si>
  <si>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</si>
  <si>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</si>
  <si>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</si>
  <si>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</si>
  <si>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</si>
  <si>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</si>
  <si>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</si>
  <si>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</si>
  <si>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</si>
  <si>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</si>
  <si>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</si>
  <si>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</si>
  <si>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</si>
  <si>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</si>
  <si>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</si>
  <si>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</si>
  <si>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</si>
  <si>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</si>
  <si>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</si>
  <si>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</si>
  <si>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</si>
  <si>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</si>
  <si>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</si>
  <si>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</si>
  <si>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</si>
  <si>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</si>
  <si>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</si>
  <si>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</si>
  <si>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</si>
  <si>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</si>
  <si>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</si>
  <si>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</si>
  <si>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</si>
  <si>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</si>
  <si>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</si>
  <si>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</si>
  <si>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</si>
  <si>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</si>
  <si>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</si>
  <si>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</si>
  <si>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</si>
  <si>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</si>
  <si>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</si>
  <si>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</si>
  <si>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</si>
  <si>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</si>
  <si>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</si>
  <si>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</si>
  <si>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</si>
  <si>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</si>
  <si>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</si>
  <si>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</si>
  <si>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</si>
  <si>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</si>
  <si>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</si>
  <si>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</si>
  <si>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</si>
  <si>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</si>
  <si>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</si>
  <si>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</si>
  <si>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</si>
  <si>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</si>
  <si>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</si>
  <si>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</si>
  <si>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</si>
  <si>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</si>
  <si>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</si>
  <si>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</si>
  <si>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</si>
  <si>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</si>
  <si>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</si>
  <si>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</si>
  <si>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</si>
  <si>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</si>
  <si>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</si>
  <si>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</si>
  <si>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</si>
  <si>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</si>
  <si>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</si>
  <si>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</si>
  <si>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</si>
  <si>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</si>
  <si>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</si>
  <si>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</si>
  <si>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</si>
  <si>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</si>
  <si>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</si>
  <si>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</si>
  <si>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</si>
  <si>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</si>
  <si>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</si>
  <si>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</si>
  <si>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</si>
  <si>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</si>
  <si>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</si>
  <si>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</si>
  <si>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</si>
  <si>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</si>
  <si>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</si>
  <si>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</si>
  <si>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</si>
  <si>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</si>
  <si>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</si>
  <si>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</si>
  <si>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</si>
  <si>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</si>
  <si>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</si>
  <si>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</si>
  <si>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</si>
  <si>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</si>
  <si>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</si>
  <si>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</si>
  <si>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</si>
  <si>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</si>
  <si>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</si>
  <si>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</si>
  <si>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</si>
  <si>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</si>
  <si>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</si>
  <si>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</si>
  <si>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</si>
  <si>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</si>
  <si>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</si>
  <si>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</si>
  <si>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</si>
  <si>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</si>
  <si>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</si>
  <si>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</si>
  <si>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</si>
  <si>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</si>
  <si>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</si>
  <si>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</si>
  <si>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</si>
  <si>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</si>
  <si>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</si>
  <si>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</si>
  <si>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</si>
  <si>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</si>
  <si>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</si>
  <si>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</si>
  <si>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</si>
  <si>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</si>
  <si>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</si>
  <si>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</si>
  <si>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</si>
  <si>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</si>
  <si>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</si>
  <si>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</si>
  <si>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</si>
  <si>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</si>
  <si>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</si>
  <si>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</si>
  <si>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</si>
  <si>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</si>
  <si>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</si>
  <si>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</si>
  <si>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</si>
  <si>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</si>
  <si>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</si>
  <si>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</si>
  <si>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</si>
  <si>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</si>
  <si>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</si>
  <si>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</si>
  <si>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</si>
  <si>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</si>
  <si>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</si>
  <si>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</si>
  <si>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</si>
  <si>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</si>
  <si>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</si>
  <si>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</si>
  <si>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</si>
  <si>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</si>
  <si>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</si>
  <si>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</si>
  <si>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</si>
  <si>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</si>
  <si>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</si>
  <si>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</si>
  <si>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</si>
  <si>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</si>
  <si>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</si>
  <si>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</si>
  <si>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</si>
  <si>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</si>
  <si>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</si>
  <si>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</si>
  <si>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</si>
  <si>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</si>
  <si>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</si>
  <si>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</si>
  <si>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</si>
  <si>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</si>
  <si>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</si>
  <si>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</si>
  <si>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</si>
  <si>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</si>
  <si>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</si>
  <si>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</si>
  <si>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</si>
  <si>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</si>
  <si>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</si>
  <si>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</si>
  <si>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</si>
  <si>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</si>
  <si>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</si>
  <si>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</si>
  <si>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</si>
  <si>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</si>
  <si>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</si>
  <si>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</si>
  <si>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</si>
  <si>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</si>
  <si>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</si>
  <si>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</si>
  <si>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</si>
  <si>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</si>
  <si>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</si>
  <si>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</si>
  <si>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</si>
  <si>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</si>
  <si>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</si>
  <si>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</si>
  <si>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</si>
  <si>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</si>
  <si>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</si>
  <si>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</si>
  <si>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</si>
  <si>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</si>
  <si>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</si>
  <si>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</si>
  <si>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</si>
  <si>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</si>
  <si>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</si>
  <si>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</si>
  <si>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</si>
  <si>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</si>
  <si>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</si>
  <si>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</si>
  <si>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</si>
  <si>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</si>
  <si>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</si>
  <si>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</si>
  <si>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</si>
  <si>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</si>
  <si>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</si>
  <si>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</si>
  <si>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</si>
  <si>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</si>
  <si>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</si>
  <si>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</si>
  <si>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</si>
  <si>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</si>
  <si>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</si>
  <si>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</si>
  <si>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</si>
  <si>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</si>
  <si>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</si>
  <si>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</si>
  <si>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</si>
  <si>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</si>
  <si>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</si>
  <si>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</si>
  <si>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</si>
  <si>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</si>
  <si>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</si>
  <si>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</si>
  <si>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</si>
  <si>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</si>
  <si>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</si>
  <si>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</si>
  <si>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</si>
  <si>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</si>
  <si>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</si>
  <si>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</si>
  <si>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</si>
  <si>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</si>
  <si>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</si>
  <si>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</si>
  <si>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</si>
  <si>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</si>
  <si>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</si>
  <si>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</si>
  <si>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</si>
  <si>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</si>
  <si>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</si>
  <si>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</si>
  <si>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</si>
  <si>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</si>
  <si>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</si>
  <si>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</si>
  <si>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</si>
  <si>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</si>
  <si>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</si>
  <si>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</si>
  <si>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</si>
  <si>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</si>
  <si>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</si>
  <si>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</si>
  <si>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</si>
  <si>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</si>
  <si>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</si>
  <si>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</si>
  <si>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</si>
  <si>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</si>
  <si>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</si>
  <si>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</si>
  <si>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</si>
  <si>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</si>
  <si>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</si>
  <si>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</si>
  <si>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</si>
  <si>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</si>
  <si>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</si>
  <si>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</si>
  <si>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</si>
  <si>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</si>
  <si>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</si>
  <si>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</si>
  <si>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</si>
  <si>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</si>
  <si>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</si>
  <si>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</si>
  <si>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</si>
  <si>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</si>
  <si>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</si>
  <si>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</si>
  <si>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</si>
  <si>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</si>
  <si>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</si>
  <si>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</si>
  <si>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</si>
  <si>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</si>
  <si>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</si>
  <si>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</si>
  <si>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</si>
  <si>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</si>
  <si>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</si>
  <si>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</si>
  <si>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</si>
  <si>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</si>
  <si>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</si>
  <si>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</si>
  <si>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</si>
  <si>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</si>
  <si>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</si>
  <si>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</si>
  <si>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</si>
  <si>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</si>
  <si>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</si>
  <si>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</si>
  <si>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</si>
  <si>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</si>
  <si>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</si>
  <si>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</si>
  <si>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</si>
  <si>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</si>
  <si>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</si>
  <si>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</si>
  <si>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</si>
  <si>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</si>
  <si>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</si>
  <si>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</si>
  <si>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</si>
  <si>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</si>
  <si>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</si>
  <si>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</si>
  <si>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</si>
  <si>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</si>
  <si>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</si>
  <si>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</si>
  <si>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</si>
  <si>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</si>
  <si>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</si>
  <si>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</si>
  <si>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</si>
  <si>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</si>
  <si>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</si>
  <si>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</si>
  <si>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</si>
  <si>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</si>
  <si>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</si>
  <si>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</si>
  <si>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</si>
  <si>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</si>
  <si>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</si>
  <si>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</si>
  <si>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</si>
  <si>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</si>
  <si>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</si>
  <si>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</si>
  <si>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</si>
  <si>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</si>
  <si>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</si>
  <si>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</si>
  <si>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</si>
  <si>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</si>
  <si>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</si>
  <si>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</si>
  <si>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</si>
  <si>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</si>
  <si>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</si>
  <si>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</si>
  <si>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</si>
  <si>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</si>
  <si>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</si>
  <si>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</si>
  <si>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</si>
  <si>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</si>
  <si>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</si>
  <si>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</si>
  <si>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</si>
  <si>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</si>
  <si>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</si>
  <si>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</si>
  <si>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</si>
  <si>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</si>
  <si>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</si>
  <si>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</si>
  <si>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</si>
  <si>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</si>
  <si>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</si>
  <si>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</si>
  <si>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</si>
  <si>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</si>
  <si>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</si>
  <si>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</si>
  <si>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</si>
  <si>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</si>
  <si>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</si>
  <si>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</si>
  <si>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</si>
  <si>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</si>
  <si>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</si>
  <si>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</si>
  <si>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</si>
  <si>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</si>
  <si>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</si>
  <si>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</si>
  <si>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</si>
  <si>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</si>
  <si>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</si>
  <si>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</si>
  <si>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</si>
  <si>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</si>
  <si>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</si>
  <si>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</si>
  <si>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</si>
  <si>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</si>
  <si>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</si>
  <si>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</si>
  <si>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</si>
  <si>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</si>
  <si>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</si>
  <si>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</si>
  <si>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</si>
  <si>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</si>
  <si>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</si>
  <si>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</si>
  <si>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</si>
  <si>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</si>
  <si>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</si>
  <si>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</si>
  <si>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</si>
  <si>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</si>
  <si>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</si>
  <si>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</si>
  <si>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</si>
  <si>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</si>
  <si>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</si>
  <si>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</si>
  <si>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</si>
  <si>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</si>
  <si>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</si>
  <si>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</si>
  <si>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</si>
  <si>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</si>
  <si>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</si>
  <si>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</si>
  <si>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</si>
  <si>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</si>
  <si>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</si>
  <si>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</si>
  <si>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</si>
  <si>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</si>
  <si>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</si>
  <si>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</si>
  <si>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</si>
  <si>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</si>
  <si>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</si>
  <si>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</si>
  <si>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</si>
  <si>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</si>
  <si>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</si>
  <si>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</si>
  <si>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</si>
  <si>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</si>
  <si>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</si>
  <si>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</si>
  <si>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</si>
  <si>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</si>
  <si>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</si>
  <si>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</si>
  <si>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</si>
  <si>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</si>
  <si>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</si>
  <si>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</si>
  <si>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</si>
  <si>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</si>
  <si>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</si>
  <si>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</si>
  <si>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</si>
  <si>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</si>
  <si>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</si>
  <si>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</si>
  <si>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</si>
  <si>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</si>
  <si>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</si>
  <si>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</si>
  <si>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</si>
  <si>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</si>
  <si>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</si>
  <si>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</si>
  <si>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</si>
  <si>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</si>
  <si>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</si>
  <si>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</si>
  <si>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</si>
  <si>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</si>
  <si>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</si>
  <si>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</si>
  <si>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</si>
  <si>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</si>
  <si>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</si>
  <si>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</si>
  <si>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</si>
  <si>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</si>
  <si>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</si>
  <si>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</si>
  <si>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</si>
  <si>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</si>
  <si>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</si>
  <si>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</si>
  <si>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</si>
  <si>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</si>
  <si>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</si>
  <si>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</si>
  <si>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</si>
  <si>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</si>
  <si>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</si>
  <si>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</si>
  <si>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</si>
  <si>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</si>
  <si>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</si>
  <si>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</si>
  <si>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</si>
  <si>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</si>
  <si>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</si>
  <si>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</si>
  <si>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</si>
  <si>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</si>
  <si>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</si>
  <si>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</si>
  <si>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</si>
  <si>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</si>
  <si>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</si>
  <si>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</si>
  <si>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</si>
  <si>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</si>
  <si>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</si>
  <si>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</si>
  <si>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</si>
  <si>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</si>
  <si>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</si>
  <si>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</si>
  <si>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</si>
  <si>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</si>
  <si>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</si>
  <si>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</si>
  <si>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</si>
  <si>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</si>
  <si>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</si>
  <si>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</si>
  <si>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</si>
  <si>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</si>
  <si>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</si>
  <si>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</si>
  <si>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</si>
  <si>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</si>
  <si>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</si>
  <si>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</si>
  <si>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</si>
  <si>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</si>
  <si>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</si>
  <si>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</si>
  <si>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</si>
  <si>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</si>
  <si>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</si>
  <si>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</si>
  <si>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</si>
  <si>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</si>
  <si>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</si>
  <si>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</si>
  <si>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</si>
  <si>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</si>
  <si>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</si>
  <si>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</si>
  <si>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</si>
  <si>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</si>
  <si>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</si>
  <si>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</si>
  <si>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</si>
  <si>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</si>
  <si>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</si>
  <si>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</si>
  <si>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</si>
  <si>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</si>
  <si>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</si>
  <si>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</si>
  <si>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</si>
  <si>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</si>
  <si>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</si>
  <si>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</si>
  <si>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</si>
  <si>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</si>
  <si>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</si>
  <si>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</si>
  <si>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</si>
  <si>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</si>
  <si>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</si>
  <si>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</si>
  <si>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</si>
  <si>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</si>
  <si>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</si>
  <si>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</si>
  <si>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</si>
  <si>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</si>
  <si>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</si>
  <si>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</si>
  <si>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</si>
  <si>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</si>
  <si>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</si>
  <si>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</si>
  <si>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</si>
  <si>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</si>
  <si>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</si>
  <si>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</si>
  <si>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</si>
  <si>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</si>
  <si>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</si>
  <si>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</si>
  <si>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</si>
  <si>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</si>
  <si>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</si>
  <si>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</si>
  <si>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</si>
  <si>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</si>
  <si>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</si>
  <si>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</si>
  <si>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</si>
  <si>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</si>
  <si>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</si>
  <si>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</si>
  <si>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</si>
  <si>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</si>
  <si>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</si>
  <si>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</si>
  <si>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</si>
  <si>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</si>
  <si>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</si>
  <si>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</si>
  <si>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</si>
  <si>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</si>
  <si>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</si>
  <si>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</si>
  <si>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</si>
  <si>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</si>
  <si>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</si>
  <si>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</si>
  <si>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</si>
  <si>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</si>
  <si>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</si>
  <si>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</si>
  <si>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</si>
  <si>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</si>
  <si>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</si>
  <si>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</si>
  <si>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</si>
  <si>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</si>
  <si>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</si>
  <si>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</si>
  <si>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</si>
  <si>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</si>
  <si>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</si>
  <si>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</si>
  <si>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</si>
  <si>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</si>
  <si>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</si>
  <si>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</si>
  <si>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</si>
  <si>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</si>
  <si>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</si>
  <si>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</si>
  <si>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</si>
  <si>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</si>
  <si>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</si>
  <si>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</si>
  <si>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</si>
  <si>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</si>
  <si>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</si>
  <si>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</si>
  <si>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</si>
  <si>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</si>
  <si>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</si>
  <si>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</si>
  <si>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</si>
  <si>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</si>
  <si>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</si>
  <si>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</si>
  <si>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</si>
  <si>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</si>
  <si>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</si>
  <si>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</si>
  <si>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</si>
  <si>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</si>
  <si>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</si>
  <si>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</si>
  <si>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</si>
  <si>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</si>
  <si>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</si>
  <si>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</si>
  <si>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</si>
  <si>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</si>
  <si>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</si>
  <si>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</si>
  <si>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</si>
  <si>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</si>
  <si>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</si>
  <si>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</si>
  <si>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</si>
  <si>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</si>
  <si>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</si>
  <si>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</si>
  <si>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</si>
  <si>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</si>
  <si>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</si>
  <si>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</si>
  <si>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</si>
  <si>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</si>
  <si>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</si>
  <si>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</si>
  <si>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</si>
  <si>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</si>
  <si>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</si>
  <si>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</si>
  <si>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</si>
  <si>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</si>
  <si>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</si>
  <si>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</si>
  <si>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</si>
  <si>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</si>
  <si>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</si>
  <si>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</si>
  <si>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</si>
  <si>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</si>
  <si>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</si>
  <si>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</si>
  <si>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</si>
  <si>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</si>
  <si>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</si>
  <si>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</si>
  <si>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</si>
  <si>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</si>
  <si>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</si>
  <si>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</si>
  <si>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</si>
  <si>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</si>
  <si>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</si>
  <si>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</si>
  <si>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</si>
  <si>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</si>
  <si>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</si>
  <si>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</si>
  <si>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</si>
  <si>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</si>
  <si>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</si>
  <si>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</si>
  <si>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</si>
  <si>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</si>
  <si>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</si>
  <si>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</si>
  <si>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</si>
  <si>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</si>
  <si>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</si>
  <si>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</si>
  <si>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</si>
  <si>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</si>
  <si>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</si>
  <si>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</si>
  <si>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</si>
  <si>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</si>
  <si>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</si>
  <si>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</si>
  <si>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</si>
  <si>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</si>
  <si>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</si>
  <si>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</si>
  <si>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</si>
  <si>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</si>
  <si>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</si>
  <si>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</si>
  <si>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</si>
  <si>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</si>
  <si>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</si>
  <si>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</si>
  <si>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</si>
  <si>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</si>
  <si>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</si>
  <si>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</si>
  <si>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</si>
  <si>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</si>
  <si>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</si>
  <si>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</si>
  <si>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</si>
  <si>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</si>
  <si>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</si>
  <si>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</si>
  <si>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</si>
  <si>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</si>
  <si>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</si>
  <si>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</si>
  <si>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</si>
  <si>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</si>
  <si>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</si>
  <si>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</si>
  <si>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</si>
  <si>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</si>
  <si>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</si>
  <si>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</si>
  <si>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</si>
  <si>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</si>
  <si>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</si>
  <si>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</si>
  <si>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</si>
  <si>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</si>
  <si>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</si>
  <si>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</si>
  <si>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</si>
  <si>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</si>
  <si>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</si>
  <si>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</si>
  <si>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</si>
  <si>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</si>
  <si>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</si>
  <si>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</si>
  <si>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</si>
  <si>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</si>
  <si>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</si>
  <si>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</si>
  <si>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</si>
  <si>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</si>
  <si>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</si>
  <si>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</si>
  <si>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</si>
  <si>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</si>
  <si>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</si>
  <si>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</si>
  <si>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</si>
  <si>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</si>
  <si>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</si>
  <si>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</si>
  <si>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</si>
  <si>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</si>
  <si>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</si>
  <si>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</si>
  <si>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</si>
  <si>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</si>
  <si>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</si>
  <si>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</si>
  <si>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</si>
  <si>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</si>
  <si>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</si>
  <si>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</si>
  <si>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</si>
  <si>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</si>
  <si>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</si>
  <si>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</si>
  <si>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</si>
  <si>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</si>
  <si>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</si>
  <si>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</si>
  <si>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</si>
  <si>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</si>
  <si>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</si>
  <si>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</si>
  <si>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</si>
  <si>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</si>
  <si>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</si>
  <si>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</si>
  <si>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</si>
  <si>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</si>
  <si>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</si>
  <si>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</si>
  <si>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</si>
  <si>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</si>
  <si>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</si>
  <si>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</si>
  <si>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</si>
  <si>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</si>
  <si>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</si>
  <si>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</si>
  <si>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</si>
  <si>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</si>
  <si>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</si>
  <si>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</si>
  <si>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</si>
  <si>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</si>
  <si>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</si>
  <si>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</si>
  <si>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</si>
  <si>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</si>
  <si>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</si>
  <si>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</si>
  <si>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</si>
  <si>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</si>
  <si>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</si>
  <si>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</si>
  <si>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</si>
  <si>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</si>
  <si>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</si>
  <si>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</si>
  <si>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</si>
  <si>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</si>
  <si>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</si>
  <si>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</si>
  <si>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</si>
  <si>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</si>
  <si>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</si>
  <si>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</si>
  <si>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</si>
  <si>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</si>
  <si>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</si>
  <si>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</si>
  <si>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</si>
  <si>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</si>
  <si>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</si>
  <si>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</si>
  <si>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</si>
  <si>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</si>
  <si>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</si>
  <si>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</si>
  <si>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</si>
  <si>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</si>
  <si>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</si>
  <si>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</si>
  <si>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</si>
  <si>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</si>
  <si>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</si>
  <si>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</si>
  <si>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</si>
  <si>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</si>
  <si>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</si>
  <si>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</si>
  <si>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</si>
  <si>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</si>
  <si>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</si>
  <si>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</si>
  <si>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</si>
  <si>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</si>
  <si>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</si>
  <si>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</si>
  <si>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</si>
  <si>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</si>
  <si>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</si>
  <si>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</si>
  <si>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</si>
  <si>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</si>
  <si>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</si>
  <si>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</si>
  <si>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</si>
  <si>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</si>
  <si>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</si>
  <si>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</si>
  <si>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</si>
  <si>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</si>
  <si>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</si>
  <si>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</si>
  <si>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</si>
  <si>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</si>
  <si>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</si>
  <si>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</si>
  <si>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</si>
  <si>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</si>
  <si>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</si>
  <si>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</si>
  <si>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</si>
  <si>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</si>
  <si>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</si>
  <si>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</si>
  <si>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</si>
  <si>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</si>
  <si>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</si>
  <si>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</si>
  <si>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</si>
  <si>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</si>
  <si>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</si>
  <si>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</si>
  <si>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</si>
  <si>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</si>
  <si>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</si>
  <si>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</si>
  <si>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</si>
  <si>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</si>
  <si>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</si>
  <si>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</si>
  <si>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</si>
  <si>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</si>
  <si>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</si>
  <si>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</si>
  <si>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</si>
  <si>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</si>
  <si>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</si>
  <si>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</si>
  <si>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</si>
  <si>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</si>
  <si>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</si>
  <si>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</si>
  <si>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</si>
  <si>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</si>
  <si>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</si>
  <si>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</si>
  <si>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</si>
  <si>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</si>
  <si>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</si>
  <si>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</si>
  <si>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</si>
  <si>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</si>
  <si>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</si>
  <si>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</si>
  <si>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</si>
  <si>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</si>
  <si>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</si>
  <si>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</si>
  <si>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</si>
  <si>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</si>
  <si>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</si>
  <si>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</si>
  <si>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</si>
  <si>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</si>
  <si>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</si>
  <si>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</si>
  <si>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</si>
  <si>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</si>
  <si>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</si>
  <si>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</si>
  <si>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</si>
  <si>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</si>
  <si>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</si>
  <si>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</si>
  <si>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</si>
  <si>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</si>
  <si>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</si>
  <si>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</si>
  <si>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</si>
  <si>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</si>
  <si>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</si>
  <si>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</si>
  <si>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</si>
  <si>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</si>
  <si>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</si>
  <si>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</si>
  <si>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</si>
  <si>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</si>
  <si>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</si>
  <si>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</si>
  <si>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</si>
  <si>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</si>
  <si>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</si>
  <si>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</si>
  <si>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</si>
  <si>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</si>
  <si>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</si>
  <si>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</si>
  <si>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</si>
  <si>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</si>
  <si>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</si>
  <si>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</si>
  <si>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</si>
  <si>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</si>
  <si>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</si>
  <si>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</si>
  <si>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</si>
  <si>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</si>
  <si>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</si>
  <si>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</si>
  <si>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</si>
  <si>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</si>
  <si>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</si>
  <si>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</si>
  <si>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</si>
  <si>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</si>
  <si>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</si>
  <si>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</si>
  <si>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</si>
  <si>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</si>
  <si>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</si>
  <si>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</si>
  <si>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</si>
  <si>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</si>
  <si>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</si>
  <si>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</si>
  <si>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</si>
  <si>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</si>
  <si>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</si>
  <si>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</si>
  <si>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</si>
  <si>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</si>
  <si>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</si>
  <si>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</si>
  <si>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</si>
  <si>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</si>
  <si>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</si>
  <si>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</si>
  <si>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</si>
  <si>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</si>
  <si>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</si>
  <si>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</si>
  <si>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</si>
  <si>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</si>
  <si>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</si>
  <si>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</si>
  <si>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</si>
  <si>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</si>
  <si>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</si>
  <si>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</si>
  <si>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</si>
  <si>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</si>
  <si>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</si>
  <si>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</si>
  <si>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</si>
  <si>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</si>
  <si>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</si>
  <si>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</si>
  <si>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</si>
  <si>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</si>
  <si>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</si>
  <si>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</si>
  <si>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</si>
  <si>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</si>
  <si>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</si>
  <si>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</si>
  <si>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</si>
  <si>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</si>
  <si>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</si>
  <si>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</si>
  <si>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</si>
  <si>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</si>
  <si>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</si>
  <si>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</si>
  <si>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</si>
  <si>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</si>
  <si>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</si>
  <si>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</si>
  <si>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</si>
  <si>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</si>
  <si>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</si>
  <si>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</si>
  <si>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</si>
  <si>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</si>
  <si>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</si>
  <si>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</si>
  <si>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</si>
  <si>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</si>
  <si>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</si>
  <si>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</si>
  <si>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</si>
  <si>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</si>
  <si>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</si>
  <si>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</si>
  <si>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</si>
  <si>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</si>
  <si>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</si>
  <si>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</si>
  <si>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</si>
  <si>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</si>
  <si>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</si>
  <si>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</si>
  <si>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</si>
  <si>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</si>
  <si>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</si>
  <si>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</si>
  <si>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</si>
  <si>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</si>
  <si>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</si>
  <si>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</si>
  <si>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</si>
  <si>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</si>
  <si>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</si>
  <si>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</si>
  <si>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</si>
  <si>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</si>
  <si>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</si>
  <si>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</si>
  <si>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</si>
  <si>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</si>
  <si>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</si>
  <si>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</si>
  <si>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</si>
  <si>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</si>
  <si>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</si>
  <si>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</si>
  <si>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</si>
  <si>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</si>
  <si>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</si>
  <si>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</si>
  <si>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</si>
  <si>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</si>
  <si>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</si>
  <si>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</si>
  <si>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</si>
  <si>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</si>
  <si>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</si>
  <si>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</si>
  <si>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</si>
  <si>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</si>
  <si>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</si>
  <si>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</si>
  <si>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</si>
  <si>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</si>
  <si>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</si>
  <si>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</si>
  <si>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</si>
  <si>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</si>
  <si>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</si>
  <si>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</si>
  <si>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</si>
  <si>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</si>
  <si>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</si>
  <si>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</si>
  <si>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</si>
  <si>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</si>
  <si>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</si>
  <si>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</si>
  <si>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</si>
  <si>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</si>
  <si>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</si>
  <si>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</si>
  <si>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</si>
  <si>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</si>
  <si>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</si>
  <si>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</si>
  <si>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</si>
  <si>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</si>
  <si>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</si>
  <si>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</si>
  <si>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</si>
  <si>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</si>
  <si>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</si>
  <si>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</si>
  <si>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</si>
  <si>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</si>
  <si>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</si>
  <si>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</si>
  <si>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</si>
  <si>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</si>
  <si>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</si>
  <si>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</si>
  <si>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</si>
  <si>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</si>
  <si>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</si>
  <si>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</si>
  <si>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</si>
  <si>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</si>
  <si>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</si>
  <si>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</si>
  <si>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</si>
  <si>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GRM1885C1H560J</t>
  </si>
  <si>
    <t>Конденсатор 0603C ёмкостью 56 п 5%, 630 В, NP0</t>
  </si>
  <si>
    <t>56 п</t>
  </si>
  <si>
    <t>0,056</t>
  </si>
  <si>
    <t>DOC000235066.pdf</t>
  </si>
  <si>
    <t>Vouka06</t>
  </si>
  <si>
    <t>ADR02BUJZ</t>
  </si>
  <si>
    <t>Источник опорного напряжения, 5В</t>
  </si>
  <si>
    <t>ADR01/ADR02/ADR03/ADR06 (Rev. S)</t>
  </si>
  <si>
    <t>Vouka05</t>
  </si>
  <si>
    <t>ADS1220IPWR</t>
  </si>
  <si>
    <t>24-Бит Sigma-Delta аналого-цифровой преобразователь</t>
  </si>
  <si>
    <t>Low-Power, Low-Noise, 24-Bit, ADC for Small-Signal Sensors (Rev. B)</t>
  </si>
  <si>
    <t>AP63203WU-7</t>
  </si>
  <si>
    <t>DC-DC Преобразователь</t>
  </si>
  <si>
    <t>TSOT23-6</t>
  </si>
  <si>
    <t>AP63200/AP63201/AP63203/AP63205</t>
  </si>
  <si>
    <t>SOT-23-8</t>
  </si>
  <si>
    <t>MAX3051 - +3.3V, 1Mbps, Low-Supply-Current CAN Transceiver</t>
  </si>
  <si>
    <t>REF195ESZ</t>
  </si>
  <si>
    <t>Источник опорного напряжения с низким падением напряжения, микромощный, 5В</t>
  </si>
  <si>
    <t>REF195ESZ-REEL, Источник опорного напряжения с низким падением напряжения, микромощный, 5В [SO-8] – купить оптом и в розницу</t>
  </si>
  <si>
    <t>AP63201QWU-7</t>
  </si>
  <si>
    <t>Понижающий импульсный регулятор IC с положительной регулировкой 0,8 В 1 Выxод 2A SOT-23-6 Тонкий</t>
  </si>
  <si>
    <t>https://www.chipdip.ru/product/ap63201qwu-7-ic-pmic-dc-dc-converter-uin-3.8-32vdc-diodes-8041298960</t>
  </si>
  <si>
    <t>MLZ1608M100WT000</t>
  </si>
  <si>
    <t>10мкГн, 0603,20%, Индуктивность SMD</t>
  </si>
  <si>
    <t>10мк</t>
  </si>
  <si>
    <t>MLZ1608M100WT000, 10мкГн, 0603,20%, Индуктивность SMD – купить оптом и в розницу</t>
  </si>
  <si>
    <t>Picoblade_532610371</t>
  </si>
  <si>
    <t>Picoblade 3-pin разъем</t>
  </si>
  <si>
    <t>CONN_532610001-SD_03_MOL</t>
  </si>
  <si>
    <t>PicoBlade_53398-0471</t>
  </si>
  <si>
    <t>Разъем PicoBlade 1.25 мм, 4pin</t>
  </si>
  <si>
    <t>53398-0471</t>
  </si>
  <si>
    <t>53398-0471, Разъем PicoBlade 1.25 мм, 4pin, штыревой , на плату – купить оптом и в розницу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</si>
</sst>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color rgb="FF1C2D38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49" fontId="0" fillId="0" borderId="0" xfId="0" applyNumberFormat="1" applyBorder="1"/>
    <xf numFmtId="0" fontId="0" fillId="0" borderId="0" xfId="0" applyNumberFormat="1" applyBorder="1"/>
    <xf numFmtId="0" fontId="13" fillId="0" borderId="0" xfId="0" applyFont="1"/>
    <xf numFmtId="0" fontId="14" fillId="0" borderId="0" xfId="0" applyFont="1"/>
    <xf numFmtId="0" fontId="0" fillId="0" borderId="0" xfId="0" applyAlignment="1">
      <alignment horizontal="left" vertical="top"/>
    </xf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75" tableType="xml" totalsRowShown="0" headerRowDxfId="132" connectionId="6">
  <autoFilter ref="A1:M75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29">
      <xmlColumnPr mapId="30" xpath="/Schottky/Part/VoltageNominal_V" xmlDataType="string"/>
    </tableColumn>
    <tableColumn id="9" xr3:uid="{431126AD-34DC-40A1-9CB6-D627B7878BEA}" uniqueName="Current_A" name="Current" dataDxfId="128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5" tableType="xml" totalsRowShown="0" dataDxfId="146" connectionId="19">
  <autoFilter ref="A1:M15" xr:uid="{35EAFB53-5120-48E8-B7CF-F527619EF3EB}"/>
  <tableColumns count="13">
    <tableColumn id="1" xr3:uid="{8FF51BCB-1CBC-41C4-B0E3-6994AEB249EF}" uniqueName="PartNumber" name="Part Number" dataDxfId="145">
      <xmlColumnPr mapId="6" xpath="/TVS/Part/PartNumber" xmlDataType="string"/>
    </tableColumn>
    <tableColumn id="2" xr3:uid="{254709FF-71DC-4C18-A11E-3F482A74905F}" uniqueName="Description" name="Description" dataDxfId="144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43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42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41">
      <xmlColumnPr mapId="6" xpath="/TVS/Part/LibraryRef" xmlDataType="string"/>
    </tableColumn>
    <tableColumn id="6" xr3:uid="{C5C7E783-B9B8-469C-B255-FC24F12E71DC}" uniqueName="FootprintPath1" name="Footprint Path 1" dataDxfId="140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9">
      <xmlColumnPr mapId="6" xpath="/TVS/Part/FootprintRef1" xmlDataType="string"/>
    </tableColumn>
    <tableColumn id="8" xr3:uid="{16B3AEE3-BEA7-4870-9494-F8A0EC5E9CCD}" uniqueName="VoltageNominal" name="Voltage (V)" dataDxfId="138">
      <xmlColumnPr mapId="6" xpath="/TVS/Part/VoltageNominal" xmlDataType="string"/>
    </tableColumn>
    <tableColumn id="9" xr3:uid="{7DDE345A-D145-4A55-B781-91F88095B1FE}" uniqueName="Power" name="Power (W)" dataDxfId="137">
      <xmlColumnPr mapId="6" xpath="/TVS/Part/Power" xmlDataType="string"/>
    </tableColumn>
    <tableColumn id="10" xr3:uid="{EBB777BC-3BC6-4EF4-AC63-F94C7CFCFC0E}" uniqueName="Value" name="Value" dataDxfId="136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5">
      <xmlColumnPr mapId="6" xpath="/TVS/Part/Inteface" xmlDataType="string"/>
    </tableColumn>
    <tableColumn id="12" xr3:uid="{2FC69434-3445-47B6-BAFF-5BDCB5CA78D9}" uniqueName="12" name="Datasheet" dataDxfId="134"/>
    <tableColumn id="13" xr3:uid="{EE87E164-8B8F-44FD-83D2-5807E590B6E4}" uniqueName="13" name="Автор" dataDxfId="1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8" tableType="xml" totalsRowShown="0" headerRowDxfId="66" headerRowBorderDxfId="65" tableBorderDxfId="64" connectionId="2">
  <autoFilter ref="A1:N58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1" tableType="xml" totalsRowShown="0" headerRowDxfId="46" connectionId="9">
  <autoFilter ref="A1:R31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1" dataDxfId="20" connectionId="11">
  <autoFilter ref="A1:P28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71" tableType="xml" totalsRowShown="0" headerRowDxfId="3" connectionId="7">
  <autoFilter ref="A1:L71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hyperlink" Target="https://static.chipdip.ru/lib/404/DOC001404089.pdf" TargetMode="External"/><Relationship Id="rId18" Type="http://schemas.openxmlformats.org/officeDocument/2006/relationships/hyperlink" Target="https://www.chipdip.ru/product/ap63201qwu-7-ic-pmic-dc-dc-converter-uin-3.8-32vdc-diodes-8041298960" TargetMode="External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17" Type="http://schemas.openxmlformats.org/officeDocument/2006/relationships/hyperlink" Target="https://www.chipdip.ru/product/ref195esz-reel-istochnik-opornogo-analog-devices-2921641864" TargetMode="External"/><Relationship Id="rId2" Type="http://schemas.openxmlformats.org/officeDocument/2006/relationships/hyperlink" Target="https://cdn.promelec.ru/upload/datasheet/6/4/CD00284753.pdf" TargetMode="External"/><Relationship Id="rId16" Type="http://schemas.openxmlformats.org/officeDocument/2006/relationships/hyperlink" Target="https://static.chipdip.ru/lib/517/DOC011517353.pdf" TargetMode="External"/><Relationship Id="rId20" Type="http://schemas.openxmlformats.org/officeDocument/2006/relationships/table" Target="../tables/table1.xm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5" Type="http://schemas.openxmlformats.org/officeDocument/2006/relationships/hyperlink" Target="https://static.chipdip.ru/lib/876/DOC015876362.pdf" TargetMode="External"/><Relationship Id="rId10" Type="http://schemas.openxmlformats.org/officeDocument/2006/relationships/hyperlink" Target="https://static.chipdip.ru/lib/248/DOC000248445.pdf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hyperlink" Target="https://static.chipdip.ru/lib/527/DOC021527022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6" Type="http://schemas.openxmlformats.org/officeDocument/2006/relationships/table" Target="../tables/table11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www.chipdip.ru/product/mlz1608m100wt000-10mkgn-0603-20-induktivnost-smd-tdk-9000314841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hipdip.ru/product/53398-0471-razem-picoblade-1.25-mm-4pin-shtyrevoy-na-molex-9000180711?utm_source=direct&amp;utm_medium=cpc&amp;utm_campaign=Y_dinamicheskaya_max_conv&amp;utm_content=text1_ya&amp;utm_term=---autotargeting&amp;position_type=dynamic_places&amp;etext=&amp;ybaip=1" TargetMode="Externa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10" Type="http://schemas.openxmlformats.org/officeDocument/2006/relationships/table" Target="../tables/table14.xm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5"/>
  <sheetViews>
    <sheetView topLeftCell="I52" zoomScale="85" zoomScaleNormal="85" workbookViewId="0">
      <selection activeCell="B81" sqref="B81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3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3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3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3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3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3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3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3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3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3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3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3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3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3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3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3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3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3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3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3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3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3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3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3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3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3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3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3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3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3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3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3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3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3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3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3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3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3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3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3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3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72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3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3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3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3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  <row r="70" spans="1:13" x14ac:dyDescent="0.3">
      <c r="A70" t="s">
        <v>1750</v>
      </c>
      <c r="B70" t="s">
        <v>1751</v>
      </c>
      <c r="C70" s="2" t="str">
        <f>A70</f>
        <v>ADR02BUJZ</v>
      </c>
      <c r="D70" t="str">
        <f>CONCATENATE("Schematic\",A70,".SchLib")</f>
        <v>Schematic\ADR02BUJZ.SchLib</v>
      </c>
      <c r="E70" t="str">
        <f>A70</f>
        <v>ADR02BUJZ</v>
      </c>
      <c r="F70" t="str">
        <f t="shared" si="31"/>
        <v>Footprints\SOT23-5.PcbLib</v>
      </c>
      <c r="G70" s="56" t="s">
        <v>1376</v>
      </c>
      <c r="L70" s="38" t="s">
        <v>1752</v>
      </c>
      <c r="M70" t="s">
        <v>1753</v>
      </c>
    </row>
    <row r="71" spans="1:13" x14ac:dyDescent="0.3">
      <c r="A71" t="s">
        <v>1754</v>
      </c>
      <c r="B71" s="61" t="s">
        <v>1755</v>
      </c>
      <c r="C71" s="2" t="str">
        <f>A71</f>
        <v>ADS1220IPWR</v>
      </c>
      <c r="D71" t="str">
        <f>CONCATENATE("Schematic\",A71,".SchLib")</f>
        <v>Schematic\ADS1220IPWR.SchLib</v>
      </c>
      <c r="E71" t="str">
        <f>A71</f>
        <v>ADS1220IPWR</v>
      </c>
      <c r="F71" t="str">
        <f t="shared" si="31"/>
        <v>Footprints\TSSOP-16.PcbLib</v>
      </c>
      <c r="G71" t="s">
        <v>722</v>
      </c>
      <c r="L71" s="38" t="s">
        <v>1756</v>
      </c>
      <c r="M71" t="s">
        <v>1749</v>
      </c>
    </row>
    <row r="72" spans="1:13" x14ac:dyDescent="0.3">
      <c r="A72" t="s">
        <v>1757</v>
      </c>
      <c r="B72" t="s">
        <v>1758</v>
      </c>
      <c r="C72" s="2" t="str">
        <f t="shared" ref="C72" si="32">A72</f>
        <v>AP63203WU-7</v>
      </c>
      <c r="D72" t="str">
        <f t="shared" ref="D72" si="33">CONCATENATE("Schematic\",A72,".SchLib")</f>
        <v>Schematic\AP63203WU-7.SchLib</v>
      </c>
      <c r="E72" t="str">
        <f t="shared" ref="E72" si="34">A72</f>
        <v>AP63203WU-7</v>
      </c>
      <c r="F72" t="str">
        <f t="shared" si="31"/>
        <v>Footprints\TSOT23-6.PcbLib</v>
      </c>
      <c r="G72" s="62" t="s">
        <v>1759</v>
      </c>
      <c r="L72" s="38" t="s">
        <v>1760</v>
      </c>
      <c r="M72" t="s">
        <v>1749</v>
      </c>
    </row>
    <row r="73" spans="1:13" x14ac:dyDescent="0.3">
      <c r="A73" t="s">
        <v>1695</v>
      </c>
      <c r="B73" t="s">
        <v>1696</v>
      </c>
      <c r="C73" s="2" t="str">
        <f>A73</f>
        <v>MAX3051EKA+T</v>
      </c>
      <c r="D73" t="str">
        <f>CONCATENATE("Schematic\",A73,".SchLib")</f>
        <v>Schematic\MAX3051EKA+T.SchLib</v>
      </c>
      <c r="E73" t="str">
        <f>A73</f>
        <v>MAX3051EKA+T</v>
      </c>
      <c r="F73" t="str">
        <f>CONCATENATE("Footprints\",G73,".PcbLib")</f>
        <v>Footprints\SOT-23-8.PcbLib</v>
      </c>
      <c r="G73" t="s">
        <v>1761</v>
      </c>
      <c r="L73" s="38" t="s">
        <v>1762</v>
      </c>
      <c r="M73" t="s">
        <v>1749</v>
      </c>
    </row>
    <row r="74" spans="1:13" x14ac:dyDescent="0.3">
      <c r="A74" t="s">
        <v>1763</v>
      </c>
      <c r="B74" t="s">
        <v>1764</v>
      </c>
      <c r="C74" s="2" t="str">
        <f>A74</f>
        <v>REF195ESZ</v>
      </c>
      <c r="D74" t="str">
        <f>CONCATENATE("Schematic\",A74,".SchLib")</f>
        <v>Schematic\REF195ESZ.SchLib</v>
      </c>
      <c r="E74" t="str">
        <f>A74</f>
        <v>REF195ESZ</v>
      </c>
      <c r="F74" t="str">
        <f>CONCATENATE("Footprints\",G74,".PcbLib")</f>
        <v>Footprints\SOIC-8.PcbLib</v>
      </c>
      <c r="G74" s="36" t="s">
        <v>76</v>
      </c>
      <c r="L74" s="38" t="s">
        <v>1765</v>
      </c>
      <c r="M74" t="s">
        <v>1749</v>
      </c>
    </row>
    <row r="75" spans="1:13" x14ac:dyDescent="0.3">
      <c r="A75" t="s">
        <v>1766</v>
      </c>
      <c r="B75" t="s">
        <v>1767</v>
      </c>
      <c r="C75" s="2" t="str">
        <f>A75</f>
        <v>AP63201QWU-7</v>
      </c>
      <c r="D75" t="str">
        <f>CONCATENATE("Schematic\",A75,".SchLib")</f>
        <v>Schematic\AP63201QWU-7.SchLib</v>
      </c>
      <c r="E75" t="str">
        <f>A75</f>
        <v>AP63201QWU-7</v>
      </c>
      <c r="F75" t="str">
        <f>CONCATENATE("Footprints\",G75,".PcbLib")</f>
        <v>Footprints\TSOT23-6.PcbLib</v>
      </c>
      <c r="G75" s="62" t="s">
        <v>1759</v>
      </c>
      <c r="L75" s="38" t="s">
        <v>1768</v>
      </c>
      <c r="M75" t="s">
        <v>1749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  <hyperlink ref="L71" r:id="rId13" display="https://static.chipdip.ru/lib/404/DOC001404089.pdf" xr:uid="{AEDD3104-3368-4FF3-8BBB-A7A552DB130D}"/>
    <hyperlink ref="L72" r:id="rId14" display="https://static.chipdip.ru/lib/527/DOC021527022.pdf" xr:uid="{4E4FE21F-FB62-4AF1-8566-09EBF3CF5DD6}"/>
    <hyperlink ref="L73" r:id="rId15" display="https://static.chipdip.ru/lib/876/DOC015876362.pdf" xr:uid="{BEF0651F-4D94-446B-A7B4-D14CB543BA2A}"/>
    <hyperlink ref="L70" r:id="rId16" display="https://static.chipdip.ru/lib/517/DOC011517353.pdf" xr:uid="{C2809BF1-190E-44E7-B55C-4711C686D722}"/>
    <hyperlink ref="L74" r:id="rId17" display="https://www.chipdip.ru/product/ref195esz-reel-istochnik-opornogo-analog-devices-2921641864" xr:uid="{C0290091-88CE-4DD4-A86C-AE3CB4189419}"/>
    <hyperlink ref="L75" r:id="rId18" xr:uid="{E53F0696-53A9-4ECF-9E9E-95AA5ABD53D6}"/>
  </hyperlinks>
  <pageMargins left="0.7" right="0.7" top="0.75" bottom="0.75" header="0.3" footer="0.3"/>
  <pageSetup paperSize="9" orientation="portrait" r:id="rId19"/>
  <tableParts count="1"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3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3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3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3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3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3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3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3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2" customHeight="1" x14ac:dyDescent="0.3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3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3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3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3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5"/>
  <sheetViews>
    <sheetView topLeftCell="B1" zoomScaleNormal="85" workbookViewId="0">
      <selection activeCell="E18" sqref="E18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3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3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3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  <row r="15" spans="1:13" x14ac:dyDescent="0.3">
      <c r="A15" t="s">
        <v>1742</v>
      </c>
      <c r="B15" t="str">
        <f xml:space="preserve"> 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t="str">
        <f>A15</f>
        <v>SMAJ5.0A-TR</v>
      </c>
      <c r="D15" t="str">
        <f>CONCATENATE("Schematic\TVS\",E15,".SchLib")</f>
        <v>Schematic\TVS\TVS_1_1dir.SchLib</v>
      </c>
      <c r="E15" t="s">
        <v>78</v>
      </c>
      <c r="F15" t="str">
        <f>CONCATENATE("Footprints\",G15,".PcbLib")</f>
        <v>Footprints\SMA.PcbLib</v>
      </c>
      <c r="G15" t="s">
        <v>128</v>
      </c>
      <c r="H15">
        <v>5</v>
      </c>
      <c r="I15">
        <v>400</v>
      </c>
      <c r="J15" t="str">
        <f xml:space="preserve"> CONCATENATE(H15," В")</f>
        <v>5 В</v>
      </c>
      <c r="L15" t="s">
        <v>1743</v>
      </c>
      <c r="M15" t="s">
        <v>1694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6" x14ac:dyDescent="0.3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6" x14ac:dyDescent="0.3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6" x14ac:dyDescent="0.3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6" x14ac:dyDescent="0.3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6" x14ac:dyDescent="0.3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6" x14ac:dyDescent="0.3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6" x14ac:dyDescent="0.3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6" x14ac:dyDescent="0.3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6" x14ac:dyDescent="0.3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6" x14ac:dyDescent="0.3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6" x14ac:dyDescent="0.3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6" x14ac:dyDescent="0.3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6" x14ac:dyDescent="0.3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6" x14ac:dyDescent="0.3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3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6" x14ac:dyDescent="0.3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6" x14ac:dyDescent="0.3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6" x14ac:dyDescent="0.3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6" x14ac:dyDescent="0.3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3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3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6" x14ac:dyDescent="0.3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6" x14ac:dyDescent="0.3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6" x14ac:dyDescent="0.3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6" x14ac:dyDescent="0.3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6" x14ac:dyDescent="0.3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6" x14ac:dyDescent="0.3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3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3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3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3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3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8"/>
  <sheetViews>
    <sheetView topLeftCell="A40" zoomScale="97" zoomScaleNormal="97" workbookViewId="0">
      <selection activeCell="B63" sqref="B63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3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3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3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3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3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3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3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3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3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3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3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3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3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3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3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3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3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3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3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  <row r="58" spans="1:14" x14ac:dyDescent="0.3">
      <c r="A58" s="59" t="s">
        <v>1744</v>
      </c>
      <c r="B58" s="60" t="s">
        <v>1745</v>
      </c>
      <c r="C58" s="59" t="s">
        <v>1744</v>
      </c>
      <c r="D58" s="59" t="s">
        <v>30</v>
      </c>
      <c r="E58" s="59" t="s">
        <v>27</v>
      </c>
      <c r="F58" s="59" t="s">
        <v>1746</v>
      </c>
      <c r="G58" s="37" t="s">
        <v>1412</v>
      </c>
      <c r="H58" s="59" t="s">
        <v>1680</v>
      </c>
      <c r="I58" s="59" t="s">
        <v>1414</v>
      </c>
      <c r="J58" s="59" t="s">
        <v>599</v>
      </c>
      <c r="K58" s="59" t="s">
        <v>37</v>
      </c>
      <c r="L58" s="59" t="s">
        <v>1747</v>
      </c>
      <c r="M58" s="59" t="s">
        <v>1748</v>
      </c>
      <c r="N58" s="59" t="s">
        <v>1749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3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3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3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3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3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3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3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3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3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3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3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3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3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3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3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3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3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3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3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3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3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3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3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3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3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3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3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3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3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1"/>
  <sheetViews>
    <sheetView topLeftCell="A11" zoomScale="85" zoomScaleNormal="85" workbookViewId="0">
      <selection activeCell="B37" sqref="B37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3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3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3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3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3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3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3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3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3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3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3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3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3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3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3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3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3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3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3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3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3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3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3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3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3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3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3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  <row r="31" spans="1:18" x14ac:dyDescent="0.3">
      <c r="A31" t="s">
        <v>1769</v>
      </c>
      <c r="B31" t="s">
        <v>1770</v>
      </c>
      <c r="C31" t="str">
        <f>A31</f>
        <v>MLZ1608M100WT000</v>
      </c>
      <c r="D31" s="2" t="s">
        <v>102</v>
      </c>
      <c r="E31" s="2" t="s">
        <v>100</v>
      </c>
      <c r="F31" s="2" t="str">
        <f>CONCATENATE("Footprints\Inductance\",G31,".PcbLib")</f>
        <v>Footprints\Inductance\0603L.PcbLib</v>
      </c>
      <c r="G31" s="2" t="s">
        <v>103</v>
      </c>
      <c r="H31" s="2" t="str">
        <f>CONCATENATE("Footprints\Inductance\",I31,".PcbLib")</f>
        <v>Footprints\Inductance\.PcbLib</v>
      </c>
      <c r="I31" s="2"/>
      <c r="J31" s="2" t="str">
        <f>CONCATENATE("Footprints\Inductance\",K31,".PcbLib")</f>
        <v>Footprints\Inductance\.PcbLib</v>
      </c>
      <c r="K31" s="2"/>
      <c r="L31" s="2" t="str">
        <f>CONCATENATE("Footprints\Inductance\",M31,".PcbLib")</f>
        <v>Footprints\Inductance\.PcbLib</v>
      </c>
      <c r="M31" s="2"/>
      <c r="P31" t="s">
        <v>1771</v>
      </c>
      <c r="Q31" s="38" t="s">
        <v>1772</v>
      </c>
      <c r="R31" t="s">
        <v>1749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  <hyperlink ref="Q31" r:id="rId4" display="https://www.chipdip.ru/product/mlz1608m100wt000-10mkgn-0603-20-induktivnost-smd-tdk-9000314841" xr:uid="{C1D63C38-5E4E-4991-A103-BB33BAF18B8C}"/>
  </hyperlinks>
  <pageMargins left="0.7" right="0.7" top="0.75" bottom="0.75" header="0.3" footer="0.3"/>
  <pageSetup paperSize="9" orientation="portrait" r:id="rId5"/>
  <ignoredErrors>
    <ignoredError sqref="P3:P4" calculatedColumn="1"/>
  </ignoredErrors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F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6" x14ac:dyDescent="0.3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22.44140625" customWidth="1"/>
    <col min="13" max="13" width="17.88671875" customWidth="1"/>
    <col min="15" max="15" width="11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3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3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3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3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3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3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3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3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3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3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3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3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3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3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3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3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3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3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3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3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3">
      <c r="A27" t="s">
        <v>1728</v>
      </c>
      <c r="B27" t="s">
        <v>55</v>
      </c>
      <c r="C27" t="str">
        <f t="shared" ref="C27:C28" si="10">A27</f>
        <v>KLS7-TS3601</v>
      </c>
      <c r="D27" t="str">
        <f>CONCATENATE("Schematic\",E27,".SchLib")</f>
        <v>Schematic\Tact_button.SchLib</v>
      </c>
      <c r="E27" t="s">
        <v>54</v>
      </c>
      <c r="F27" t="str">
        <f>CONCATENATE("Footprints\Buttons\",G27,".PcbLib")</f>
        <v>Footprints\Buttons\KLS7-TS3601.PcbLib</v>
      </c>
      <c r="G27" t="s">
        <v>1728</v>
      </c>
      <c r="J27" t="str">
        <f t="shared" ref="J27:J28" si="11">CONCATENATE("Footprints\",K27,".PcbLib")</f>
        <v>Footprints\.PcbLib</v>
      </c>
      <c r="L27" s="2" t="str">
        <f t="shared" ref="L27:L28" si="12">CONCATENATE("Footprints\",M27,".PcbLib")</f>
        <v>Footprints\.PcbLib</v>
      </c>
      <c r="O27" t="s">
        <v>1729</v>
      </c>
      <c r="P27" t="s">
        <v>1714</v>
      </c>
    </row>
    <row r="28" spans="1:16" x14ac:dyDescent="0.3">
      <c r="A28" t="s">
        <v>1730</v>
      </c>
      <c r="B28" t="s">
        <v>1731</v>
      </c>
      <c r="C28" t="str">
        <f t="shared" si="10"/>
        <v>L-KLS5-CR2032-03</v>
      </c>
      <c r="D28" t="s">
        <v>1012</v>
      </c>
      <c r="E28" t="s">
        <v>1013</v>
      </c>
      <c r="F28" t="str">
        <f t="shared" ref="F28" si="13">CONCATENATE("Footprints\",G28,".PcbLib")</f>
        <v>Footprints\L-KLS5-CR2032-03.PcbLib</v>
      </c>
      <c r="G28" t="s">
        <v>1730</v>
      </c>
      <c r="J28" t="str">
        <f t="shared" si="11"/>
        <v>Footprints\.PcbLib</v>
      </c>
      <c r="L28" s="2" t="str">
        <f t="shared" si="12"/>
        <v>Footprints\.PcbLib</v>
      </c>
      <c r="O28" t="s">
        <v>1732</v>
      </c>
      <c r="P28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71"/>
  <sheetViews>
    <sheetView tabSelected="1" topLeftCell="I52" zoomScale="70" zoomScaleNormal="70" workbookViewId="0">
      <selection activeCell="R61" sqref="R61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2" x14ac:dyDescent="0.3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2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2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2" x14ac:dyDescent="0.3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2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2" x14ac:dyDescent="0.3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2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2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2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2" x14ac:dyDescent="0.3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2" x14ac:dyDescent="0.3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2" x14ac:dyDescent="0.3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2" x14ac:dyDescent="0.3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3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3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3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3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3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3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3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3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3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3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3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3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3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3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3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3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3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3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3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3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3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3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3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3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3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3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3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3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3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3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3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3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3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3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3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3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3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3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3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3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3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3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3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3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3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3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3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3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3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3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3">
      <c r="A67" t="s">
        <v>1589</v>
      </c>
      <c r="B67" t="s">
        <v>1590</v>
      </c>
      <c r="C67" s="2" t="s">
        <v>1589</v>
      </c>
      <c r="D67" t="str">
        <f t="shared" ref="D67:D69" si="11">CONCATENATE("Schematic\Connectors\", E67, ".SchLib")</f>
        <v>Schematic\Connectors\Conn_4pin_sh.SchLib</v>
      </c>
      <c r="E67" t="s">
        <v>1588</v>
      </c>
      <c r="F67" t="str">
        <f t="shared" ref="F67:F69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3">
      <c r="A68" t="s">
        <v>1733</v>
      </c>
      <c r="B68" t="s">
        <v>1734</v>
      </c>
      <c r="C68" s="2" t="str">
        <f t="shared" ref="C68" si="13">A68</f>
        <v>Mini-USB-B5F</v>
      </c>
      <c r="D68" t="str">
        <f t="shared" si="11"/>
        <v>Schematic\Connectors\Mini-USB-B5F.SchLib</v>
      </c>
      <c r="E68" s="2" t="str">
        <f t="shared" ref="E68" si="14">C68</f>
        <v>Mini-USB-B5F</v>
      </c>
      <c r="F68" t="str">
        <f t="shared" si="12"/>
        <v>Footprints\Connectors\KLS1-229-5FA.PcbLib</v>
      </c>
      <c r="G68" t="s">
        <v>1735</v>
      </c>
      <c r="J68" t="s">
        <v>1736</v>
      </c>
      <c r="K68" s="41" t="s">
        <v>978</v>
      </c>
      <c r="L68" t="s">
        <v>1714</v>
      </c>
    </row>
    <row r="69" spans="1:12" x14ac:dyDescent="0.3">
      <c r="A69" t="s">
        <v>1737</v>
      </c>
      <c r="B69" t="s">
        <v>1738</v>
      </c>
      <c r="C69" t="s">
        <v>1737</v>
      </c>
      <c r="D69" t="str">
        <f t="shared" si="11"/>
        <v>Schematic\Connectors\Conn_64pin.SchLib</v>
      </c>
      <c r="E69" t="s">
        <v>1741</v>
      </c>
      <c r="F69" t="str">
        <f t="shared" si="12"/>
        <v>Footprints\Connectors\AMPHENOL_10018783-11111TLF.PcbLib</v>
      </c>
      <c r="G69" t="s">
        <v>1740</v>
      </c>
      <c r="J69" t="s">
        <v>1739</v>
      </c>
      <c r="K69" t="s">
        <v>1425</v>
      </c>
      <c r="L69" t="s">
        <v>1425</v>
      </c>
    </row>
    <row r="70" spans="1:12" x14ac:dyDescent="0.3">
      <c r="A70" s="63" t="s">
        <v>1773</v>
      </c>
      <c r="B70" t="s">
        <v>1774</v>
      </c>
      <c r="C70" s="2" t="str">
        <f>A70</f>
        <v>Picoblade_532610371</v>
      </c>
      <c r="D70" t="str">
        <f>CONCATENATE("Schematic\Connectors\",A70,".SchLib")</f>
        <v>Schematic\Connectors\Picoblade_532610371.SchLib</v>
      </c>
      <c r="E70" s="63" t="str">
        <f>A70</f>
        <v>Picoblade_532610371</v>
      </c>
      <c r="F70" t="str">
        <f>CONCATENATE("Footprints\Connectors\",G70,".PcbLib")</f>
        <v>Footprints\Connectors\CONN_532610001-SD_03_MOL.PcbLib</v>
      </c>
      <c r="G70" t="s">
        <v>1775</v>
      </c>
      <c r="K70" s="40" t="s">
        <v>978</v>
      </c>
      <c r="L70" t="s">
        <v>1749</v>
      </c>
    </row>
    <row r="71" spans="1:12" x14ac:dyDescent="0.3">
      <c r="A71" t="s">
        <v>1776</v>
      </c>
      <c r="B71" t="s">
        <v>1777</v>
      </c>
      <c r="C71" t="s">
        <v>1778</v>
      </c>
      <c r="D71" t="str">
        <f>CONCATENATE("Schematic\Connectors\", A71, ".SchLib")</f>
        <v>Schematic\Connectors\PicoBlade_53398-0471.SchLib</v>
      </c>
      <c r="E71" t="str">
        <f>A71</f>
        <v>PicoBlade_53398-0471</v>
      </c>
      <c r="F71" t="str">
        <f>CONCATENATE("Footprints\Connectors\",G71,".PcbLib")</f>
        <v>Footprints\Connectors\53398-0471.PcbLib</v>
      </c>
      <c r="G71" t="s">
        <v>1778</v>
      </c>
      <c r="J71" s="38" t="s">
        <v>1779</v>
      </c>
      <c r="K71" s="40" t="s">
        <v>978</v>
      </c>
      <c r="L71" t="s">
        <v>1749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  <hyperlink ref="J71" r:id="rId8" display="https://www.chipdip.ru/product/53398-0471-razem-picoblade-1.25-mm-4pin-shtyrevoy-na-molex-9000180711?utm_source=direct&amp;utm_medium=cpc&amp;utm_campaign=Y_dinamicheskaya_max_conv&amp;utm_content=text1_ya&amp;utm_term=---autotargeting&amp;position_type=dynamic_places&amp;etext=&amp;ybaip=1" xr:uid="{152EA10D-F148-451E-AE0A-0C47CA5416A4}"/>
  </hyperlinks>
  <pageMargins left="0.7" right="0.7" top="0.75" bottom="0.75" header="0.3" footer="0.3"/>
  <pageSetup paperSize="9" orientation="portrait" r:id="rId9"/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2026-09-30T15:58:39Z</dcterms:modified>
</cp:coreProperties>
</file>