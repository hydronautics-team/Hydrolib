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filterPrivacy="1" codeName="ЭтаКнига"/>
  <xr:revisionPtr revIDLastSave="0" documentId="13_ncr:1_{02978D9E-7982-482D-A5DF-2CBCC4A12AC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hips" sheetId="1" r:id="rId1"/>
    <sheet name="Zener" sheetId="7" r:id="rId2"/>
    <sheet name="TVS" sheetId="8" r:id="rId3"/>
    <sheet name="Transistors" sheetId="4" r:id="rId4"/>
    <sheet name="Resistors" sheetId="2" r:id="rId5"/>
    <sheet name="Capacitors" sheetId="3" r:id="rId6"/>
    <sheet name="Inductance" sheetId="9" r:id="rId7"/>
    <sheet name="Other" sheetId="5" r:id="rId8"/>
    <sheet name="Schottky" sheetId="10" r:id="rId9"/>
    <sheet name="Connectors" sheetId="6" r:id="rId10"/>
  </sheets>
  <calcPr calcId="191029"/>
</workbook>
</file>

<file path=xl/calcChain.xml><?xml version="1.0" encoding="utf-8"?>
<calcChain xmlns="http://schemas.openxmlformats.org/spreadsheetml/2006/main">
  <c r="L2" i="9" l="1"/>
  <c r="J2" i="9"/>
  <c r="H2" i="9"/>
  <c r="F2" i="9"/>
  <c r="C2" i="9"/>
  <c r="F5" i="5"/>
  <c r="F4" i="5"/>
  <c r="D2" i="6"/>
  <c r="D3" i="6"/>
  <c r="D4" i="6"/>
  <c r="D5" i="6"/>
  <c r="F2" i="6"/>
  <c r="F3" i="6"/>
  <c r="F4" i="6"/>
  <c r="F5" i="6"/>
  <c r="B2" i="10"/>
  <c r="F2" i="10"/>
  <c r="C2" i="10"/>
  <c r="C8" i="1"/>
  <c r="D8" i="1"/>
  <c r="E8" i="1"/>
  <c r="F8" i="1"/>
  <c r="E4" i="6"/>
  <c r="G4" i="6"/>
  <c r="E5" i="6"/>
  <c r="G5" i="6"/>
  <c r="C5" i="1"/>
  <c r="D5" i="1"/>
  <c r="E5" i="1"/>
  <c r="F5" i="1"/>
  <c r="C6" i="1"/>
  <c r="D6" i="1"/>
  <c r="E6" i="1"/>
  <c r="F6" i="1"/>
  <c r="C7" i="1"/>
  <c r="D7" i="1"/>
  <c r="E7" i="1"/>
  <c r="F7" i="1"/>
  <c r="C9" i="1"/>
  <c r="D9" i="1"/>
  <c r="E9" i="1"/>
  <c r="F9" i="1"/>
  <c r="C10" i="1"/>
  <c r="D10" i="1"/>
  <c r="E10" i="1"/>
  <c r="F10" i="1"/>
  <c r="B3" i="8"/>
  <c r="D3" i="8"/>
  <c r="D2" i="8"/>
  <c r="D2" i="1"/>
  <c r="C3" i="8"/>
  <c r="F3" i="8"/>
  <c r="C4" i="1"/>
  <c r="D4" i="1"/>
  <c r="E4" i="1"/>
  <c r="F4" i="1"/>
  <c r="K2" i="7"/>
  <c r="J2" i="8"/>
  <c r="B2" i="8"/>
  <c r="F2" i="8"/>
  <c r="C2" i="8"/>
  <c r="C2" i="7"/>
  <c r="B2" i="7"/>
  <c r="F2" i="7"/>
  <c r="G3" i="6"/>
  <c r="G2" i="6"/>
  <c r="C3" i="6"/>
  <c r="E3" i="6"/>
  <c r="E2" i="6"/>
  <c r="C2" i="6"/>
  <c r="E5" i="5"/>
  <c r="D5" i="5"/>
  <c r="C5" i="5"/>
  <c r="F3" i="5"/>
  <c r="E4" i="5"/>
  <c r="D4" i="5"/>
  <c r="C4" i="5"/>
  <c r="F2" i="5"/>
  <c r="E3" i="5"/>
  <c r="D3" i="5"/>
  <c r="C3" i="5"/>
  <c r="I6" i="4"/>
  <c r="I3" i="4"/>
  <c r="I2" i="4"/>
  <c r="G3" i="4"/>
  <c r="G4" i="4"/>
  <c r="G5" i="4"/>
  <c r="G6" i="4"/>
  <c r="G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sharedStrings.xml><?xml version="1.0" encoding="utf-8"?>
<sst xmlns="http://schemas.openxmlformats.org/spreadsheetml/2006/main" count="253" uniqueCount="132">
  <si>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</si>
  <si>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</si>
  <si>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</si>
  <si>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</si>
  <si>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</si>
  <si>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</si>
  <si>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</si>
  <si>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</si>
  <si>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</si>
  <si>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</si>
  <si>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</si>
  <si>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</si>
  <si>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</si>
  <si>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</si>
  <si>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</si>
  <si>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</si>
  <si>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</si>
  <si>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</si>
  <si>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</si>
  <si>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</si>
  <si>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</si>
  <si>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</si>
  <si>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</si>
  <si>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</si>
  <si>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</si>
  <si>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</si>
  <si>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</si>
  <si>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Резистор</t>
  </si>
  <si>
    <t>1 к</t>
  </si>
  <si>
    <t>Capacitor</t>
  </si>
  <si>
    <t>Конденсатор</t>
  </si>
  <si>
    <t>Schematic\Resistor.SchLib</t>
  </si>
  <si>
    <t>Schematic\Capacitor.SchLib</t>
  </si>
  <si>
    <t>0,1 мк</t>
  </si>
  <si>
    <t>Footprints/Resistor_SMD.PcbLib</t>
  </si>
  <si>
    <t>Footprints/Capacitor_Ceramic_SMD.PcdLib</t>
  </si>
  <si>
    <t>0603R</t>
  </si>
  <si>
    <t>0805R</t>
  </si>
  <si>
    <t>Footprint Path 3</t>
  </si>
  <si>
    <t>Footprint Ref 3</t>
  </si>
  <si>
    <t>1206R</t>
  </si>
  <si>
    <t>Footprint Path 4</t>
  </si>
  <si>
    <t>Footprint Ref 4</t>
  </si>
  <si>
    <t>2512R</t>
  </si>
  <si>
    <t>0603C</t>
  </si>
  <si>
    <t>0805C</t>
  </si>
  <si>
    <t>Capacitor_polar</t>
  </si>
  <si>
    <t>Полярный конденсатор</t>
  </si>
  <si>
    <t>Footprints/Capacitor_Electrolytic_SMD.PcbLib</t>
  </si>
  <si>
    <t>4,7 мк</t>
  </si>
  <si>
    <t>TC_A (3216)</t>
  </si>
  <si>
    <t>TC_B (3528)</t>
  </si>
  <si>
    <t>TC_C (6032)</t>
  </si>
  <si>
    <t>TC_D (7343)</t>
  </si>
  <si>
    <t>Footprint Path 5</t>
  </si>
  <si>
    <t>Footprint Ref 5</t>
  </si>
  <si>
    <t>TC_E (7343H)</t>
  </si>
  <si>
    <t>Footprint Path 6</t>
  </si>
  <si>
    <t>Footprint Ref 6</t>
  </si>
  <si>
    <t>Footprint Path 7</t>
  </si>
  <si>
    <t>Footprint Ref 7</t>
  </si>
  <si>
    <t>Footprints/Capacitor_Electrolytic_THT.PcbLib</t>
  </si>
  <si>
    <t>RADIAL-2 8mm</t>
  </si>
  <si>
    <t>RADIAL-2 10mm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</si>
  <si>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</si>
  <si>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</si>
  <si>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</si>
  <si>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</si>
  <si>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</si>
  <si>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</si>
  <si>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</si>
  <si>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</si>
  <si>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</si>
  <si>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</si>
  <si>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LED_SMD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</si>
  <si>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</si>
  <si>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</si>
  <si>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</si>
  <si>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</si>
  <si>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</si>
  <si>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</si>
  <si>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</si>
  <si>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</si>
  <si>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</si>
  <si>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</si>
  <si>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</si>
  <si>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</si>
  <si>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</si>
  <si>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</si>
  <si>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</si>
  <si>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</si>
  <si>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</si>
  <si>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</si>
  <si>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</si>
  <si>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</si>
  <si>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</si>
  <si>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</si>
  <si>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</si>
  <si>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</si>
  <si>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</si>
  <si>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</si>
  <si>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</si>
  <si>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</si>
  <si>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</si>
  <si>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</si>
  <si>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</si>
  <si>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</si>
  <si>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</si>
  <si>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</si>
  <si>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</si>
  <si>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</si>
  <si>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</si>
  <si>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</si>
  <si>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</si>
  <si>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</si>
  <si>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</si>
  <si>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</si>
  <si>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</si>
  <si>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SMC</t>
  </si>
  <si>
    <t>PLS4</t>
  </si>
  <si>
    <t>Гребенка 4 пина</t>
  </si>
  <si>
    <t>CWF-5</t>
  </si>
  <si>
    <t>5-пиновый разъем с ключом</t>
  </si>
  <si>
    <t>STM32F103C8T6</t>
  </si>
  <si>
    <t>CD4050B</t>
  </si>
  <si>
    <t>SOP-16</t>
  </si>
  <si>
    <t>Current (A)</t>
  </si>
  <si>
    <t>SK33</t>
  </si>
  <si>
    <t>HC49SD</t>
  </si>
  <si>
    <t>12,8x12,8</t>
  </si>
  <si>
    <t>Schottky_diode</t>
  </si>
  <si>
    <t>Schematic\Schottky_diode.schLib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</si>
</sst>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4" fillId="0" borderId="0" xfId="0" applyFont="1"/>
    <xf numFmtId="49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0"/>
  <sheetViews>
    <sheetView tabSelected="1" workbookViewId="0">
      <selection activeCell="D4" sqref="D4"/>
    </sheetView>
  </sheetViews>
  <sheetFormatPr defaultRowHeight="14.4" x14ac:dyDescent="0.3"/>
  <cols>
    <col min="1" max="1" width="17.21875" customWidth="1"/>
    <col min="2" max="2" width="16.33203125" customWidth="1"/>
    <col min="3" max="3" width="15.77734375" customWidth="1"/>
    <col min="4" max="4" width="44.77734375" customWidth="1"/>
    <col min="5" max="5" width="13.33203125" customWidth="1"/>
    <col min="6" max="6" width="24.88671875" customWidth="1"/>
    <col min="7" max="7" width="21.44140625" customWidth="1"/>
    <col min="8" max="8" width="21.77734375" customWidth="1"/>
    <col min="9" max="9" width="23.44140625" customWidth="1"/>
    <col min="10" max="10" width="16.33203125" customWidth="1"/>
    <col min="11" max="11" width="14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t="s">
        <v>64</v>
      </c>
      <c r="B2" t="s">
        <v>65</v>
      </c>
      <c r="C2" s="2" t="str">
        <f>A2</f>
        <v>STM32F407VGT6</v>
      </c>
      <c r="D2" t="str">
        <f>CONCATENATE("Schematic\TVS\",A2,".SchLib")</f>
        <v>Schematic\TVS\STM32F407VGT6.SchLib</v>
      </c>
      <c r="E2" t="str">
        <f>A2</f>
        <v>STM32F407VGT6</v>
      </c>
      <c r="F2" t="str">
        <f>CONCATENATE("Footprints\",G2,".PcbLib")</f>
        <v>Footprints\LQFP100.PcbLib</v>
      </c>
      <c r="G2" t="s">
        <v>69</v>
      </c>
    </row>
    <row r="3" spans="1:20" x14ac:dyDescent="0.3">
      <c r="A3" t="s">
        <v>66</v>
      </c>
      <c r="B3" t="s">
        <v>67</v>
      </c>
      <c r="C3" s="2" t="str">
        <f>A3</f>
        <v>USBLC6-4</v>
      </c>
      <c r="D3" t="str">
        <f>CONCATENATE("Schematic\",A3,".SchLib")</f>
        <v>Schematic\USBLC6-4.SchLib</v>
      </c>
      <c r="E3" t="str">
        <f>A3</f>
        <v>USBLC6-4</v>
      </c>
      <c r="F3" t="str">
        <f>CONCATENATE("Footprints\",G3,".PcbLib")</f>
        <v>Footprints\SOT23-6.PcbLib</v>
      </c>
      <c r="G3" t="s">
        <v>68</v>
      </c>
    </row>
    <row r="4" spans="1:20" x14ac:dyDescent="0.3">
      <c r="A4" t="s">
        <v>93</v>
      </c>
      <c r="B4" t="s">
        <v>94</v>
      </c>
      <c r="C4" s="2" t="str">
        <f>A4</f>
        <v>MAX485CSA</v>
      </c>
      <c r="D4" t="str">
        <f>CONCATENATE("Schematic\",A4,".SchLib")</f>
        <v>Schematic\MAX485CSA.SchLib</v>
      </c>
      <c r="E4" t="str">
        <f>A4</f>
        <v>MAX485CSA</v>
      </c>
      <c r="F4" t="str">
        <f>CONCATENATE("Footprints\",G4,".PcbLib")</f>
        <v>Footprints\SOIC-8.PcbLib</v>
      </c>
      <c r="G4" t="s">
        <v>95</v>
      </c>
    </row>
    <row r="5" spans="1:20" x14ac:dyDescent="0.3">
      <c r="A5" t="s">
        <v>123</v>
      </c>
      <c r="B5" t="s">
        <v>65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0" si="3">CONCATENATE("Footprints\",G5,".PcbLib")</f>
        <v>Footprints\LQFP48.PcbLib</v>
      </c>
      <c r="G5" t="s">
        <v>101</v>
      </c>
    </row>
    <row r="6" spans="1:20" x14ac:dyDescent="0.3">
      <c r="A6" t="s">
        <v>102</v>
      </c>
      <c r="B6" t="s">
        <v>103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95</v>
      </c>
    </row>
    <row r="7" spans="1:20" x14ac:dyDescent="0.3">
      <c r="A7" t="s">
        <v>104</v>
      </c>
      <c r="B7" t="s">
        <v>105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106</v>
      </c>
    </row>
    <row r="8" spans="1:20" x14ac:dyDescent="0.3">
      <c r="A8" t="s">
        <v>124</v>
      </c>
      <c r="B8" t="s">
        <v>107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 t="shared" si="3"/>
        <v>Footprints\SOP-16.PcbLib</v>
      </c>
      <c r="G8" t="s">
        <v>125</v>
      </c>
    </row>
    <row r="9" spans="1:20" x14ac:dyDescent="0.3">
      <c r="A9" t="s">
        <v>108</v>
      </c>
      <c r="B9" t="s">
        <v>109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110</v>
      </c>
    </row>
    <row r="10" spans="1:20" x14ac:dyDescent="0.3">
      <c r="A10" t="s">
        <v>111</v>
      </c>
      <c r="B10" t="s">
        <v>105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106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2" sqref="B2"/>
    </sheetView>
  </sheetViews>
  <sheetFormatPr defaultRowHeight="14.4" x14ac:dyDescent="0.3"/>
  <cols>
    <col min="1" max="1" width="14.77734375" customWidth="1"/>
    <col min="2" max="2" width="45.88671875" customWidth="1"/>
    <col min="4" max="4" width="10.77734375" customWidth="1"/>
    <col min="5" max="5" width="11.21875" customWidth="1"/>
    <col min="6" max="6" width="23.554687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85</v>
      </c>
      <c r="I1" t="s">
        <v>86</v>
      </c>
      <c r="J1" t="s">
        <v>88</v>
      </c>
      <c r="K1" t="s">
        <v>25</v>
      </c>
    </row>
    <row r="2" spans="1:11" ht="13.05" customHeight="1" x14ac:dyDescent="0.3">
      <c r="A2" t="s">
        <v>87</v>
      </c>
      <c r="B2" t="str">
        <f>CONCATENATE("Стабилитрон на ", H2," В, рассеиваемая мощность ", J2," Вт")</f>
        <v>Стабилитрон на 12 В, рассеиваемая мощность 0.3 Вт</v>
      </c>
      <c r="C2" t="str">
        <f>A2</f>
        <v>BZX384-C12</v>
      </c>
      <c r="D2" t="s">
        <v>90</v>
      </c>
      <c r="E2" t="s">
        <v>91</v>
      </c>
      <c r="F2" t="str">
        <f>CONCATENATE("Footprints\",G2,".PcbLib")</f>
        <v>Footprints\SOD-323.PcbLib</v>
      </c>
      <c r="G2" t="s">
        <v>89</v>
      </c>
      <c r="H2">
        <v>12</v>
      </c>
      <c r="I2">
        <v>5</v>
      </c>
      <c r="J2">
        <v>0.3</v>
      </c>
      <c r="K2" t="str">
        <f>CONCATENATE(H2," В")</f>
        <v>12 В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3"/>
  <sheetViews>
    <sheetView workbookViewId="0">
      <selection activeCell="G3" sqref="G3"/>
    </sheetView>
  </sheetViews>
  <sheetFormatPr defaultRowHeight="14.4" x14ac:dyDescent="0.3"/>
  <cols>
    <col min="1" max="1" width="20.33203125" customWidth="1"/>
    <col min="2" max="2" width="21.21875" customWidth="1"/>
    <col min="3" max="3" width="15.77734375" customWidth="1"/>
    <col min="4" max="4" width="26.332031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85</v>
      </c>
      <c r="I1" t="s">
        <v>88</v>
      </c>
      <c r="J1" t="s">
        <v>25</v>
      </c>
      <c r="K1" t="s">
        <v>99</v>
      </c>
    </row>
    <row r="2" spans="1:11" x14ac:dyDescent="0.3">
      <c r="A2" t="s">
        <v>92</v>
      </c>
      <c r="B2" t="str">
        <f>CONCATENATE("Защитный диод на ", H2," В, рассеиваемая мощность ", I2," Вт")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97</v>
      </c>
      <c r="F2" t="str">
        <f>CONCATENATE("Footprints\",G2,".PcbLib")</f>
        <v>Footprints\SOT23-3.PcbLib</v>
      </c>
      <c r="G2" t="s">
        <v>18</v>
      </c>
      <c r="H2">
        <v>24</v>
      </c>
      <c r="I2">
        <v>600</v>
      </c>
      <c r="J2" t="str">
        <f>CONCATENATE(H2," В")</f>
        <v>24 В</v>
      </c>
    </row>
    <row r="3" spans="1:11" x14ac:dyDescent="0.3">
      <c r="A3" t="s">
        <v>96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98</v>
      </c>
      <c r="F3" t="str">
        <f>CONCATENATE("Footprints\",G3,".PcbLib")</f>
        <v>Footprints\SOT23-3.PcbLib</v>
      </c>
      <c r="G3" t="s">
        <v>18</v>
      </c>
      <c r="K3" t="s">
        <v>100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T6"/>
  <sheetViews>
    <sheetView workbookViewId="0">
      <selection activeCell="G7" sqref="G7"/>
    </sheetView>
  </sheetViews>
  <sheetFormatPr defaultRowHeight="14.4" x14ac:dyDescent="0.3"/>
  <cols>
    <col min="7" max="7" width="18.77734375" customWidth="1"/>
    <col min="9" max="9" width="10.77734375" customWidth="1"/>
    <col min="10" max="10" width="15.5546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/>
      <c r="G1" s="1" t="s">
        <v>12</v>
      </c>
      <c r="H1" s="1" t="s">
        <v>8</v>
      </c>
      <c r="I1" s="1" t="s">
        <v>13</v>
      </c>
      <c r="J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15.6" x14ac:dyDescent="0.3">
      <c r="A2" s="1" t="s">
        <v>4</v>
      </c>
      <c r="B2" s="1" t="s">
        <v>5</v>
      </c>
      <c r="C2" s="2" t="str">
        <f>A2</f>
        <v>50N06</v>
      </c>
      <c r="D2" s="1" t="s">
        <v>10</v>
      </c>
      <c r="E2" s="1" t="s">
        <v>11</v>
      </c>
      <c r="G2" t="str">
        <f>CONCATENATE("Footprints\",H2,".PcbLib")</f>
        <v>Footprints\DPAK.PcbLib</v>
      </c>
      <c r="H2" s="1" t="s">
        <v>6</v>
      </c>
      <c r="I2" t="str">
        <f>CONCATENATE("Footprints\",J2,".PcbLib")</f>
        <v>Footprints\DPAK_termopad.PcbLib</v>
      </c>
      <c r="J2" t="s">
        <v>7</v>
      </c>
    </row>
    <row r="3" spans="1:20" ht="15.6" x14ac:dyDescent="0.3">
      <c r="A3" s="1" t="s">
        <v>15</v>
      </c>
      <c r="B3" s="1" t="s">
        <v>5</v>
      </c>
      <c r="C3" s="2" t="str">
        <f>A3</f>
        <v>100N03A</v>
      </c>
      <c r="D3" s="1" t="s">
        <v>10</v>
      </c>
      <c r="E3" s="1" t="s">
        <v>11</v>
      </c>
      <c r="G3" t="str">
        <f>CONCATENATE("Footprints\",H3,".PcbLib")</f>
        <v>Footprints\DPAK.PcbLib</v>
      </c>
      <c r="H3" s="1" t="s">
        <v>6</v>
      </c>
      <c r="I3" t="str">
        <f>CONCATENATE("Footprints\",J3,".PcbLib")</f>
        <v>Footprints\DPAK_termopad.PcbLib</v>
      </c>
      <c r="J3" t="s">
        <v>7</v>
      </c>
    </row>
    <row r="4" spans="1:20" ht="15.6" x14ac:dyDescent="0.3">
      <c r="A4" s="1" t="s">
        <v>16</v>
      </c>
      <c r="B4" s="1" t="s">
        <v>5</v>
      </c>
      <c r="C4" s="2" t="str">
        <f>A4</f>
        <v>AO3400A</v>
      </c>
      <c r="D4" s="1" t="s">
        <v>10</v>
      </c>
      <c r="E4" s="1" t="s">
        <v>17</v>
      </c>
      <c r="G4" t="str">
        <f>CONCATENATE("Footprints\",H4,".PcbLib")</f>
        <v>Footprints\SOT23-3.PcbLib</v>
      </c>
      <c r="H4" s="1" t="s">
        <v>18</v>
      </c>
      <c r="I4" s="1"/>
    </row>
    <row r="5" spans="1:20" ht="15.6" x14ac:dyDescent="0.3">
      <c r="A5" s="1" t="s">
        <v>19</v>
      </c>
      <c r="B5" s="1" t="s">
        <v>21</v>
      </c>
      <c r="C5" s="2" t="str">
        <f>A5</f>
        <v>AO3401A</v>
      </c>
      <c r="D5" s="1" t="s">
        <v>20</v>
      </c>
      <c r="E5" s="1" t="s">
        <v>22</v>
      </c>
      <c r="G5" t="str">
        <f>CONCATENATE("Footprints\",H5,".PcbLib")</f>
        <v>Footprints\SOT23-3.PcbLib</v>
      </c>
      <c r="H5" s="1" t="s">
        <v>18</v>
      </c>
    </row>
    <row r="6" spans="1:20" ht="15.6" x14ac:dyDescent="0.3">
      <c r="A6" s="1" t="s">
        <v>23</v>
      </c>
      <c r="B6" s="1" t="s">
        <v>21</v>
      </c>
      <c r="C6" s="2" t="str">
        <f>A6</f>
        <v>SUD50P06-15</v>
      </c>
      <c r="D6" s="1" t="s">
        <v>20</v>
      </c>
      <c r="E6" s="1" t="s">
        <v>24</v>
      </c>
      <c r="G6" t="str">
        <f>CONCATENATE("Footprints\",H6,".PcbLib")</f>
        <v>Footprints\DPAK.PcbLib</v>
      </c>
      <c r="H6" s="1" t="s">
        <v>6</v>
      </c>
      <c r="I6" t="str">
        <f>CONCATENATE("Footprints\",J6,".PcbLib")</f>
        <v>Footprints\DPAK_termopad.PcbLib</v>
      </c>
      <c r="J6" t="s">
        <v>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T2"/>
  <sheetViews>
    <sheetView workbookViewId="0">
      <selection activeCell="O1" sqref="O1:T1"/>
    </sheetView>
  </sheetViews>
  <sheetFormatPr defaultRowHeight="14.4" x14ac:dyDescent="0.3"/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38</v>
      </c>
      <c r="L1" s="1" t="s">
        <v>39</v>
      </c>
      <c r="M1" s="1" t="s">
        <v>41</v>
      </c>
      <c r="N1" s="1" t="s">
        <v>42</v>
      </c>
      <c r="O1" s="1"/>
      <c r="P1" s="1"/>
      <c r="Q1" s="1"/>
      <c r="R1" s="1"/>
      <c r="S1" s="1"/>
      <c r="T1" s="1"/>
    </row>
    <row r="2" spans="1:20" ht="15.6" x14ac:dyDescent="0.3">
      <c r="A2" s="1" t="s">
        <v>26</v>
      </c>
      <c r="B2" s="1" t="s">
        <v>27</v>
      </c>
      <c r="C2" s="1" t="s">
        <v>26</v>
      </c>
      <c r="D2" s="1" t="s">
        <v>31</v>
      </c>
      <c r="E2" s="1" t="s">
        <v>26</v>
      </c>
      <c r="F2" s="1" t="s">
        <v>28</v>
      </c>
      <c r="G2" s="1" t="s">
        <v>34</v>
      </c>
      <c r="H2" s="1" t="s">
        <v>36</v>
      </c>
      <c r="I2" s="1" t="s">
        <v>34</v>
      </c>
      <c r="J2" s="1" t="s">
        <v>37</v>
      </c>
      <c r="K2" s="1" t="s">
        <v>34</v>
      </c>
      <c r="L2" s="1" t="s">
        <v>40</v>
      </c>
      <c r="M2" s="1" t="s">
        <v>34</v>
      </c>
      <c r="N2" s="1" t="s">
        <v>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sqref="A1:T1"/>
    </sheetView>
  </sheetViews>
  <sheetFormatPr defaultRowHeight="14.4" x14ac:dyDescent="0.3"/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38</v>
      </c>
      <c r="L1" s="1" t="s">
        <v>39</v>
      </c>
      <c r="M1" s="1" t="s">
        <v>41</v>
      </c>
      <c r="N1" s="1" t="s">
        <v>42</v>
      </c>
      <c r="O1" s="1" t="s">
        <v>54</v>
      </c>
      <c r="P1" s="1" t="s">
        <v>55</v>
      </c>
      <c r="Q1" s="1" t="s">
        <v>57</v>
      </c>
      <c r="R1" s="1" t="s">
        <v>58</v>
      </c>
      <c r="S1" s="1" t="s">
        <v>59</v>
      </c>
      <c r="T1" s="1" t="s">
        <v>60</v>
      </c>
    </row>
    <row r="2" spans="1:20" ht="15.6" x14ac:dyDescent="0.3">
      <c r="A2" s="1" t="s">
        <v>29</v>
      </c>
      <c r="B2" s="1" t="s">
        <v>30</v>
      </c>
      <c r="C2" s="1" t="s">
        <v>29</v>
      </c>
      <c r="D2" s="1" t="s">
        <v>32</v>
      </c>
      <c r="E2" s="1" t="s">
        <v>29</v>
      </c>
      <c r="F2" s="1" t="s">
        <v>33</v>
      </c>
      <c r="G2" s="1" t="s">
        <v>35</v>
      </c>
      <c r="H2" s="1" t="s">
        <v>44</v>
      </c>
      <c r="I2" s="1" t="s">
        <v>35</v>
      </c>
      <c r="J2" s="1" t="s">
        <v>45</v>
      </c>
    </row>
    <row r="3" spans="1:20" ht="15.6" x14ac:dyDescent="0.3">
      <c r="A3" s="1" t="s">
        <v>46</v>
      </c>
      <c r="B3" s="1" t="s">
        <v>47</v>
      </c>
      <c r="C3" s="1" t="s">
        <v>46</v>
      </c>
      <c r="D3" s="1" t="s">
        <v>32</v>
      </c>
      <c r="E3" s="1" t="s">
        <v>46</v>
      </c>
      <c r="F3" s="1" t="s">
        <v>49</v>
      </c>
      <c r="G3" s="1" t="s">
        <v>48</v>
      </c>
      <c r="H3" s="1" t="s">
        <v>50</v>
      </c>
      <c r="I3" s="1" t="s">
        <v>48</v>
      </c>
      <c r="J3" s="1" t="s">
        <v>51</v>
      </c>
      <c r="K3" s="1" t="s">
        <v>48</v>
      </c>
      <c r="L3" s="1" t="s">
        <v>52</v>
      </c>
      <c r="M3" s="1" t="s">
        <v>48</v>
      </c>
      <c r="N3" s="1" t="s">
        <v>53</v>
      </c>
      <c r="O3" s="1" t="s">
        <v>48</v>
      </c>
      <c r="P3" s="1" t="s">
        <v>56</v>
      </c>
      <c r="Q3" s="1" t="s">
        <v>61</v>
      </c>
      <c r="R3" t="s">
        <v>62</v>
      </c>
      <c r="S3" s="1" t="s">
        <v>61</v>
      </c>
      <c r="T3" t="s">
        <v>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6F9FC-94AB-4028-948B-C821FF980A4B}">
  <dimension ref="A1:M2"/>
  <sheetViews>
    <sheetView workbookViewId="0">
      <selection activeCell="L2" sqref="L2"/>
    </sheetView>
  </sheetViews>
  <sheetFormatPr defaultRowHeight="14.4" x14ac:dyDescent="0.3"/>
  <cols>
    <col min="1" max="13" width="14.77734375" customWidth="1"/>
  </cols>
  <sheetData>
    <row r="1" spans="1:13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38</v>
      </c>
      <c r="K1" s="1" t="s">
        <v>39</v>
      </c>
      <c r="L1" s="1" t="s">
        <v>41</v>
      </c>
      <c r="M1" s="1" t="s">
        <v>42</v>
      </c>
    </row>
    <row r="2" spans="1:13" x14ac:dyDescent="0.3">
      <c r="A2" t="s">
        <v>112</v>
      </c>
      <c r="B2" t="s">
        <v>113</v>
      </c>
      <c r="C2" t="str">
        <f>A2</f>
        <v>Inductance</v>
      </c>
      <c r="D2" t="s">
        <v>114</v>
      </c>
      <c r="E2" t="s">
        <v>112</v>
      </c>
      <c r="F2" t="str">
        <f>CONCATENATE("Footprints\Inductance\",G2,".PcbLib")</f>
        <v>Footprints\Inductance\0603L.PcbLib</v>
      </c>
      <c r="G2" t="s">
        <v>115</v>
      </c>
      <c r="H2" t="str">
        <f>CONCATENATE("Footprints\Inductance\",I2,".PcbLib")</f>
        <v>Footprints\Inductance\1210L.PcbLib</v>
      </c>
      <c r="I2" t="s">
        <v>116</v>
      </c>
      <c r="J2" t="str">
        <f>CONCATENATE("Footprints\Inductance\",K2,".PcbLib")</f>
        <v>Footprints\Inductance\1212L.PcbLib</v>
      </c>
      <c r="K2" t="s">
        <v>117</v>
      </c>
      <c r="L2" t="str">
        <f>CONCATENATE("Footprints\Inductance\",M2,".PcbLib")</f>
        <v>Footprints\Inductance\12,8x12,8.PcbLib</v>
      </c>
      <c r="M2" t="s">
        <v>129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G6" sqref="G6"/>
    </sheetView>
  </sheetViews>
  <sheetFormatPr defaultRowHeight="14.4" x14ac:dyDescent="0.3"/>
  <cols>
    <col min="1" max="1" width="11.33203125" customWidth="1"/>
    <col min="2" max="2" width="15.77734375" customWidth="1"/>
    <col min="3" max="3" width="12.5546875" customWidth="1"/>
    <col min="4" max="5" width="15.109375" customWidth="1"/>
    <col min="6" max="6" width="18.21875" customWidth="1"/>
    <col min="7" max="14" width="15.1093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t="s">
        <v>70</v>
      </c>
      <c r="B2" t="s">
        <v>71</v>
      </c>
      <c r="C2" s="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72</v>
      </c>
      <c r="H2" t="str">
        <f>CONCATENATE("Footprints\Buttons\",I2,".PcbLib")</f>
        <v>Footprints\Buttons\Button_SMD_6x6.PcbLib</v>
      </c>
      <c r="I2" t="s">
        <v>73</v>
      </c>
    </row>
    <row r="3" spans="1:20" x14ac:dyDescent="0.3">
      <c r="A3" t="s">
        <v>75</v>
      </c>
      <c r="B3" t="s">
        <v>76</v>
      </c>
      <c r="C3" s="2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Footprints\LED_SMD.PcbLib</v>
      </c>
      <c r="G3" t="s">
        <v>74</v>
      </c>
    </row>
    <row r="4" spans="1:20" x14ac:dyDescent="0.3">
      <c r="A4" t="s">
        <v>77</v>
      </c>
      <c r="B4" t="s">
        <v>78</v>
      </c>
      <c r="C4" s="2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128</v>
      </c>
    </row>
    <row r="5" spans="1:20" x14ac:dyDescent="0.3">
      <c r="A5" t="s">
        <v>79</v>
      </c>
      <c r="B5" t="s">
        <v>80</v>
      </c>
      <c r="C5" s="2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81</v>
      </c>
    </row>
    <row r="6" spans="1:20" x14ac:dyDescent="0.3">
      <c r="C6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65426-1D61-4119-93AA-55DB6CD34965}">
  <dimension ref="A1:I2"/>
  <sheetViews>
    <sheetView workbookViewId="0">
      <selection activeCell="D2" sqref="D2"/>
    </sheetView>
  </sheetViews>
  <sheetFormatPr defaultRowHeight="14.4" x14ac:dyDescent="0.3"/>
  <cols>
    <col min="1" max="1" width="12.88671875" bestFit="1" customWidth="1"/>
    <col min="2" max="2" width="15.5546875" customWidth="1"/>
    <col min="3" max="3" width="10.109375" bestFit="1" customWidth="1"/>
    <col min="4" max="4" width="12.109375" bestFit="1" customWidth="1"/>
    <col min="5" max="5" width="10.88671875" bestFit="1" customWidth="1"/>
    <col min="6" max="6" width="16.33203125" bestFit="1" customWidth="1"/>
    <col min="7" max="7" width="15.109375" bestFit="1" customWidth="1"/>
  </cols>
  <sheetData>
    <row r="1" spans="1:9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85</v>
      </c>
      <c r="I1" t="s">
        <v>126</v>
      </c>
    </row>
    <row r="2" spans="1:9" x14ac:dyDescent="0.3">
      <c r="A2" t="s">
        <v>127</v>
      </c>
      <c r="B2" t="str">
        <f>CONCATENATE("Диод шоттки на ", H2," В, номинальный ток ", I2," А")</f>
        <v>Диод шоттки на 30 В, номинальный ток 3 А</v>
      </c>
      <c r="C2" t="str">
        <f>A2</f>
        <v>SK33</v>
      </c>
      <c r="D2" t="s">
        <v>131</v>
      </c>
      <c r="E2" t="s">
        <v>130</v>
      </c>
      <c r="F2" t="str">
        <f>CONCATENATE("Footprints\",G2,".PcbLib")</f>
        <v>Footprints\SMC.PcbLib</v>
      </c>
      <c r="G2" t="s">
        <v>118</v>
      </c>
      <c r="H2">
        <v>30</v>
      </c>
      <c r="I2">
        <v>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5"/>
  <sheetViews>
    <sheetView workbookViewId="0">
      <selection activeCell="F14" sqref="F14"/>
    </sheetView>
  </sheetViews>
  <sheetFormatPr defaultRowHeight="14.4" x14ac:dyDescent="0.3"/>
  <cols>
    <col min="1" max="1" width="13.21875" customWidth="1"/>
    <col min="2" max="2" width="12.6640625" customWidth="1"/>
    <col min="3" max="3" width="13.21875" customWidth="1"/>
    <col min="4" max="4" width="35.21875" customWidth="1"/>
    <col min="5" max="5" width="12.21875" customWidth="1"/>
    <col min="6" max="6" width="43.77734375" customWidth="1"/>
    <col min="7" max="7" width="13.109375" customWidth="1"/>
    <col min="8" max="8" width="12.21875" customWidth="1"/>
    <col min="9" max="9" width="13.44140625" customWidth="1"/>
  </cols>
  <sheetData>
    <row r="1" spans="1: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">
      <c r="A2" t="s">
        <v>82</v>
      </c>
      <c r="B2" t="s">
        <v>83</v>
      </c>
      <c r="C2" s="2" t="str">
        <f>A2</f>
        <v>IDC-10</v>
      </c>
      <c r="D2" t="str">
        <f t="shared" ref="D2:D4" si="0">CONCATENATE("Schematic\Connectors\",IF(ISNUMBER(FIND("PLS",A2)),"PLS\",),IF(ISNUMBER(FIND("CWF",A2)),"CWF\",),A2,".SchLib")</f>
        <v>Schematic\Connectors\IDC-10.SchLib</v>
      </c>
      <c r="E2" t="str">
        <f>A2</f>
        <v>IDC-10</v>
      </c>
      <c r="F2" t="str">
        <f t="shared" ref="F2:F4" si="1">CONCATENATE("Footprints\Connectors\",IF(ISNUMBER(FIND("PLS",A2)),"PLS\",),IF(ISNUMBER(FIND("CWF",A2)),"CWF\",),G2,".PcbLib")</f>
        <v>Footprints\Connectors\IDC-10.PcbLib</v>
      </c>
      <c r="G2" t="str">
        <f>A2</f>
        <v>IDC-10</v>
      </c>
    </row>
    <row r="3" spans="1:9" x14ac:dyDescent="0.3">
      <c r="A3" t="s">
        <v>84</v>
      </c>
      <c r="B3" t="s">
        <v>83</v>
      </c>
      <c r="C3" s="2" t="str">
        <f>A3</f>
        <v>D-SUB-26</v>
      </c>
      <c r="D3" t="str">
        <f t="shared" si="0"/>
        <v>Schematic\Connectors\D-SUB-26.SchLib</v>
      </c>
      <c r="E3" t="str">
        <f>A3</f>
        <v>D-SUB-26</v>
      </c>
      <c r="F3" t="str">
        <f t="shared" si="1"/>
        <v>Footprints\Connectors\D-SUB-26.PcbLib</v>
      </c>
      <c r="G3" t="str">
        <f>A3</f>
        <v>D-SUB-26</v>
      </c>
    </row>
    <row r="4" spans="1:9" x14ac:dyDescent="0.3">
      <c r="A4" t="s">
        <v>119</v>
      </c>
      <c r="B4" t="s">
        <v>120</v>
      </c>
      <c r="C4" s="2"/>
      <c r="D4" t="str">
        <f t="shared" si="0"/>
        <v>Schematic\Connectors\PLS\PLS4.SchLib</v>
      </c>
      <c r="E4" t="str">
        <f t="shared" ref="E4:E5" si="2">A4</f>
        <v>PLS4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">
      <c r="A5" t="s">
        <v>121</v>
      </c>
      <c r="B5" t="s">
        <v>122</v>
      </c>
      <c r="C5" s="2"/>
      <c r="D5" t="str">
        <f>CONCATENATE("Schematic\Connectors\",IF(ISNUMBER(FIND("PLS",A5)),"PLS\",),IF(ISNUMBER(FIND("CWF",A5)),"CWF\",),A5,".SchLib")</f>
        <v>Schematic\Connectors\CWF\CWF-5.SchLib</v>
      </c>
      <c r="E5" t="str">
        <f t="shared" si="2"/>
        <v>CWF-5</v>
      </c>
      <c r="F5" t="str">
        <f>CONCATENATE("Footprints\Connectors\",IF(ISNUMBER(FIND("PLS",A5)),"PLS\",),IF(ISNUMBER(FIND("CWF",A5)),"CWF\",),G5,".PcbLib")</f>
        <v>Footprints\Connectors\CWF\CWF-5.PcbLib</v>
      </c>
      <c r="G5" t="str">
        <f t="shared" si="3"/>
        <v>CWF-5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Chips</vt:lpstr>
      <vt:lpstr>Zener</vt:lpstr>
      <vt:lpstr>TVS</vt:lpstr>
      <vt:lpstr>Transistors</vt:lpstr>
      <vt:lpstr>Resistors</vt:lpstr>
      <vt:lpstr>Capacitors</vt:lpstr>
      <vt:lpstr>Inductance</vt:lpstr>
      <vt:lpstr>Other</vt:lpstr>
      <vt:lpstr>Schottky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2024-10-21T18:24:41Z</dcterms:modified>
</cp:coreProperties>
</file>