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E620B52C-1698-4B21-94D8-EAA1A301670E}" xr6:coauthVersionLast="47" xr6:coauthVersionMax="47" xr10:uidLastSave="{00000000-0000-0000-0000-000000000000}"/>
  <bookViews>
    <workbookView xWindow="2240" yWindow="2240" windowWidth="17300" windowHeight="8900" firstSheet="7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" l="1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<sst xmlns="http://schemas.openxmlformats.org/spreadsheetml/2006/main" count="2326" uniqueCount="890">
  <si>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</si>
  <si>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</si>
  <si>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</si>
  <si>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</si>
  <si>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</si>
  <si>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</si>
  <si>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</si>
  <si>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</si>
  <si>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</si>
  <si>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</si>
  <si>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</si>
  <si>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</si>
  <si>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</si>
  <si>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</si>
  <si>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</si>
  <si>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</si>
  <si>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</si>
  <si>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</si>
  <si>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</si>
  <si>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</si>
  <si>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</si>
  <si>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</si>
  <si>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</si>
  <si>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</si>
  <si>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</si>
  <si>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</si>
  <si>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</si>
  <si>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</si>
  <si>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</si>
  <si>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</si>
  <si>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</si>
  <si>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</si>
  <si>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</si>
  <si>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</si>
  <si>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</si>
  <si>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</si>
  <si>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</si>
  <si>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</si>
  <si>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</si>
  <si>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</si>
  <si>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</si>
  <si>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</si>
  <si>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</si>
  <si>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</si>
  <si>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</si>
  <si>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</si>
  <si>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</si>
  <si>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</si>
  <si>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</si>
  <si>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</si>
  <si>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</si>
  <si>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</si>
  <si>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</si>
  <si>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</si>
  <si>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</si>
  <si>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</si>
  <si>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</si>
  <si>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</si>
  <si>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</si>
  <si>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</si>
  <si>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</si>
  <si>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</si>
  <si>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</si>
  <si>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</si>
  <si>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</si>
  <si>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</si>
  <si>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</si>
  <si>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</si>
  <si>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</si>
  <si>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</si>
  <si>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</si>
  <si>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</si>
  <si>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</si>
  <si>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</si>
  <si>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</si>
  <si>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</si>
  <si>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</si>
  <si>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</si>
  <si>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</si>
  <si>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</si>
  <si>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</si>
  <si>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</si>
  <si>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</si>
  <si>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</si>
  <si>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</si>
  <si>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</si>
  <si>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</si>
  <si>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</si>
  <si>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</si>
  <si>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</si>
  <si>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</si>
  <si>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</si>
  <si>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</si>
  <si>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</si>
  <si>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</si>
  <si>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</si>
  <si>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</si>
  <si>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</si>
  <si>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</si>
  <si>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</si>
  <si>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</si>
  <si>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</si>
  <si>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</si>
  <si>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</si>
  <si>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</si>
  <si>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</si>
  <si>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</si>
  <si>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</si>
  <si>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</si>
  <si>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</si>
  <si>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</si>
  <si>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</si>
  <si>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</si>
  <si>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</si>
  <si>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</si>
  <si>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</si>
  <si>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</si>
  <si>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</si>
  <si>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</si>
  <si>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</si>
  <si>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</si>
  <si>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</si>
  <si>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</si>
  <si>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</si>
  <si>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</si>
  <si>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</si>
  <si>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</si>
  <si>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</si>
  <si>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</si>
  <si>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</si>
  <si>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</si>
  <si>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</si>
  <si>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</si>
  <si>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</si>
  <si>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</si>
  <si>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</si>
  <si>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</si>
  <si>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</si>
  <si>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</si>
  <si>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</si>
  <si>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</si>
  <si>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</si>
  <si>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</si>
  <si>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</si>
  <si>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</si>
  <si>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</si>
  <si>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</si>
  <si>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</si>
  <si>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</si>
  <si>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</si>
  <si>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</si>
  <si>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</si>
  <si>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</si>
  <si>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</si>
  <si>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</si>
  <si>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</si>
  <si>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</si>
  <si>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</si>
  <si>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</si>
  <si>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</si>
  <si>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</si>
  <si>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</si>
  <si>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</si>
  <si>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</si>
  <si>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</si>
  <si>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</si>
  <si>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</si>
  <si>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</si>
  <si>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</si>
  <si>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</si>
  <si>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</si>
  <si>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</si>
  <si>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</si>
  <si>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</si>
  <si>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</si>
  <si>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</si>
  <si>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</si>
  <si>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</si>
  <si>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</si>
  <si>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</si>
  <si>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</si>
  <si>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</si>
  <si>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</si>
  <si>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</si>
  <si>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</si>
  <si>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</si>
  <si>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</si>
  <si>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</si>
  <si>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</si>
  <si>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</si>
  <si>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</si>
  <si>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</si>
  <si>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</si>
  <si>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</si>
  <si>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</si>
  <si>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</si>
  <si>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</si>
  <si>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</si>
  <si>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</si>
  <si>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</si>
  <si>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</si>
  <si>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</si>
  <si>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</si>
  <si>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</si>
  <si>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</si>
  <si>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</si>
  <si>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</si>
  <si>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</si>
  <si>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</si>
  <si>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</si>
  <si>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</si>
  <si>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</si>
  <si>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</si>
  <si>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</si>
  <si>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</si>
  <si>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</si>
  <si>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</si>
  <si>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</si>
  <si>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</si>
  <si>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</si>
  <si>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</si>
  <si>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</si>
  <si>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</si>
  <si>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</si>
  <si>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</si>
  <si>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</si>
  <si>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</si>
  <si>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</si>
  <si>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</si>
  <si>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</si>
  <si>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</si>
  <si>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</si>
  <si>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</si>
  <si>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</si>
  <si>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</si>
  <si>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</si>
  <si>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</si>
  <si>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</si>
  <si>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</si>
  <si>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</si>
  <si>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</si>
  <si>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</si>
  <si>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</si>
  <si>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</si>
  <si>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</si>
  <si>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</si>
  <si>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</si>
  <si>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</si>
  <si>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</si>
  <si>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</si>
  <si>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</si>
  <si>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</si>
  <si>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</si>
  <si>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</si>
  <si>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</si>
  <si>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</si>
  <si>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</si>
  <si>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</si>
  <si>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</si>
  <si>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</si>
  <si>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</si>
  <si>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</si>
  <si>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</si>
  <si>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</si>
  <si>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</si>
  <si>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</si>
  <si>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</si>
  <si>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</si>
  <si>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</si>
  <si>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</si>
  <si>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</si>
  <si>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</si>
  <si>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</si>
  <si>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</si>
  <si>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</si>
  <si>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</si>
  <si>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</si>
  <si>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</si>
  <si>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</si>
  <si>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</si>
  <si>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</si>
  <si>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</si>
  <si>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</si>
  <si>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</si>
  <si>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</si>
  <si>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</si>
  <si>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</si>
  <si>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</si>
  <si>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</si>
  <si>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</si>
  <si>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</si>
  <si>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</si>
  <si>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</si>
  <si>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</si>
  <si>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</si>
  <si>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</si>
  <si>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</si>
  <si>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</si>
  <si>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</si>
  <si>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</si>
  <si>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</si>
  <si>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</si>
  <si>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</si>
  <si>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</si>
  <si>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</si>
  <si>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</si>
  <si>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</si>
  <si>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</si>
  <si>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</si>
  <si>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</si>
  <si>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</si>
  <si>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</si>
  <si>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</si>
  <si>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</si>
  <si>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</si>
  <si>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</si>
  <si>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</si>
  <si>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</si>
  <si>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</si>
  <si>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</si>
  <si>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</si>
  <si>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</si>
  <si>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</si>
  <si>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</si>
  <si>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</si>
  <si>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</si>
  <si>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</si>
  <si>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</si>
  <si>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</si>
  <si>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</si>
  <si>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</si>
  <si>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</si>
  <si>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</si>
  <si>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</si>
  <si>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</si>
  <si>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</si>
  <si>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</si>
  <si>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</si>
  <si>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</si>
  <si>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</si>
  <si>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</si>
  <si>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</si>
  <si>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</si>
  <si>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</si>
  <si>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</si>
  <si>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</si>
  <si>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</si>
  <si>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</si>
  <si>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</si>
  <si>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</si>
  <si>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</si>
  <si>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</si>
  <si>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</si>
  <si>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</si>
  <si>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</si>
  <si>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</si>
  <si>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</si>
  <si>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</si>
  <si>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</si>
  <si>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</si>
  <si>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</si>
  <si>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</si>
  <si>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</si>
  <si>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</si>
  <si>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</si>
  <si>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</si>
  <si>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</si>
  <si>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</si>
  <si>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</si>
  <si>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</si>
  <si>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</si>
  <si>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</si>
  <si>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</si>
  <si>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</si>
  <si>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</si>
  <si>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</si>
  <si>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</si>
  <si>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</si>
  <si>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</si>
  <si>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</si>
  <si>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</si>
  <si>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</si>
  <si>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</si>
  <si>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</si>
  <si>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</si>
  <si>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</si>
  <si>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</si>
  <si>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</si>
  <si>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</si>
  <si>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</si>
  <si>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</si>
  <si>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</si>
  <si>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</si>
  <si>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</si>
  <si>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</si>
  <si>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</si>
  <si>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</si>
  <si>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</si>
  <si>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</si>
  <si>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</si>
  <si>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</si>
  <si>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</si>
  <si>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</si>
  <si>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</si>
  <si>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</si>
  <si>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</si>
  <si>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</si>
  <si>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</si>
  <si>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</si>
  <si>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</si>
  <si>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</si>
  <si>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</si>
  <si>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</si>
  <si>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</si>
  <si>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</si>
  <si>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</si>
  <si>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</si>
  <si>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</si>
  <si>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</si>
  <si>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</si>
  <si>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</si>
  <si>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</si>
  <si>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</si>
  <si>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</si>
  <si>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</si>
  <si>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</si>
  <si>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</si>
  <si>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</si>
  <si>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</si>
  <si>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</si>
  <si>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</si>
  <si>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</si>
  <si>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</si>
  <si>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</si>
  <si>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</si>
  <si>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</si>
  <si>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</si>
  <si>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</si>
  <si>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</si>
  <si>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</si>
  <si>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</si>
  <si>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</si>
  <si>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</si>
  <si>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</si>
  <si>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</si>
  <si>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</si>
  <si>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</si>
  <si>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</si>
  <si>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</si>
  <si>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</si>
  <si>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</si>
  <si>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</si>
  <si>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</si>
  <si>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</si>
  <si>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</si>
  <si>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</si>
  <si>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</si>
  <si>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</si>
  <si>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</si>
  <si>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</si>
  <si>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</si>
  <si>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</si>
  <si>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</si>
  <si>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</si>
  <si>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</si>
  <si>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</si>
  <si>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</si>
  <si>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</si>
  <si>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</si>
  <si>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</si>
  <si>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</si>
  <si>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</si>
  <si>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</si>
  <si>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</si>
  <si>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</si>
  <si>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</si>
  <si>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</si>
  <si>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</si>
  <si>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</si>
  <si>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</si>
  <si>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</si>
  <si>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</si>
  <si>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</si>
  <si>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</si>
  <si>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</si>
  <si>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</si>
  <si>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</si>
  <si>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</si>
  <si>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</si>
  <si>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</si>
  <si>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</si>
  <si>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</si>
  <si>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</si>
  <si>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</si>
  <si>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</si>
  <si>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</si>
  <si>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</si>
  <si>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</si>
  <si>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</si>
  <si>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</si>
  <si>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</si>
  <si>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</si>
  <si>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</si>
  <si>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</si>
  <si>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</si>
  <si>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</si>
  <si>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</si>
  <si>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</si>
  <si>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</si>
  <si>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</si>
  <si>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</si>
  <si>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</si>
  <si>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</si>
  <si>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</si>
  <si>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</si>
  <si>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</si>
  <si>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</si>
  <si>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</si>
  <si>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</si>
  <si>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</si>
  <si>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</si>
  <si>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</si>
  <si>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</si>
  <si>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</si>
  <si>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</si>
  <si>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</si>
  <si>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</si>
  <si>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</si>
  <si>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</si>
  <si>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</si>
  <si>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</si>
  <si>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</si>
  <si>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</si>
  <si>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</si>
  <si>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</si>
  <si>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</si>
  <si>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</si>
  <si>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</si>
  <si>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</si>
  <si>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</si>
  <si>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</si>
  <si>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</si>
  <si>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</si>
  <si>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</si>
  <si>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</si>
  <si>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</si>
  <si>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</si>
  <si>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</si>
  <si>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</si>
  <si>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</si>
  <si>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</si>
  <si>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</si>
  <si>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</si>
  <si>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</si>
  <si>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</si>
  <si>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</si>
  <si>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</si>
  <si>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</si>
  <si>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</si>
  <si>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</si>
  <si>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</si>
  <si>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</si>
  <si>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</si>
  <si>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</si>
  <si>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</si>
  <si>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</si>
  <si>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</si>
  <si>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</si>
  <si>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</si>
  <si>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</si>
  <si>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</si>
  <si>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</si>
  <si>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</si>
  <si>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</si>
  <si>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</si>
  <si>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</si>
  <si>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</si>
  <si>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</si>
  <si>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</si>
  <si>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</si>
  <si>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</si>
  <si>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</si>
  <si>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</si>
  <si>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</si>
  <si>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</si>
  <si>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</si>
  <si>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</si>
  <si>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</si>
  <si>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</si>
  <si>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</si>
  <si>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</si>
  <si>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</si>
  <si>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</si>
  <si>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</si>
  <si>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</si>
  <si>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</si>
  <si>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</si>
  <si>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</si>
  <si>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</si>
  <si>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</si>
  <si>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</si>
  <si>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</si>
  <si>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</si>
  <si>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</si>
  <si>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</si>
  <si>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</si>
  <si>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</si>
  <si>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</si>
  <si>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</si>
  <si>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</si>
  <si>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</si>
  <si>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</si>
  <si>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</si>
  <si>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</si>
  <si>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</si>
  <si>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</si>
  <si>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</si>
  <si>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</si>
  <si>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</si>
  <si>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</si>
  <si>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</si>
  <si>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</si>
  <si>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</si>
  <si>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</si>
  <si>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</si>
  <si>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</si>
  <si>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</si>
  <si>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</si>
  <si>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</si>
  <si>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</si>
  <si>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</si>
  <si>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</si>
  <si>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</si>
  <si>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</si>
  <si>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</si>
  <si>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</si>
  <si>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</si>
  <si>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</si>
  <si>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</si>
  <si>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</si>
  <si>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</si>
  <si>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</si>
  <si>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</si>
  <si>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</si>
  <si>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</si>
  <si>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</si>
  <si>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</si>
  <si>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</si>
  <si>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</si>
  <si>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</si>
  <si>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</si>
  <si>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</si>
  <si>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</si>
  <si>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</si>
  <si>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</si>
  <si>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</si>
  <si>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</si>
  <si>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</si>
  <si>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</si>
  <si>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</si>
  <si>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</si>
  <si>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</si>
  <si>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</si>
  <si>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</si>
  <si>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</si>
  <si>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</si>
  <si>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</si>
  <si>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</si>
  <si>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</si>
  <si>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</si>
  <si>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</si>
  <si>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</si>
  <si>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</si>
  <si>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</si>
  <si>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</si>
  <si>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</si>
  <si>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</si>
  <si>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</si>
  <si>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</si>
  <si>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</si>
  <si>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</si>
  <si>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</si>
  <si>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</si>
  <si>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</si>
  <si>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</si>
  <si>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</si>
  <si>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</si>
  <si>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</si>
  <si>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</si>
  <si>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</si>
  <si>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</si>
  <si>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</si>
  <si>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</si>
  <si>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</si>
  <si>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</si>
  <si>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</si>
  <si>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</si>
  <si>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</si>
  <si>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</si>
  <si>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</si>
  <si>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</si>
  <si>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</si>
  <si>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</si>
  <si>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</si>
  <si>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</si>
  <si>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</si>
  <si>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</si>
  <si>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</si>
  <si>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</si>
  <si>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</si>
  <si>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</si>
  <si>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</si>
  <si>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</si>
  <si>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</si>
  <si>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</si>
  <si>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</si>
  <si>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</si>
  <si>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</si>
  <si>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</si>
  <si>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</si>
  <si>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</si>
  <si>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</si>
  <si>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</si>
  <si>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</si>
  <si>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</si>
  <si>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</si>
  <si>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</si>
  <si>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</si>
  <si>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</si>
  <si>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</si>
  <si>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</si>
  <si>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</si>
  <si>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</si>
  <si>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</si>
  <si>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</si>
  <si>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</si>
  <si>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</si>
  <si>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</si>
  <si>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</si>
  <si>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</si>
  <si>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</si>
  <si>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</si>
  <si>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</si>
  <si>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</si>
  <si>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</si>
  <si>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</si>
  <si>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</si>
  <si>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</si>
  <si>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</si>
  <si>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</si>
  <si>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</si>
  <si>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</si>
  <si>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</si>
  <si>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</si>
  <si>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</si>
  <si>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</si>
  <si>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</si>
  <si>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</si>
  <si>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</si>
  <si>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</si>
  <si>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</si>
  <si>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</si>
  <si>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</si>
  <si>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</si>
  <si>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</si>
  <si>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</si>
  <si>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</si>
  <si>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</si>
  <si>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</si>
  <si>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</si>
  <si>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</si>
  <si>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</si>
  <si>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</si>
  <si>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</si>
  <si>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</si>
  <si>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</si>
  <si>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</si>
  <si>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</si>
  <si>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</si>
  <si>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</si>
  <si>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</si>
  <si>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</si>
  <si>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</si>
  <si>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</si>
  <si>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</si>
  <si>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</si>
  <si>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</si>
  <si>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</si>
  <si>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</si>
  <si>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</si>
  <si>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</si>
  <si>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</si>
  <si>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</si>
  <si>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</si>
  <si>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</si>
  <si>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</si>
  <si>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</si>
  <si>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</si>
  <si>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</si>
  <si>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</si>
  <si>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</si>
  <si>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</si>
  <si>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</si>
  <si>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</si>
  <si>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</si>
  <si>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</si>
  <si>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</si>
  <si>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</si>
  <si>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</si>
  <si>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</si>
  <si>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</si>
  <si>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</si>
  <si>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</si>
  <si>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</si>
  <si>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</si>
  <si>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</si>
  <si>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</si>
  <si>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</si>
  <si>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</si>
  <si>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</si>
  <si>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</si>
  <si>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</si>
  <si>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</si>
  <si>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</si>
  <si>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</si>
  <si>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</si>
  <si>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</si>
  <si>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</si>
  <si>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</si>
  <si>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</si>
  <si>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</si>
  <si>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</si>
  <si>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</si>
  <si>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</si>
  <si>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</si>
  <si>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</si>
  <si>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</si>
  <si>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</si>
  <si>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</si>
  <si>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</si>
  <si>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</si>
  <si>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</si>
  <si>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</si>
  <si>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</si>
  <si>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</si>
  <si>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</si>
  <si>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</si>
  <si>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</si>
  <si>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</si>
  <si>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</si>
  <si>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</si>
  <si>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</si>
  <si>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</si>
  <si>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</si>
  <si>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</si>
  <si>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</si>
  <si>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</si>
  <si>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</si>
  <si>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</si>
  <si>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</si>
  <si>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</si>
  <si>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</si>
  <si>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Capacitor_4,7u_10_50V_X7R_0603C</t>
  </si>
  <si>
    <t>Footprints\Capacitors\1206C.PcbLib</t>
  </si>
  <si>
    <t>1206C</t>
  </si>
  <si>
    <t>Capacitor_22u_10_50V_X7R_0603C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</si>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</sst>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7" tableType="xml" totalsRowShown="0" headerRowDxfId="88" connectionId="6">
  <autoFilter ref="A1:G1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5" tableType="xml" totalsRowShown="0" connectionId="13">
  <autoFilter ref="A1:I5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6" tableType="xml" totalsRowShown="0" dataDxfId="86" connectionId="15">
  <autoFilter ref="A1:K6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4" connectionId="14">
  <autoFilter ref="A1:I8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67" dataDxfId="66" connectionId="12">
  <autoFilter ref="A1:I171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0" tableType="xml" totalsRowShown="0" headerRowDxfId="34" headerRowBorderDxfId="33" tableBorderDxfId="32" connectionId="2">
  <autoFilter ref="A1:L40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4" tableType="xml" totalsRowShown="0" headerRowDxfId="3" connectionId="7">
  <autoFilter ref="A1:I14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0"/>
  <sheetViews>
    <sheetView topLeftCell="A7" workbookViewId="0">
      <selection activeCell="B21" sqref="B21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879</v>
      </c>
      <c r="B18" t="s">
        <v>880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879</v>
      </c>
    </row>
    <row r="19" spans="1:7" x14ac:dyDescent="0.35">
      <c r="A19" t="s">
        <v>881</v>
      </c>
      <c r="B19" t="s">
        <v>882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883</v>
      </c>
    </row>
    <row r="20" spans="1:7" x14ac:dyDescent="0.35">
      <c r="A20" s="12" t="s">
        <v>884</v>
      </c>
      <c r="B20" t="s">
        <v>885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5"/>
  <sheetViews>
    <sheetView workbookViewId="0">
      <selection activeCell="H4" sqref="H4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5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875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5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A6" sqref="A6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80</v>
      </c>
      <c r="F2" t="str">
        <f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5">
      <c r="A3" t="s">
        <v>79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81</v>
      </c>
      <c r="F3" t="str">
        <f>CONCATENATE("Footprints\",G3,".PcbLib")</f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80</v>
      </c>
      <c r="F4" t="str">
        <f>CONCATENATE("Footprints\",G4,".PcbLib")</f>
        <v>Footprints\SMA.PcbLib</v>
      </c>
      <c r="G4" t="s">
        <v>131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335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80</v>
      </c>
      <c r="F5" t="str">
        <f>CONCATENATE("Footprints\",G5,".PcbLib")</f>
        <v>Footprints\SMB.PcbLib</v>
      </c>
      <c r="G5" t="s">
        <v>343</v>
      </c>
      <c r="H5">
        <v>18</v>
      </c>
      <c r="I5">
        <v>600</v>
      </c>
      <c r="J5" t="str">
        <f t="shared" si="0"/>
        <v>18 В</v>
      </c>
    </row>
    <row r="6" spans="1:11" x14ac:dyDescent="0.35">
      <c r="A6" t="s">
        <v>857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80</v>
      </c>
      <c r="F6" t="str">
        <f>CONCATENATE("Footprints\",G6,".PcbLib")</f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873</v>
      </c>
    </row>
    <row r="9" spans="1:19" ht="15.5" x14ac:dyDescent="0.35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1"/>
  <sheetViews>
    <sheetView topLeftCell="A157" zoomScale="70" zoomScaleNormal="70" workbookViewId="0">
      <selection activeCell="B113" sqref="B113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</row>
    <row r="17" spans="1:9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</row>
    <row r="18" spans="1:9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</row>
    <row r="19" spans="1:9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</row>
    <row r="20" spans="1:9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</row>
    <row r="21" spans="1:9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</row>
    <row r="22" spans="1:9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</row>
    <row r="23" spans="1:9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</row>
    <row r="24" spans="1:9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</row>
    <row r="25" spans="1:9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</row>
    <row r="26" spans="1:9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</row>
    <row r="27" spans="1:9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</row>
    <row r="28" spans="1:9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</row>
    <row r="29" spans="1:9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</row>
    <row r="30" spans="1:9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</row>
    <row r="31" spans="1:9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</row>
    <row r="32" spans="1:9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</row>
    <row r="33" spans="1:9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</row>
    <row r="34" spans="1:9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</row>
    <row r="35" spans="1:9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</row>
    <row r="36" spans="1:9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</row>
    <row r="37" spans="1:9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</row>
    <row r="38" spans="1:9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</row>
    <row r="39" spans="1:9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</row>
    <row r="40" spans="1:9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</row>
    <row r="41" spans="1:9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</row>
    <row r="42" spans="1:9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</row>
    <row r="43" spans="1:9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</row>
    <row r="44" spans="1:9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</row>
    <row r="45" spans="1:9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</row>
    <row r="46" spans="1:9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</row>
    <row r="47" spans="1:9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</row>
    <row r="48" spans="1:9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</row>
    <row r="49" spans="1:9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</row>
    <row r="50" spans="1:9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</row>
    <row r="51" spans="1:9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</row>
    <row r="52" spans="1:9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</row>
    <row r="53" spans="1:9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</row>
    <row r="54" spans="1:9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</row>
    <row r="55" spans="1:9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</row>
    <row r="56" spans="1:9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</row>
    <row r="57" spans="1:9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</row>
    <row r="58" spans="1:9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</row>
    <row r="59" spans="1:9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</row>
    <row r="60" spans="1:9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</row>
    <row r="61" spans="1:9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</row>
    <row r="62" spans="1:9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</row>
    <row r="63" spans="1:9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</row>
    <row r="64" spans="1:9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</row>
    <row r="65" spans="1:9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</row>
    <row r="66" spans="1:9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</row>
    <row r="67" spans="1:9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</row>
    <row r="68" spans="1:9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</row>
    <row r="69" spans="1:9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</row>
    <row r="70" spans="1:9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</row>
    <row r="71" spans="1:9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</row>
    <row r="72" spans="1:9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</row>
    <row r="73" spans="1:9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</row>
    <row r="74" spans="1:9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</row>
    <row r="75" spans="1:9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</row>
    <row r="76" spans="1:9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</row>
    <row r="77" spans="1:9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</row>
    <row r="78" spans="1:9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</row>
    <row r="79" spans="1:9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</row>
    <row r="80" spans="1:9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</row>
    <row r="81" spans="1:9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</row>
    <row r="82" spans="1:9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</row>
    <row r="83" spans="1:9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</row>
    <row r="84" spans="1:9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</row>
    <row r="85" spans="1:9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</row>
    <row r="86" spans="1:9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</row>
    <row r="87" spans="1:9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</row>
    <row r="88" spans="1:9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</row>
    <row r="89" spans="1:9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</row>
    <row r="90" spans="1:9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</row>
    <row r="91" spans="1:9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</row>
    <row r="92" spans="1:9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</row>
    <row r="93" spans="1:9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</row>
    <row r="94" spans="1:9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</row>
    <row r="95" spans="1:9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</row>
    <row r="96" spans="1:9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</row>
    <row r="97" spans="1:9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</row>
    <row r="98" spans="1:9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</row>
    <row r="99" spans="1:9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</row>
    <row r="100" spans="1:9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</row>
    <row r="101" spans="1:9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</row>
    <row r="102" spans="1:9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</row>
    <row r="103" spans="1:9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</row>
    <row r="104" spans="1:9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</row>
    <row r="105" spans="1:9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</row>
    <row r="106" spans="1:9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</row>
    <row r="107" spans="1:9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</row>
    <row r="108" spans="1:9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</row>
    <row r="109" spans="1:9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</row>
    <row r="110" spans="1:9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</row>
    <row r="111" spans="1:9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</row>
    <row r="112" spans="1:9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</row>
    <row r="113" spans="1:9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</row>
    <row r="114" spans="1:9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</row>
    <row r="115" spans="1:9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</row>
    <row r="116" spans="1:9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</row>
    <row r="117" spans="1:9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</row>
    <row r="118" spans="1:9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</row>
    <row r="119" spans="1:9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</row>
    <row r="120" spans="1:9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</row>
    <row r="121" spans="1:9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</row>
    <row r="122" spans="1:9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</row>
    <row r="123" spans="1:9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</row>
    <row r="124" spans="1:9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</row>
    <row r="125" spans="1:9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</row>
    <row r="126" spans="1:9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</row>
    <row r="127" spans="1:9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</row>
    <row r="128" spans="1:9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</row>
    <row r="129" spans="1:9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</row>
    <row r="130" spans="1:9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</row>
    <row r="131" spans="1:9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</row>
    <row r="132" spans="1:9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</row>
    <row r="133" spans="1:9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</row>
    <row r="134" spans="1:9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</row>
    <row r="135" spans="1:9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</row>
    <row r="136" spans="1:9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</row>
    <row r="137" spans="1:9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</row>
    <row r="138" spans="1:9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</row>
    <row r="139" spans="1:9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</row>
    <row r="140" spans="1:9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</row>
    <row r="141" spans="1:9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</row>
    <row r="142" spans="1:9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</row>
    <row r="143" spans="1:9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</row>
    <row r="144" spans="1:9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</row>
    <row r="145" spans="1:9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</row>
    <row r="146" spans="1:9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</row>
    <row r="147" spans="1:9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</row>
    <row r="148" spans="1:9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</row>
    <row r="149" spans="1:9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</row>
    <row r="150" spans="1:9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</row>
    <row r="151" spans="1:9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</row>
    <row r="152" spans="1:9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</row>
    <row r="153" spans="1:9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</row>
    <row r="154" spans="1:9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</row>
    <row r="155" spans="1:9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</row>
    <row r="156" spans="1:9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</row>
    <row r="157" spans="1:9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</row>
    <row r="158" spans="1:9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</row>
    <row r="159" spans="1:9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</row>
    <row r="160" spans="1:9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</row>
    <row r="161" spans="1:9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</row>
    <row r="162" spans="1:9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</row>
    <row r="163" spans="1:9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</row>
    <row r="164" spans="1:9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</row>
    <row r="165" spans="1:9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</row>
    <row r="166" spans="1:9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</row>
    <row r="167" spans="1:9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</row>
    <row r="168" spans="1:9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</row>
    <row r="169" spans="1:9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</row>
    <row r="170" spans="1:9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</row>
    <row r="171" spans="1:9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874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0"/>
  <sheetViews>
    <sheetView topLeftCell="G22" workbookViewId="0">
      <selection activeCell="K43" sqref="K4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862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863</v>
      </c>
      <c r="K39" t="s">
        <v>864</v>
      </c>
      <c r="L39">
        <v>4700</v>
      </c>
    </row>
    <row r="40" spans="1:12" x14ac:dyDescent="0.35">
      <c r="A40" s="2" t="s">
        <v>865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815</v>
      </c>
      <c r="G40" s="11">
        <v>0.1</v>
      </c>
      <c r="H40">
        <v>25</v>
      </c>
      <c r="I40" s="2" t="s">
        <v>779</v>
      </c>
      <c r="J40" s="2" t="s">
        <v>866</v>
      </c>
      <c r="K40" t="s">
        <v>867</v>
      </c>
      <c r="L40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5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876</v>
      </c>
      <c r="B5" t="s">
        <v>877</v>
      </c>
      <c r="C5" t="str">
        <f>A5</f>
        <v>IHLP2525CZER4R7M01</v>
      </c>
      <c r="D5" s="2" t="s">
        <v>104</v>
      </c>
      <c r="E5" s="2" t="s">
        <v>102</v>
      </c>
      <c r="F5" s="2" t="str">
        <f>CONCATENATE("Footprints\Inductance\",G5,".PcbLib")</f>
        <v>Footprints\Inductance\IHLP-2525.PcbLib</v>
      </c>
      <c r="G5" s="2" t="s">
        <v>878</v>
      </c>
      <c r="H5" s="2"/>
      <c r="I5" s="2"/>
      <c r="J5" s="2"/>
      <c r="K5" s="2"/>
      <c r="L5" s="2"/>
      <c r="M5" s="2"/>
      <c r="N5">
        <v>4.7</v>
      </c>
      <c r="O5">
        <v>5.5</v>
      </c>
      <c r="P5" s="2" t="str">
        <f>CONCATENATE(N5, " мк")</f>
        <v>4,7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7"/>
  <sheetViews>
    <sheetView workbookViewId="0">
      <selection activeCell="C10" sqref="C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t="s">
        <v>887</v>
      </c>
      <c r="B7" t="s">
        <v>888</v>
      </c>
      <c r="C7" t="str">
        <f t="shared" ref="C7" si="0">A7</f>
        <v>CBM432AST23</v>
      </c>
      <c r="D7" t="str">
        <f>CONCATENATE("Schematic\precision_shunt_regulator",".SchLib")</f>
        <v>Schematic\precision_shunt_regulator.SchLib</v>
      </c>
      <c r="E7" t="s">
        <v>889</v>
      </c>
      <c r="F7" t="str">
        <f>CONCATENATE("Footprints\",G7,".PcbLib")</f>
        <v>Footprints\SOT23-3.PcbLib</v>
      </c>
      <c r="G7" t="s">
        <v>18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tabSelected="1" zoomScaleNormal="100" workbookViewId="0">
      <selection activeCell="F16" sqref="F16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868</v>
      </c>
      <c r="B14" t="s">
        <v>869</v>
      </c>
      <c r="C14" s="2" t="s">
        <v>870</v>
      </c>
      <c r="D14" t="s">
        <v>871</v>
      </c>
      <c r="E14" t="s">
        <v>870</v>
      </c>
      <c r="F14" t="s">
        <v>872</v>
      </c>
      <c r="G14" t="s">
        <v>870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2024-12-02T18:03:54Z</dcterms:modified>
</cp:coreProperties>
</file>