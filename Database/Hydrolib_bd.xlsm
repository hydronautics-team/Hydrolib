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filterPrivacy="1" codeName="ЭтаКнига"/>
  <xr:revisionPtr revIDLastSave="0" documentId="13_ncr:1_{5EEB18DE-B63C-4103-98B8-9BC9B2C040C5}" xr6:coauthVersionLast="47" xr6:coauthVersionMax="47" xr10:uidLastSave="{00000000-0000-0000-0000-000000000000}"/>
  <bookViews>
    <workbookView xWindow="-108" yWindow="-108" windowWidth="23256" windowHeight="12576" tabRatio="896" firstSheet="1" activeTab="1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</workbook>
</file>

<file path=xl/calcChain.xml><?xml version="1.0" encoding="utf-8"?>
<calcChain xmlns="http://schemas.openxmlformats.org/spreadsheetml/2006/main">
  <c r="F61" i="6" l="1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F42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<sst xmlns="http://schemas.openxmlformats.org/spreadsheetml/2006/main" count="3623" uniqueCount="1472">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</sst>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2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</cellXfs>
  <cellStyles count="2">
    <cellStyle name="Гиперссылка" xfId="1" builtinId="8"/>
    <cellStyle name="Обычный" xfId="0" builtinId="0"/>
  </cellStyles>
  <dxfs count="145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51" tableType="xml" totalsRowShown="0" headerRowDxfId="144" connectionId="6">
  <autoFilter ref="A1:M51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3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2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41">
      <xmlColumnPr mapId="30" xpath="/Schottky/Part/VoltageNominal_V" xmlDataType="string"/>
    </tableColumn>
    <tableColumn id="9" xr3:uid="{431126AD-34DC-40A1-9CB6-D627B7878BEA}" uniqueName="Current_A" name="Current (A)" dataDxfId="140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2" tableType="xml" totalsRowShown="0" dataDxfId="139" connectionId="19">
  <autoFilter ref="A1:M12" xr:uid="{35EAFB53-5120-48E8-B7CF-F527619EF3EB}"/>
  <tableColumns count="13">
    <tableColumn id="1" xr3:uid="{8FF51BCB-1CBC-41C4-B0E3-6994AEB249EF}" uniqueName="PartNumber" name="Part Number" dataDxfId="138">
      <xmlColumnPr mapId="6" xpath="/TVS/Part/PartNumber" xmlDataType="string"/>
    </tableColumn>
    <tableColumn id="2" xr3:uid="{254709FF-71DC-4C18-A11E-3F482A74905F}" uniqueName="Description" name="Description" dataDxfId="137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6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5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4">
      <xmlColumnPr mapId="6" xpath="/TVS/Part/LibraryRef" xmlDataType="string"/>
    </tableColumn>
    <tableColumn id="6" xr3:uid="{C5C7E783-B9B8-469C-B255-FC24F12E71DC}" uniqueName="FootprintPath1" name="Footprint Path 1" dataDxfId="133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2">
      <xmlColumnPr mapId="6" xpath="/TVS/Part/FootprintRef1" xmlDataType="string"/>
    </tableColumn>
    <tableColumn id="8" xr3:uid="{16B3AEE3-BEA7-4870-9494-F8A0EC5E9CCD}" uniqueName="VoltageNominal" name="Voltage nominal (V)" dataDxfId="131">
      <xmlColumnPr mapId="6" xpath="/TVS/Part/VoltageNominal" xmlDataType="string"/>
    </tableColumn>
    <tableColumn id="9" xr3:uid="{7DDE345A-D145-4A55-B781-91F88095B1FE}" uniqueName="Power" name="Power (W)" dataDxfId="130">
      <xmlColumnPr mapId="6" xpath="/TVS/Part/Power" xmlDataType="string"/>
    </tableColumn>
    <tableColumn id="10" xr3:uid="{EBB777BC-3BC6-4EF4-AC63-F94C7CFCFC0E}" uniqueName="Value" name="Value" dataDxfId="129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8">
      <xmlColumnPr mapId="6" xpath="/TVS/Part/Inteface" xmlDataType="string"/>
    </tableColumn>
    <tableColumn id="12" xr3:uid="{2FC69434-3445-47B6-BAFF-5BDCB5CA78D9}" uniqueName="12" name="Datasheet" dataDxfId="127"/>
    <tableColumn id="13" xr3:uid="{EE87E164-8B8F-44FD-83D2-5807E590B6E4}" uniqueName="13" name="Автор" dataDxfId="12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15" tableType="xml" totalsRowShown="0" headerRowDxfId="125" connectionId="18">
  <autoFilter ref="A1:M15" xr:uid="{11DAD5D3-6841-4BFD-8583-65DE6E00D680}"/>
  <tableColumns count="13">
    <tableColumn id="1" xr3:uid="{59488B22-9EFD-4960-9418-72616CC8F6CC}" uniqueName="PartNumber" name="Part Number" dataDxfId="124">
      <xmlColumnPr mapId="8" xpath="/Transistors/Part/PartNumber" xmlDataType="string"/>
    </tableColumn>
    <tableColumn id="2" xr3:uid="{B6051881-2BC5-4D5F-9AEE-A86DF4412A4C}" uniqueName="Description" name="Description" dataDxfId="123">
      <xmlColumnPr mapId="8" xpath="/Transistors/Part/Description" xmlDataType="string"/>
    </tableColumn>
    <tableColumn id="3" xr3:uid="{377CEA9C-B3A1-4F57-920A-BA1AC9164370}" uniqueName="Comment" name="Comment" dataDxfId="12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1">
      <xmlColumnPr mapId="8" xpath="/Transistors/Part/LibraryPath" xmlDataType="string"/>
    </tableColumn>
    <tableColumn id="5" xr3:uid="{02693066-D721-4B47-BEE5-D678B96A10FB}" uniqueName="LibraryRef" name="Library Ref" dataDxfId="12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84" tableType="xml" totalsRowShown="0" headerRowDxfId="118" dataDxfId="117" connectionId="14">
  <autoFilter ref="A1:O184" xr:uid="{02061886-A591-4FD8-8C5B-3D1D2DB1F417}"/>
  <tableColumns count="15">
    <tableColumn id="1" xr3:uid="{1DE1C76C-B7F9-47FB-9EB0-156A2D87FD9E}" uniqueName="PartNumber" name="Part Number" dataDxfId="116">
      <xmlColumnPr mapId="38" xpath="/Resistors/Part/PartNumber" xmlDataType="string"/>
    </tableColumn>
    <tableColumn id="2" xr3:uid="{64E60790-EB9B-4A0D-B52C-7CB5A6F82DE8}" uniqueName="Description" name="Description" dataDxfId="115">
      <xmlColumnPr mapId="38" xpath="/Resistors/Part/Description" xmlDataType="string"/>
    </tableColumn>
    <tableColumn id="3" xr3:uid="{497E7478-3EE2-4F8D-A572-C738B7321387}" uniqueName="Comment" name="Comment" dataDxfId="114">
      <xmlColumnPr mapId="38" xpath="/Resistors/Part/Comment" xmlDataType="string"/>
    </tableColumn>
    <tableColumn id="4" xr3:uid="{255B034D-70D9-458C-8FA7-FEB8317A497F}" uniqueName="LibraryPath" name="Library Path" dataDxfId="113">
      <xmlColumnPr mapId="38" xpath="/Resistors/Part/LibraryPath" xmlDataType="string"/>
    </tableColumn>
    <tableColumn id="5" xr3:uid="{A3865419-9EA5-4AAA-B07F-FF52D437DC02}" uniqueName="LibraryRef" name="Library Ref" dataDxfId="112">
      <xmlColumnPr mapId="38" xpath="/Resistors/Part/LibraryRef" xmlDataType="string"/>
    </tableColumn>
    <tableColumn id="6" xr3:uid="{CE64E0F7-2F9E-477F-8D1B-040D90CB5685}" uniqueName="Value" name="Value" dataDxfId="111">
      <xmlColumnPr mapId="38" xpath="/Resistors/Part/Value" xmlDataType="string"/>
    </tableColumn>
    <tableColumn id="7" xr3:uid="{41F7703B-5A2D-47F6-B9C9-B9D386FC3CF8}" uniqueName="Tolerance" name="Tolerance" dataDxfId="110">
      <xmlColumnPr mapId="38" xpath="/Resistors/Part/Tolerance" xmlDataType="double"/>
    </tableColumn>
    <tableColumn id="8" xr3:uid="{429E7452-DB30-417B-B5E7-8F2AA238A5A4}" uniqueName="FootprintPath1" name="Footprint Path 1" dataDxfId="109">
      <xmlColumnPr mapId="38" xpath="/Resistors/Part/FootprintPath1" xmlDataType="string"/>
    </tableColumn>
    <tableColumn id="9" xr3:uid="{298A4272-57F5-45C2-AFCD-965909B2DD40}" uniqueName="FootprintRef1" name="Footprint Ref 1" dataDxfId="108">
      <xmlColumnPr mapId="38" xpath="/Resistors/Part/FootprintRef1" xmlDataType="string"/>
    </tableColumn>
    <tableColumn id="10" xr3:uid="{0DFE9A6B-806A-476A-90DD-58A133FB25CD}" uniqueName="10" name="Footprint Path 2" dataDxfId="107"/>
    <tableColumn id="11" xr3:uid="{5972F9B7-4E29-40F8-85A0-ADFB6C3B63D0}" uniqueName="11" name="Footprint Ref 2" dataDxfId="106"/>
    <tableColumn id="12" xr3:uid="{2BA89A40-2C66-4CDA-B275-A463CA193B24}" uniqueName="12" name="Footprint Path 3" dataDxfId="105"/>
    <tableColumn id="13" xr3:uid="{EB6CB4D4-35E1-4CE3-A4E3-74A449E2B85B}" uniqueName="13" name="Footprint Ref 3" dataDxfId="104"/>
    <tableColumn id="14" xr3:uid="{B126E269-CC34-4371-BF7F-84DF0C0ADEDC}" uniqueName="14" name="Datasheet" dataDxfId="103"/>
    <tableColumn id="15" xr3:uid="{155D5290-0F95-4C8C-856A-9074D435EEE5}" uniqueName="15" name="Автор" dataDxfId="10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3" tableType="xml" totalsRowShown="0" dataDxfId="101" connectionId="12">
  <autoFilter ref="A1:L3" xr:uid="{A29CC993-9C97-4A73-9D5A-85F4F6169F0D}"/>
  <tableColumns count="12">
    <tableColumn id="1" xr3:uid="{E7E6BB90-3474-4E90-9662-90728792951F}" uniqueName="PartNumber" name="Part Number" dataDxfId="100">
      <xmlColumnPr mapId="84" xpath="/Rectifier_diodes/Part/PartNumber" xmlDataType="string"/>
    </tableColumn>
    <tableColumn id="2" xr3:uid="{98A92000-AA1B-456E-BA64-C1F29B956DE5}" uniqueName="Description" name="Description" dataDxfId="99">
      <xmlColumnPr mapId="84" xpath="/Rectifier_diodes/Part/Description" xmlDataType="string"/>
    </tableColumn>
    <tableColumn id="3" xr3:uid="{B4AB4090-17C1-4AE7-9CAE-97918340114E}" uniqueName="Comment" name="Comment" dataDxfId="98">
      <xmlColumnPr mapId="84" xpath="/Rectifier_diodes/Part/Comment" xmlDataType="string"/>
    </tableColumn>
    <tableColumn id="4" xr3:uid="{37B831E9-0546-4F3D-869B-DCA849A60D6D}" uniqueName="LibraryPath" name="Library Path" dataDxfId="97">
      <xmlColumnPr mapId="84" xpath="/Rectifier_diodes/Part/LibraryPath" xmlDataType="string"/>
    </tableColumn>
    <tableColumn id="5" xr3:uid="{D6CB281C-3F3F-4F98-A962-C06645057757}" uniqueName="LibraryRef" name="Library Ref" dataDxfId="96">
      <xmlColumnPr mapId="84" xpath="/Rectifier_diodes/Part/LibraryRef" xmlDataType="string"/>
    </tableColumn>
    <tableColumn id="6" xr3:uid="{A8BCEECB-ED11-4B88-BF6F-96CF63D897BC}" uniqueName="FootprintPath1" name="Footprint Path 1" dataDxfId="95">
      <xmlColumnPr mapId="84" xpath="/Rectifier_diodes/Part/FootprintPath1" xmlDataType="string"/>
    </tableColumn>
    <tableColumn id="7" xr3:uid="{7B9CD19C-2EC8-4C56-940C-1504C11DD55E}" uniqueName="FootprintRef1" name="Footprint Ref 1" dataDxfId="94">
      <xmlColumnPr mapId="84" xpath="/Rectifier_diodes/Part/FootprintRef1" xmlDataType="string"/>
    </tableColumn>
    <tableColumn id="8" xr3:uid="{1881FA4C-96EB-4255-BF42-6B45DFA2BB91}" uniqueName="RepetitivePeakReverseVoltage" name="Repetitive peak reverse voltage (Vrrm)" dataDxfId="93">
      <xmlColumnPr mapId="84" xpath="/Rectifier_diodes/Part/RepetitivePeakReverseVoltage" xmlDataType="string"/>
    </tableColumn>
    <tableColumn id="9" xr3:uid="{EB5ACFA6-079B-4694-9B63-C1A08D4A6545}" uniqueName="Current" name="Current (A)" dataDxfId="92">
      <xmlColumnPr mapId="84" xpath="/Rectifier_diodes/Part/Current" xmlDataType="string"/>
    </tableColumn>
    <tableColumn id="10" xr3:uid="{A56E2E46-8996-40FE-9125-8C74FA00102E}" uniqueName="Power" name="Power (W)" dataDxfId="91">
      <xmlColumnPr mapId="84" xpath="/Rectifier_diodes/Part/Power" xmlDataType="string"/>
    </tableColumn>
    <tableColumn id="14" xr3:uid="{97A2782D-2BBA-490A-A60F-15D84AFDCD53}" uniqueName="0" name="Datasheet" dataDxfId="90"/>
    <tableColumn id="11" xr3:uid="{7390A152-FDA2-4403-A974-D1880B2C3E97}" uniqueName="11" name="Автор" dataDxfId="8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88" dataDxfId="87" connectionId="1">
  <autoFilter ref="A1:V3" xr:uid="{1041C5C1-00FD-47DC-8B7C-9DEBE212D9D4}"/>
  <tableColumns count="22">
    <tableColumn id="1" xr3:uid="{55BDD111-6381-449E-BF2B-3FEC8107762D}" uniqueName="PartNumber" name="Part Number" dataDxfId="86">
      <xmlColumnPr mapId="18" xpath="/Capacitors/Part/PartNumber" xmlDataType="string"/>
    </tableColumn>
    <tableColumn id="2" xr3:uid="{0D3E1F2C-B0CC-4A36-A41B-2F2DAEC98E3B}" uniqueName="Description" name="Description" dataDxfId="85">
      <xmlColumnPr mapId="18" xpath="/Capacitors/Part/Description" xmlDataType="string"/>
    </tableColumn>
    <tableColumn id="3" xr3:uid="{16739D52-8082-4E8D-B1E1-B82F60766E2A}" uniqueName="Comment" name="Comment" dataDxfId="84">
      <xmlColumnPr mapId="18" xpath="/Capacitors/Part/Comment" xmlDataType="string"/>
    </tableColumn>
    <tableColumn id="4" xr3:uid="{AC1F3F2E-0C78-451D-9178-0A9D15C49726}" uniqueName="LibraryPath" name="Library Path" dataDxfId="83">
      <xmlColumnPr mapId="18" xpath="/Capacitors/Part/LibraryPath" xmlDataType="string"/>
    </tableColumn>
    <tableColumn id="5" xr3:uid="{9169ABA3-E41E-40E0-B785-3D3B749D70BB}" uniqueName="LibraryRef" name="Library Ref" dataDxfId="82">
      <xmlColumnPr mapId="18" xpath="/Capacitors/Part/LibraryRef" xmlDataType="string"/>
    </tableColumn>
    <tableColumn id="6" xr3:uid="{01EADD2D-36E6-41EE-B894-B537CCE6649E}" uniqueName="Value" name="Value" dataDxfId="81">
      <xmlColumnPr mapId="18" xpath="/Capacitors/Part/Value" xmlDataType="string"/>
    </tableColumn>
    <tableColumn id="7" xr3:uid="{EC779EF2-47DD-4E8F-A8D2-159E83C79180}" uniqueName="FootprintPath1" name="Footprint Path 1" dataDxfId="80">
      <xmlColumnPr mapId="18" xpath="/Capacitors/Part/FootprintPath1" xmlDataType="string"/>
    </tableColumn>
    <tableColumn id="8" xr3:uid="{C244A49A-3E6F-4B22-983D-FFA97DB3DFF6}" uniqueName="FootprintRef1" name="Footprint Ref 1" dataDxfId="79">
      <xmlColumnPr mapId="18" xpath="/Capacitors/Part/FootprintRef1" xmlDataType="string"/>
    </tableColumn>
    <tableColumn id="9" xr3:uid="{85136BD9-A68F-40E0-9A6F-E71ECA929F04}" uniqueName="FootprintPath2" name="Footprint Path 2" dataDxfId="78">
      <xmlColumnPr mapId="18" xpath="/Capacitors/Part/FootprintPath2" xmlDataType="string"/>
    </tableColumn>
    <tableColumn id="10" xr3:uid="{9FB3A5B2-04CB-44F8-A289-C2FB25F43941}" uniqueName="FootprintRef2" name="Footprint Ref 2" dataDxfId="77">
      <xmlColumnPr mapId="18" xpath="/Capacitors/Part/FootprintRef2" xmlDataType="string"/>
    </tableColumn>
    <tableColumn id="11" xr3:uid="{50FA7750-FC9E-444C-8D52-C6B51BBD63C1}" uniqueName="FootprintPath3" name="Footprint Path 3" dataDxfId="76">
      <xmlColumnPr mapId="18" xpath="/Capacitors/Part/FootprintPath3" xmlDataType="string"/>
    </tableColumn>
    <tableColumn id="12" xr3:uid="{CB4B7F73-4E19-42EF-9940-4C2907529981}" uniqueName="FootprintRef3" name="Footprint Ref 3" dataDxfId="75">
      <xmlColumnPr mapId="18" xpath="/Capacitors/Part/FootprintRef3" xmlDataType="string"/>
    </tableColumn>
    <tableColumn id="13" xr3:uid="{6B23463C-82AA-426D-ACBC-49A19C1D46FA}" uniqueName="FootprintPath4" name="Footprint Path 4" dataDxfId="74">
      <xmlColumnPr mapId="18" xpath="/Capacitors/Part/FootprintPath4" xmlDataType="string"/>
    </tableColumn>
    <tableColumn id="14" xr3:uid="{AD691620-AB1F-42E2-B1E4-053F5C2B80E9}" uniqueName="FootprintRef4" name="Footprint Ref 4" dataDxfId="73">
      <xmlColumnPr mapId="18" xpath="/Capacitors/Part/FootprintRef4" xmlDataType="string"/>
    </tableColumn>
    <tableColumn id="15" xr3:uid="{FD0F620C-73A8-49FB-B6E9-F06F81ED3185}" uniqueName="FootprintPath5" name="Footprint Path 5" dataDxfId="72">
      <xmlColumnPr mapId="18" xpath="/Capacitors/Part/FootprintPath5" xmlDataType="string"/>
    </tableColumn>
    <tableColumn id="16" xr3:uid="{F3B1D3FD-D16A-41B6-BA7D-FAFB3CCAEEC4}" uniqueName="FootprintRef5" name="Footprint Ref 5" dataDxfId="71">
      <xmlColumnPr mapId="18" xpath="/Capacitors/Part/FootprintRef5" xmlDataType="string"/>
    </tableColumn>
    <tableColumn id="17" xr3:uid="{130B1CD3-35EC-447E-93DF-ED8F8DC7A59A}" uniqueName="FootprintPath6" name="Footprint Path 6" dataDxfId="70">
      <xmlColumnPr mapId="18" xpath="/Capacitors/Part/FootprintPath6" xmlDataType="string"/>
    </tableColumn>
    <tableColumn id="18" xr3:uid="{77AF5D99-AE0B-40E5-8972-14E04BB93BB4}" uniqueName="FootprintRef6" name="Footprint Ref 6" dataDxfId="69">
      <xmlColumnPr mapId="18" xpath="/Capacitors/Part/FootprintRef6" xmlDataType="string"/>
    </tableColumn>
    <tableColumn id="19" xr3:uid="{6809872D-01AC-4EF6-B33F-6B8DA2D054C9}" uniqueName="FootprintPath7" name="Footprint Path 7" dataDxfId="68">
      <xmlColumnPr mapId="18" xpath="/Capacitors/Part/FootprintPath7" xmlDataType="string"/>
    </tableColumn>
    <tableColumn id="20" xr3:uid="{352E5BAE-89D3-4F1C-AA92-CDC22EDD2B11}" uniqueName="FootprintRef7" name="Footprint Ref 7" dataDxfId="67">
      <xmlColumnPr mapId="18" xpath="/Capacitors/Part/FootprintRef7" xmlDataType="string"/>
    </tableColumn>
    <tableColumn id="21" xr3:uid="{A4B57C00-6D54-4DAD-902D-06A5DE02018A}" uniqueName="21" name="Datasheet" dataDxfId="66"/>
    <tableColumn id="22" xr3:uid="{E32A5D7A-B096-4499-9FBD-9F4FD79F2DC2}" uniqueName="22" name="Автор" dataDxfId="6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0" tableType="xml" totalsRowShown="0" headerRowDxfId="64" headerRowBorderDxfId="63" tableBorderDxfId="62" connectionId="2">
  <autoFilter ref="A1:N50" xr:uid="{327E2CF9-785D-47F4-832A-C43F8CC576C1}"/>
  <tableColumns count="14">
    <tableColumn id="1" xr3:uid="{2D0493C6-3702-49E5-A0C3-4E2E8E195E17}" uniqueName="PartNumber" name="Part Number" dataDxfId="61">
      <xmlColumnPr mapId="43" xpath="/Capacitors_ceramic/Part/PartNumber" xmlDataType="string"/>
    </tableColumn>
    <tableColumn id="2" xr3:uid="{3FA58AD0-DEA9-402B-AF51-421884AC47BB}" uniqueName="Description" name="Description" dataDxfId="60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59">
      <xmlColumnPr mapId="43" xpath="/Capacitors_ceramic/Part/LibraryRef" xmlDataType="string"/>
    </tableColumn>
    <tableColumn id="4" xr3:uid="{EC600B45-0E9F-4512-A8BA-DAE1BBEF89DB}" uniqueName="LibraryPath" name="Library Path" dataDxfId="58">
      <xmlColumnPr mapId="43" xpath="/Capacitors_ceramic/Part/LibraryPath" xmlDataType="string"/>
    </tableColumn>
    <tableColumn id="7" xr3:uid="{825A321C-E6A0-4EAF-AEC4-F451D6437D35}" uniqueName="Tolerance" name="Library Ref" dataDxfId="57">
      <xmlColumnPr mapId="43" xpath="/Capacitors_ceramic/Part/Tolerance" xmlDataType="double"/>
    </tableColumn>
    <tableColumn id="8" xr3:uid="{6BBE44D9-FFC5-457D-8041-DAABC8C7BA50}" uniqueName="Voltage" name="Value" dataDxfId="56">
      <xmlColumnPr mapId="43" xpath="/Capacitors_ceramic/Part/Voltage" xmlDataType="integer"/>
    </tableColumn>
    <tableColumn id="9" xr3:uid="{40615D5C-FAC6-4DE7-AD52-985B05512BA6}" uniqueName="Dielectric" name="Tolerance" dataDxfId="55">
      <xmlColumnPr mapId="43" xpath="/Capacitors_ceramic/Part/Dielectric" xmlDataType="string"/>
    </tableColumn>
    <tableColumn id="10" xr3:uid="{A0E5BE7F-C8F6-4C6F-887E-2AC1E17340A3}" uniqueName="FootprintPath1" name="Voltage (V)" dataDxfId="54">
      <xmlColumnPr mapId="43" xpath="/Capacitors_ceramic/Part/FootprintPath1" xmlDataType="string"/>
    </tableColumn>
    <tableColumn id="11" xr3:uid="{1125B898-8A5A-4932-9E6A-70BE1D0B17C2}" uniqueName="FootprintRef1" name="Dielectric" dataDxfId="53">
      <xmlColumnPr mapId="43" xpath="/Capacitors_ceramic/Part/FootprintRef1" xmlDataType="string"/>
    </tableColumn>
    <tableColumn id="12" xr3:uid="{A0B20E33-F9DE-4128-B3C1-A5F5EF419A6A}" uniqueName="Capacity" name="Footprint Path 1" dataDxfId="52">
      <xmlColumnPr mapId="43" xpath="/Capacitors_ceramic/Part/Capacity" xmlDataType="double"/>
    </tableColumn>
    <tableColumn id="3" xr3:uid="{3CA4A3C4-175F-4D31-8C1D-DB8BDFEC6751}" uniqueName="3" name="Footprint Ref 1" dataDxfId="51"/>
    <tableColumn id="13" xr3:uid="{AC6DF023-DF8E-4431-956C-EF5B1E686C64}" uniqueName="13" name="Capacity (nF)" dataDxfId="50"/>
    <tableColumn id="14" xr3:uid="{F581E0EF-A6A3-43F4-9E9D-EE0565B490AB}" uniqueName="14" name="Datasheet" dataDxfId="49"/>
    <tableColumn id="6" xr3:uid="{6441484A-4B24-46D3-8427-885C43151488}" uniqueName="6" name="Автор" dataDxfId="4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28" tableType="xml" totalsRowShown="0" headerRowDxfId="47" headerRowBorderDxfId="46" tableBorderDxfId="45" connectionId="3">
  <autoFilter ref="A1:P28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20" tableType="xml" totalsRowShown="0" headerRowDxfId="44" connectionId="9">
  <autoFilter ref="A1:R20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3"/>
    <tableColumn id="7" xr3:uid="{49B409CD-94AC-4F2C-BC5E-E8FF519C8D6F}" uniqueName="FootprintRef1" name="Library Ref" dataDxfId="42"/>
    <tableColumn id="8" xr3:uid="{71017A8D-C83B-4D64-80AC-6C5EC84419D6}" uniqueName="FootprintPath1" name="Footprint Path 1" dataDxfId="41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0">
      <xmlColumnPr mapId="66" xpath="/Inductance/Part/FootprintRef1" xmlDataType="string"/>
    </tableColumn>
    <tableColumn id="10" xr3:uid="{14D45471-DB98-4B30-AE3F-A5F2151147AD}" uniqueName="FootprintPath2" name="Footprint Path 2" dataDxfId="39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8">
      <xmlColumnPr mapId="66" xpath="/Inductance/Part/FootprintRef2" xmlDataType="string"/>
    </tableColumn>
    <tableColumn id="12" xr3:uid="{32F2E3FF-9422-4CF5-B324-9B3A82F8F97B}" uniqueName="FootprintPath3" name="Footprint Path 3" dataDxfId="37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6">
      <xmlColumnPr mapId="66" xpath="/Inductance/Part/FootprintRef3" xmlDataType="string"/>
    </tableColumn>
    <tableColumn id="14" xr3:uid="{182C547A-FB6B-4C10-86F9-E53125E130E2}" uniqueName="FootprintPath4" name="Footprint Path 4" dataDxfId="35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4">
      <xmlColumnPr mapId="66" xpath="/Inductance/Part/FootprintRef4" xmlDataType="string"/>
    </tableColumn>
    <tableColumn id="4" xr3:uid="{CA7AF69B-83D2-4752-8493-BAD0C62EE720}" uniqueName="Inductance" name="Inductance (μH)" dataDxfId="33">
      <xmlColumnPr mapId="66" xpath="/Inductance/Part/Inductance" xmlDataType="string"/>
    </tableColumn>
    <tableColumn id="5" xr3:uid="{C2963412-5B9C-4A2F-B88B-CC5D53C10CE2}" uniqueName="Current" name="Current (A)" dataDxfId="32">
      <xmlColumnPr mapId="66" xpath="/Inductance/Part/Current" xmlDataType="string"/>
    </tableColumn>
    <tableColumn id="16" xr3:uid="{CFC80C7F-7597-4120-91B5-A73734ECE731}" uniqueName="Value" name="Value" dataDxfId="31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0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9">
      <xmlColumnPr mapId="81" xpath="/Thyristors/Part/LibraryPath" xmlDataType="string"/>
    </tableColumn>
    <tableColumn id="7" xr3:uid="{80B3F569-C3F5-47F7-8D7B-28E201DA2617}" uniqueName="LibraryRef" name="Library Ref" dataDxfId="28">
      <xmlColumnPr mapId="81" xpath="/Thyristors/Part/LibraryRef" xmlDataType="string"/>
    </tableColumn>
    <tableColumn id="8" xr3:uid="{89EB4D75-A298-4A70-95A0-C55A38516DD5}" uniqueName="FootprintPath1" name="Footprint Path 1" dataDxfId="27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6">
      <xmlColumnPr mapId="81" xpath="/Thyristors/Part/FootprintRef1" xmlDataType="string"/>
    </tableColumn>
    <tableColumn id="10" xr3:uid="{9EE91FEA-9669-439B-8C30-DE7C5C8EDEAC}" uniqueName="FootprintPath2" name="Footprint Path 2" dataDxfId="25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4">
      <xmlColumnPr mapId="81" xpath="/Thyristors/Part/FootprintRef2" xmlDataType="string"/>
    </tableColumn>
    <tableColumn id="12" xr3:uid="{FBA8999D-4F5F-4375-B94D-80D73962B6E9}" uniqueName="Voltage" name="Напряжение" dataDxfId="23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Ток макс" dataDxfId="22">
      <xmlColumnPr mapId="81" xpath="/Thyristors/Part/Current" xmlDataType="string"/>
    </tableColumn>
    <tableColumn id="14" xr3:uid="{DB8175AF-F0C6-47C1-8F0E-9BE83B53E316}" uniqueName="Power" name="Datasheet" dataDxfId="21">
      <calculatedColumnFormula>CONCATENATE("Footprints\Inductance\",M2,".PcbLib")</calculatedColumnFormula>
    </tableColumn>
    <tableColumn id="4" xr3:uid="{D9995BFB-85DE-45BC-8357-32D82CDF7ADB}" uniqueName="4" name="Автор" dataDxfId="2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N20" tableType="xml" totalsRowShown="0" headerRowDxfId="19" dataDxfId="18" connectionId="11">
  <autoFilter ref="A1:N20" xr:uid="{071F457A-0F82-4CD6-80C4-65E86DBEF353}"/>
  <tableColumns count="14">
    <tableColumn id="1" xr3:uid="{AE9DCB61-0A9B-41D9-AC76-56D9ED6F9D71}" uniqueName="PartNumber" name="Part Number" dataDxfId="17">
      <xmlColumnPr mapId="73" xpath="/Other/Part/PartNumber" xmlDataType="string"/>
    </tableColumn>
    <tableColumn id="2" xr3:uid="{8662C04B-9C7C-48A2-ACC7-0FAAF1F41588}" uniqueName="Description" name="Description" dataDxfId="16">
      <xmlColumnPr mapId="73" xpath="/Other/Part/Description" xmlDataType="string"/>
    </tableColumn>
    <tableColumn id="3" xr3:uid="{7CF3CA75-1923-4F19-999C-14E1807BD3F5}" uniqueName="Comment" name="Comment" dataDxfId="15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4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3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2">
      <xmlColumnPr mapId="73" xpath="/Other/Part/FootprintPath1" xmlDataType="string"/>
    </tableColumn>
    <tableColumn id="7" xr3:uid="{78484622-732C-4ACF-9F43-B1AC2CDD73FA}" uniqueName="FootprintRef1" name="Footprint Ref 1" dataDxfId="11">
      <xmlColumnPr mapId="73" xpath="/Other/Part/FootprintRef1" xmlDataType="string"/>
    </tableColumn>
    <tableColumn id="8" xr3:uid="{9B1D9BE1-3884-44C5-88CA-6A2CCE154C24}" uniqueName="FootprintPath2" name="Footprint Path 2" dataDxfId="10">
      <xmlColumnPr mapId="73" xpath="/Other/Part/FootprintPath2" xmlDataType="string"/>
    </tableColumn>
    <tableColumn id="9" xr3:uid="{41DD9B28-B52E-42E2-980C-18F4A1B9EC96}" uniqueName="FootprintRef2" name="Footprint Ref 2" dataDxfId="9">
      <xmlColumnPr mapId="73" xpath="/Other/Part/FootprintRef2" xmlDataType="string"/>
    </tableColumn>
    <tableColumn id="10" xr3:uid="{93223D18-9C09-4B7B-8F23-E7B288A9B36F}" uniqueName="FootprintPath3" name="Footprint Path 3" dataDxfId="8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7">
      <xmlColumnPr mapId="73" xpath="/Other/Part/FootprintRef3" xmlDataType="string"/>
    </tableColumn>
    <tableColumn id="12" xr3:uid="{7C7EE8D3-0879-4E51-BE9D-9FFCF5159E00}" uniqueName="12" name="Value" dataDxfId="6"/>
    <tableColumn id="13" xr3:uid="{C52E9A30-4E71-4BA8-BCEB-15C10C4A25CB}" uniqueName="13" name="Datasheet" dataDxfId="5"/>
    <tableColumn id="14" xr3:uid="{DF464249-2F59-4FAB-86C7-C3B8ACB81D99}" uniqueName="14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61" tableType="xml" totalsRowShown="0" headerRowDxfId="3" connectionId="7">
  <autoFilter ref="A1:L61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table" Target="../tables/table14.xml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printerSettings" Target="../printerSettings/printerSettings8.bin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1"/>
  <sheetViews>
    <sheetView topLeftCell="D31" zoomScale="70" zoomScaleNormal="70" workbookViewId="0">
      <selection activeCell="M45" sqref="M45"/>
    </sheetView>
  </sheetViews>
  <sheetFormatPr defaultRowHeight="14.4" x14ac:dyDescent="0.3"/>
  <cols>
    <col min="1" max="1" width="21.44140625" bestFit="1" customWidth="1"/>
    <col min="2" max="2" width="103.2187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21875" bestFit="1" customWidth="1"/>
    <col min="7" max="7" width="21.44140625" bestFit="1" customWidth="1"/>
    <col min="8" max="8" width="22.77734375" bestFit="1" customWidth="1"/>
    <col min="9" max="9" width="18.21875" bestFit="1" customWidth="1"/>
    <col min="10" max="10" width="16.44140625" customWidth="1"/>
    <col min="11" max="11" width="14.5546875" customWidth="1"/>
    <col min="12" max="12" width="13.2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964</v>
      </c>
      <c r="M1" s="1" t="s">
        <v>1438</v>
      </c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374</v>
      </c>
      <c r="H8" t="s">
        <v>803</v>
      </c>
      <c r="I8" t="s">
        <v>802</v>
      </c>
      <c r="J8" t="s">
        <v>803</v>
      </c>
      <c r="K8" t="s">
        <v>869</v>
      </c>
      <c r="M8" t="s">
        <v>1439</v>
      </c>
    </row>
    <row r="9" spans="1:20" x14ac:dyDescent="0.3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  <c r="M11" t="s">
        <v>1439</v>
      </c>
    </row>
    <row r="12" spans="1:20" x14ac:dyDescent="0.3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947</v>
      </c>
      <c r="M12" t="s">
        <v>1439</v>
      </c>
    </row>
    <row r="13" spans="1:20" x14ac:dyDescent="0.3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1206</v>
      </c>
      <c r="M13" t="s">
        <v>1439</v>
      </c>
    </row>
    <row r="14" spans="1:20" x14ac:dyDescent="0.3">
      <c r="A14" t="s">
        <v>329</v>
      </c>
      <c r="B14" t="s">
        <v>330</v>
      </c>
      <c r="C14" s="2" t="s">
        <v>329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331</v>
      </c>
      <c r="M14" t="s">
        <v>1439</v>
      </c>
    </row>
    <row r="15" spans="1:20" x14ac:dyDescent="0.3">
      <c r="A15" t="s">
        <v>673</v>
      </c>
      <c r="B15" t="s">
        <v>674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331</v>
      </c>
      <c r="M15" t="s">
        <v>1439</v>
      </c>
    </row>
    <row r="16" spans="1:20" x14ac:dyDescent="0.3">
      <c r="A16" t="s">
        <v>675</v>
      </c>
      <c r="B16" t="s">
        <v>676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677</v>
      </c>
      <c r="M16" t="s">
        <v>1439</v>
      </c>
    </row>
    <row r="17" spans="1:13" x14ac:dyDescent="0.3">
      <c r="A17" t="s">
        <v>678</v>
      </c>
      <c r="B17" t="s">
        <v>679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1439</v>
      </c>
    </row>
    <row r="18" spans="1:13" x14ac:dyDescent="0.3">
      <c r="A18" t="s">
        <v>699</v>
      </c>
      <c r="B18" t="s">
        <v>700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699</v>
      </c>
      <c r="M18" t="s">
        <v>1439</v>
      </c>
    </row>
    <row r="19" spans="1:13" x14ac:dyDescent="0.3">
      <c r="A19" t="s">
        <v>701</v>
      </c>
      <c r="B19" t="s">
        <v>702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703</v>
      </c>
      <c r="M19" t="s">
        <v>1439</v>
      </c>
    </row>
    <row r="20" spans="1:13" x14ac:dyDescent="0.3">
      <c r="A20" s="12" t="s">
        <v>704</v>
      </c>
      <c r="B20" t="s">
        <v>705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706</v>
      </c>
      <c r="M20" t="s">
        <v>1439</v>
      </c>
    </row>
    <row r="21" spans="1:13" x14ac:dyDescent="0.3">
      <c r="A21" t="s">
        <v>714</v>
      </c>
      <c r="B21" t="s">
        <v>715</v>
      </c>
      <c r="C21" s="2" t="s">
        <v>714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693</v>
      </c>
      <c r="M21" t="s">
        <v>1439</v>
      </c>
    </row>
    <row r="22" spans="1:13" x14ac:dyDescent="0.3">
      <c r="A22" t="s">
        <v>728</v>
      </c>
      <c r="B22" t="s">
        <v>729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727</v>
      </c>
      <c r="M22" t="s">
        <v>1439</v>
      </c>
    </row>
    <row r="23" spans="1:13" x14ac:dyDescent="0.3">
      <c r="A23" t="s">
        <v>732</v>
      </c>
      <c r="B23" t="s">
        <v>733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732</v>
      </c>
      <c r="M23" t="s">
        <v>1439</v>
      </c>
    </row>
    <row r="24" spans="1:13" x14ac:dyDescent="0.3">
      <c r="A24" t="s">
        <v>749</v>
      </c>
      <c r="B24" t="s">
        <v>751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374</v>
      </c>
      <c r="M24" t="s">
        <v>1439</v>
      </c>
    </row>
    <row r="25" spans="1:13" x14ac:dyDescent="0.3">
      <c r="A25" t="s">
        <v>750</v>
      </c>
      <c r="B25" t="s">
        <v>752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374</v>
      </c>
      <c r="M25" t="s">
        <v>1439</v>
      </c>
    </row>
    <row r="26" spans="1:13" x14ac:dyDescent="0.3">
      <c r="A26" t="s">
        <v>753</v>
      </c>
      <c r="B26" t="s">
        <v>754</v>
      </c>
      <c r="C26" s="2" t="s">
        <v>753</v>
      </c>
      <c r="D26" t="s">
        <v>755</v>
      </c>
      <c r="E26" t="s">
        <v>753</v>
      </c>
      <c r="F26" t="s">
        <v>756</v>
      </c>
      <c r="G26" t="s">
        <v>374</v>
      </c>
      <c r="M26" t="s">
        <v>1439</v>
      </c>
    </row>
    <row r="27" spans="1:13" x14ac:dyDescent="0.3">
      <c r="A27" t="s">
        <v>780</v>
      </c>
      <c r="B27" t="s">
        <v>781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1439</v>
      </c>
    </row>
    <row r="28" spans="1:13" x14ac:dyDescent="0.3">
      <c r="A28" t="s">
        <v>798</v>
      </c>
      <c r="B28" t="s">
        <v>799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801</v>
      </c>
      <c r="G28" t="s">
        <v>800</v>
      </c>
      <c r="H28" t="s">
        <v>801</v>
      </c>
      <c r="I28" t="s">
        <v>868</v>
      </c>
      <c r="M28" t="s">
        <v>1439</v>
      </c>
    </row>
    <row r="29" spans="1:13" x14ac:dyDescent="0.3">
      <c r="A29" t="s">
        <v>854</v>
      </c>
      <c r="B29" t="s">
        <v>855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854</v>
      </c>
    </row>
    <row r="30" spans="1:13" x14ac:dyDescent="0.3">
      <c r="A30" t="s">
        <v>856</v>
      </c>
      <c r="B30" t="s">
        <v>884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856</v>
      </c>
    </row>
    <row r="31" spans="1:13" x14ac:dyDescent="0.3">
      <c r="A31" t="s">
        <v>857</v>
      </c>
      <c r="B31" t="s">
        <v>883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858</v>
      </c>
    </row>
    <row r="32" spans="1:13" x14ac:dyDescent="0.3">
      <c r="A32" t="s">
        <v>879</v>
      </c>
      <c r="B32" t="s">
        <v>880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  <c r="M32" t="s">
        <v>1439</v>
      </c>
    </row>
    <row r="33" spans="1:13" x14ac:dyDescent="0.3">
      <c r="A33" t="s">
        <v>881</v>
      </c>
      <c r="B33" t="s">
        <v>882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  <c r="M33" t="s">
        <v>1439</v>
      </c>
    </row>
    <row r="34" spans="1:13" x14ac:dyDescent="0.3">
      <c r="A34" t="s">
        <v>898</v>
      </c>
      <c r="B34" t="s">
        <v>899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693</v>
      </c>
      <c r="M34" t="s">
        <v>1439</v>
      </c>
    </row>
    <row r="35" spans="1:13" x14ac:dyDescent="0.3">
      <c r="A35" t="s">
        <v>902</v>
      </c>
      <c r="B35" t="s">
        <v>900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901</v>
      </c>
      <c r="M35" t="s">
        <v>1439</v>
      </c>
    </row>
    <row r="36" spans="1:13" x14ac:dyDescent="0.3">
      <c r="A36" t="s">
        <v>909</v>
      </c>
      <c r="B36" t="s">
        <v>910</v>
      </c>
      <c r="C36" s="2" t="str">
        <f>A36</f>
        <v>LTV354T</v>
      </c>
      <c r="D36" t="str">
        <f>CONCATENATE("Schematic\",E36,".SchLib")</f>
        <v>Schematic\LTV354.SchLib</v>
      </c>
      <c r="E36" t="s">
        <v>908</v>
      </c>
      <c r="F36" t="str">
        <f>CONCATENATE("Footprints\",G36,".PcbLib")</f>
        <v>Footprints\SOP4-2_54.PcbLib</v>
      </c>
      <c r="G36" t="s">
        <v>911</v>
      </c>
      <c r="M36" t="s">
        <v>1439</v>
      </c>
    </row>
    <row r="37" spans="1:13" x14ac:dyDescent="0.3">
      <c r="A37" t="s">
        <v>946</v>
      </c>
      <c r="B37" t="s">
        <v>945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947</v>
      </c>
    </row>
    <row r="38" spans="1:13" x14ac:dyDescent="0.3">
      <c r="A38" t="s">
        <v>1037</v>
      </c>
      <c r="B38" t="s">
        <v>1038</v>
      </c>
      <c r="C38" s="2" t="str">
        <f t="shared" ref="C38" si="15">A38</f>
        <v>USB2514BM2</v>
      </c>
      <c r="D38" t="s">
        <v>1131</v>
      </c>
      <c r="E38" s="2" t="s">
        <v>1037</v>
      </c>
      <c r="F38" t="str">
        <f>CONCATENATE("Footprints\",G38,".PcbLib")</f>
        <v>Footprints\VFQFN-36.PcbLib</v>
      </c>
      <c r="G38" t="s">
        <v>1039</v>
      </c>
    </row>
    <row r="39" spans="1:13" x14ac:dyDescent="0.3">
      <c r="A39" t="s">
        <v>1040</v>
      </c>
      <c r="B39" t="s">
        <v>1041</v>
      </c>
      <c r="C39" s="2" t="s">
        <v>1040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1042</v>
      </c>
    </row>
    <row r="40" spans="1:13" x14ac:dyDescent="0.3">
      <c r="A40" t="s">
        <v>1043</v>
      </c>
      <c r="B40" t="s">
        <v>1200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1044</v>
      </c>
    </row>
    <row r="41" spans="1:13" x14ac:dyDescent="0.3">
      <c r="A41" t="s">
        <v>1045</v>
      </c>
      <c r="B41" t="s">
        <v>1199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1197</v>
      </c>
      <c r="L41" t="s">
        <v>1201</v>
      </c>
    </row>
    <row r="42" spans="1:13" x14ac:dyDescent="0.3">
      <c r="A42" t="s">
        <v>1046</v>
      </c>
      <c r="B42" t="s">
        <v>1047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1048</v>
      </c>
      <c r="F42" t="str">
        <f>CONCATENATE("Footprints\",G27,".PcbLib")</f>
        <v>Footprints\SOT23-6.PcbLib</v>
      </c>
      <c r="G42" t="s">
        <v>52</v>
      </c>
    </row>
    <row r="43" spans="1:13" x14ac:dyDescent="0.3">
      <c r="A43" t="s">
        <v>1090</v>
      </c>
      <c r="B43" t="s">
        <v>1091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1132</v>
      </c>
    </row>
    <row r="44" spans="1:13" x14ac:dyDescent="0.3">
      <c r="A44" s="33" t="s">
        <v>1133</v>
      </c>
      <c r="B44" s="34" t="s">
        <v>1134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78</v>
      </c>
    </row>
    <row r="45" spans="1:13" x14ac:dyDescent="0.3">
      <c r="A45" t="s">
        <v>1135</v>
      </c>
      <c r="B45" t="s">
        <v>1136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78</v>
      </c>
      <c r="H45" s="2"/>
    </row>
    <row r="46" spans="1:13" x14ac:dyDescent="0.3">
      <c r="A46" s="35" t="s">
        <v>1137</v>
      </c>
      <c r="B46" s="36" t="s">
        <v>1138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78</v>
      </c>
    </row>
    <row r="47" spans="1:13" x14ac:dyDescent="0.3">
      <c r="A47" t="s">
        <v>1198</v>
      </c>
      <c r="B47" t="s">
        <v>1177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1198</v>
      </c>
      <c r="F47" t="str">
        <f t="shared" si="17"/>
        <v>Footprints\LQFP128_14x14_exposed_pad.PcbLib</v>
      </c>
      <c r="G47" t="s">
        <v>1178</v>
      </c>
      <c r="L47" t="s">
        <v>1179</v>
      </c>
      <c r="M47" t="s">
        <v>1439</v>
      </c>
    </row>
    <row r="48" spans="1:13" x14ac:dyDescent="0.3">
      <c r="A48" s="35" t="s">
        <v>1180</v>
      </c>
      <c r="B48" s="36" t="s">
        <v>1181</v>
      </c>
      <c r="C48" s="37" t="str">
        <f t="shared" si="18"/>
        <v>TS951ILT</v>
      </c>
      <c r="D48" s="36" t="str">
        <f>CONCATENATE("Schematic\",A48,".SchLib")</f>
        <v>Schematic\TS951ILT.SchLib</v>
      </c>
      <c r="E48" s="36" t="str">
        <f>A48</f>
        <v>TS951ILT</v>
      </c>
      <c r="F48" s="36" t="str">
        <f t="shared" si="17"/>
        <v>Footprints\SOT23-5.PcbLib</v>
      </c>
      <c r="G48" s="36" t="s">
        <v>1390</v>
      </c>
      <c r="M48" t="s">
        <v>1464</v>
      </c>
    </row>
    <row r="49" spans="1:13" x14ac:dyDescent="0.3">
      <c r="A49" t="s">
        <v>1182</v>
      </c>
      <c r="B49" t="s">
        <v>1183</v>
      </c>
      <c r="C49" s="2" t="str">
        <f t="shared" si="18"/>
        <v>AP63200</v>
      </c>
      <c r="D49" t="str">
        <f>CONCATENATE("Schematic\",A49,".SchLib")</f>
        <v>Schematic\AP63200.SchLib</v>
      </c>
      <c r="E49" t="str">
        <f>A49</f>
        <v>AP63200</v>
      </c>
      <c r="F49" t="str">
        <f>CONCATENATE("Footprints\",G49,".PcbLib")</f>
        <v>Footprints\TSOT26.PcbLib</v>
      </c>
      <c r="G49" t="s">
        <v>1184</v>
      </c>
    </row>
    <row r="50" spans="1:13" x14ac:dyDescent="0.3">
      <c r="A50" t="s">
        <v>1388</v>
      </c>
      <c r="B50" t="s">
        <v>799</v>
      </c>
      <c r="C50" s="2" t="str">
        <f>A50</f>
        <v>74HC74D,653</v>
      </c>
      <c r="D50" t="str">
        <f>CONCATENATE("Schematic\",A50,".SchLib")</f>
        <v>Schematic\74HC74D,653.SchLib</v>
      </c>
      <c r="E50" t="str">
        <f>A50</f>
        <v>74HC74D,653</v>
      </c>
      <c r="F50" t="str">
        <f>CONCATENATE("Footprints\",G50,".PcbLib")</f>
        <v>Footprints\SOIC-14.PcbLib</v>
      </c>
      <c r="G50" t="s">
        <v>1389</v>
      </c>
      <c r="M50" t="s">
        <v>1464</v>
      </c>
    </row>
    <row r="51" spans="1:13" x14ac:dyDescent="0.3">
      <c r="A51" t="s">
        <v>1391</v>
      </c>
      <c r="B51" t="s">
        <v>1392</v>
      </c>
      <c r="C51" s="2" t="str">
        <f t="shared" ref="C51" si="19">A51</f>
        <v>AP63203</v>
      </c>
      <c r="D51" t="str">
        <f>CONCATENATE("Schematic\",A51,".SchLib")</f>
        <v>Schematic\AP63203.SchLib</v>
      </c>
      <c r="E51" t="str">
        <f>A51</f>
        <v>AP63203</v>
      </c>
      <c r="F51" t="str">
        <f>CONCATENATE("Footprints\",G51,".PcbLib")</f>
        <v>Footprints\TSOT26.PcbLib</v>
      </c>
      <c r="G51" t="s">
        <v>1184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workbookViewId="0">
      <selection activeCell="B11" sqref="B11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21875" customWidth="1"/>
    <col min="4" max="4" width="31.21875" bestFit="1" customWidth="1"/>
    <col min="5" max="5" width="14.77734375" bestFit="1" customWidth="1"/>
    <col min="6" max="6" width="25.21875" bestFit="1" customWidth="1"/>
    <col min="7" max="7" width="16.5546875" bestFit="1" customWidth="1"/>
    <col min="8" max="8" width="19.5546875" customWidth="1"/>
    <col min="9" max="9" width="12.21875" style="18" customWidth="1"/>
    <col min="10" max="10" width="13.2187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18" t="s">
        <v>84</v>
      </c>
      <c r="J1" t="s">
        <v>964</v>
      </c>
      <c r="K1" t="s">
        <v>1438</v>
      </c>
    </row>
    <row r="2" spans="1:11" x14ac:dyDescent="0.3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8">
        <v>3</v>
      </c>
      <c r="K2" t="s">
        <v>1464</v>
      </c>
    </row>
    <row r="3" spans="1:11" x14ac:dyDescent="0.3">
      <c r="A3" s="2" t="s">
        <v>695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389</v>
      </c>
      <c r="I3" s="18">
        <v>3</v>
      </c>
      <c r="K3" t="s">
        <v>1464</v>
      </c>
    </row>
    <row r="4" spans="1:11" x14ac:dyDescent="0.3">
      <c r="A4" t="s">
        <v>341</v>
      </c>
      <c r="B4" t="str">
        <f t="shared" si="0"/>
        <v>Диод шоттки на 30 В, ном. ток 0,2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8">
        <v>0.2</v>
      </c>
    </row>
    <row r="5" spans="1:11" x14ac:dyDescent="0.3">
      <c r="A5" t="s">
        <v>342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343</v>
      </c>
      <c r="H5" s="15">
        <v>45</v>
      </c>
      <c r="I5" s="18">
        <v>10</v>
      </c>
      <c r="K5" t="s">
        <v>1439</v>
      </c>
    </row>
    <row r="6" spans="1:11" x14ac:dyDescent="0.3">
      <c r="A6" t="s">
        <v>710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8">
        <v>8</v>
      </c>
      <c r="K6" t="s">
        <v>1439</v>
      </c>
    </row>
    <row r="7" spans="1:11" x14ac:dyDescent="0.3">
      <c r="A7" t="s">
        <v>784</v>
      </c>
      <c r="B7" t="str">
        <f t="shared" si="0"/>
        <v>Диод шоттки на 40 В, ном. ток 2,1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8">
        <v>2.1</v>
      </c>
    </row>
    <row r="8" spans="1:11" x14ac:dyDescent="0.3">
      <c r="A8" t="s">
        <v>859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861</v>
      </c>
      <c r="E8" t="s">
        <v>859</v>
      </c>
      <c r="F8" t="str">
        <f>CONCATENATE("Footprints\",G8,".PcbLib")</f>
        <v>Footprints\SOT23.PcbLib</v>
      </c>
      <c r="G8" t="s">
        <v>860</v>
      </c>
      <c r="H8" s="15">
        <v>70</v>
      </c>
      <c r="I8" s="18">
        <v>0.7</v>
      </c>
    </row>
    <row r="9" spans="1:11" x14ac:dyDescent="0.3">
      <c r="A9" t="s">
        <v>870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8">
        <v>5</v>
      </c>
      <c r="K9" t="s">
        <v>1464</v>
      </c>
    </row>
    <row r="10" spans="1:11" x14ac:dyDescent="0.3">
      <c r="A10" t="s">
        <v>871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8">
        <v>5</v>
      </c>
      <c r="K10" t="s">
        <v>1464</v>
      </c>
    </row>
    <row r="11" spans="1:11" x14ac:dyDescent="0.3">
      <c r="A11" t="s">
        <v>875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8">
        <v>5</v>
      </c>
    </row>
    <row r="12" spans="1:11" x14ac:dyDescent="0.3">
      <c r="A12" t="s">
        <v>1139</v>
      </c>
      <c r="B12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5">
        <v>100</v>
      </c>
      <c r="I12" s="18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B7" sqref="B7"/>
    </sheetView>
  </sheetViews>
  <sheetFormatPr defaultRowHeight="14.4" x14ac:dyDescent="0.3"/>
  <cols>
    <col min="1" max="1" width="13.77734375" bestFit="1" customWidth="1"/>
    <col min="2" max="2" width="46.7773437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77734375" bestFit="1" customWidth="1"/>
    <col min="8" max="8" width="19.77734375" bestFit="1" customWidth="1"/>
    <col min="9" max="9" width="21.5546875" bestFit="1" customWidth="1"/>
    <col min="10" max="10" width="12" bestFit="1" customWidth="1"/>
    <col min="11" max="11" width="7.77734375" bestFit="1" customWidth="1"/>
    <col min="12" max="12" width="10.77734375" customWidth="1"/>
    <col min="13" max="13" width="15.21875" customWidth="1"/>
  </cols>
  <sheetData>
    <row r="1" spans="1:14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896</v>
      </c>
      <c r="M1" t="s">
        <v>964</v>
      </c>
      <c r="N1" t="s">
        <v>1438</v>
      </c>
    </row>
    <row r="2" spans="1:14" ht="13.05" customHeight="1" x14ac:dyDescent="0.3">
      <c r="A2" s="2" t="s">
        <v>70</v>
      </c>
      <c r="B2" s="2" t="s">
        <v>604</v>
      </c>
      <c r="C2" s="2" t="s">
        <v>70</v>
      </c>
      <c r="D2" s="2" t="s">
        <v>73</v>
      </c>
      <c r="E2" s="2" t="s">
        <v>74</v>
      </c>
      <c r="F2" s="2" t="s">
        <v>605</v>
      </c>
      <c r="G2" s="2" t="s">
        <v>72</v>
      </c>
      <c r="H2" s="2" t="s">
        <v>384</v>
      </c>
      <c r="I2" s="2" t="s">
        <v>606</v>
      </c>
      <c r="J2" s="2" t="s">
        <v>607</v>
      </c>
      <c r="K2" s="2" t="s">
        <v>608</v>
      </c>
      <c r="L2" s="11">
        <v>0.05</v>
      </c>
    </row>
    <row r="3" spans="1:14" x14ac:dyDescent="0.3">
      <c r="A3" t="s">
        <v>762</v>
      </c>
      <c r="B3" s="2" t="s">
        <v>763</v>
      </c>
      <c r="C3" t="s">
        <v>762</v>
      </c>
      <c r="D3" s="2" t="s">
        <v>73</v>
      </c>
      <c r="E3" s="2" t="s">
        <v>74</v>
      </c>
      <c r="F3" s="2" t="s">
        <v>764</v>
      </c>
      <c r="G3" t="s">
        <v>765</v>
      </c>
      <c r="H3" s="2" t="s">
        <v>766</v>
      </c>
      <c r="I3" s="2">
        <v>5</v>
      </c>
      <c r="J3" s="2" t="s">
        <v>893</v>
      </c>
      <c r="K3" s="2" t="s">
        <v>767</v>
      </c>
      <c r="L3" s="11">
        <v>0.02</v>
      </c>
      <c r="N3" t="s">
        <v>1439</v>
      </c>
    </row>
    <row r="4" spans="1:14" x14ac:dyDescent="0.3">
      <c r="A4" t="s">
        <v>889</v>
      </c>
      <c r="B4" s="2" t="s">
        <v>890</v>
      </c>
      <c r="C4" t="s">
        <v>889</v>
      </c>
      <c r="D4" s="2" t="s">
        <v>891</v>
      </c>
      <c r="E4" t="s">
        <v>892</v>
      </c>
      <c r="F4" s="2" t="s">
        <v>897</v>
      </c>
      <c r="G4" t="s">
        <v>18</v>
      </c>
      <c r="H4" s="2" t="s">
        <v>383</v>
      </c>
      <c r="I4" s="2">
        <v>5</v>
      </c>
      <c r="J4" s="2" t="s">
        <v>894</v>
      </c>
      <c r="K4" s="2" t="s">
        <v>895</v>
      </c>
      <c r="L4" s="11">
        <v>0.02</v>
      </c>
      <c r="N4" t="s">
        <v>1439</v>
      </c>
    </row>
    <row r="5" spans="1:14" x14ac:dyDescent="0.3">
      <c r="A5" t="s">
        <v>949</v>
      </c>
      <c r="B5" t="s">
        <v>948</v>
      </c>
      <c r="C5" t="s">
        <v>949</v>
      </c>
      <c r="D5" s="2" t="s">
        <v>73</v>
      </c>
      <c r="E5" s="2" t="s">
        <v>74</v>
      </c>
      <c r="F5" s="2" t="s">
        <v>764</v>
      </c>
      <c r="G5" t="s">
        <v>765</v>
      </c>
      <c r="H5" s="2" t="s">
        <v>384</v>
      </c>
      <c r="I5" s="2" t="s">
        <v>606</v>
      </c>
      <c r="J5" s="2" t="s">
        <v>893</v>
      </c>
      <c r="K5" s="2" t="s">
        <v>608</v>
      </c>
      <c r="L5" s="11">
        <v>0.02</v>
      </c>
      <c r="N5" t="s">
        <v>1439</v>
      </c>
    </row>
    <row r="6" spans="1:14" x14ac:dyDescent="0.3">
      <c r="A6" t="s">
        <v>1435</v>
      </c>
      <c r="B6" t="s">
        <v>1441</v>
      </c>
      <c r="C6" t="s">
        <v>1435</v>
      </c>
      <c r="D6" s="2" t="s">
        <v>73</v>
      </c>
      <c r="E6" s="2" t="s">
        <v>74</v>
      </c>
      <c r="F6" s="2" t="s">
        <v>764</v>
      </c>
      <c r="G6" t="s">
        <v>765</v>
      </c>
      <c r="H6" s="2" t="s">
        <v>382</v>
      </c>
      <c r="I6" s="2" t="s">
        <v>606</v>
      </c>
      <c r="J6" s="2" t="s">
        <v>893</v>
      </c>
      <c r="K6" s="2" t="s">
        <v>1436</v>
      </c>
      <c r="L6" s="11">
        <v>0.02</v>
      </c>
      <c r="M6" t="s">
        <v>1437</v>
      </c>
      <c r="N6" t="s">
        <v>1439</v>
      </c>
    </row>
    <row r="7" spans="1:14" x14ac:dyDescent="0.3">
      <c r="H7" s="2"/>
      <c r="I7" s="2"/>
      <c r="J7" s="2"/>
      <c r="K7" s="2"/>
    </row>
    <row r="8" spans="1:14" x14ac:dyDescent="0.3">
      <c r="H8" s="2"/>
      <c r="I8" s="2"/>
      <c r="J8" s="2"/>
      <c r="K8" s="2"/>
    </row>
    <row r="9" spans="1:14" x14ac:dyDescent="0.3">
      <c r="H9" s="2"/>
      <c r="I9" s="2"/>
      <c r="J9" s="2"/>
      <c r="K9" s="2"/>
    </row>
    <row r="10" spans="1:14" x14ac:dyDescent="0.3">
      <c r="H10" s="2"/>
      <c r="I10" s="2"/>
      <c r="J10" s="2"/>
      <c r="K10" s="2"/>
    </row>
    <row r="11" spans="1:14" x14ac:dyDescent="0.3">
      <c r="H11" s="2"/>
      <c r="I11" s="2"/>
      <c r="J11" s="2"/>
      <c r="K11" s="2"/>
    </row>
    <row r="12" spans="1:14" x14ac:dyDescent="0.3">
      <c r="H12" s="2"/>
      <c r="I12" s="2"/>
      <c r="J12" s="2"/>
      <c r="K12" s="2"/>
    </row>
    <row r="13" spans="1:14" x14ac:dyDescent="0.3">
      <c r="H13" s="2"/>
      <c r="I13" s="2"/>
      <c r="J13" s="2"/>
      <c r="K13" s="2"/>
    </row>
    <row r="14" spans="1:14" x14ac:dyDescent="0.3">
      <c r="H14" s="2"/>
      <c r="I14" s="2"/>
      <c r="J14" s="2"/>
      <c r="K14" s="2"/>
    </row>
    <row r="15" spans="1:14" x14ac:dyDescent="0.3">
      <c r="H15" s="2"/>
      <c r="I15" s="2"/>
      <c r="J15" s="2"/>
      <c r="K15" s="2"/>
    </row>
    <row r="16" spans="1:14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2"/>
  <sheetViews>
    <sheetView zoomScale="85" zoomScaleNormal="85" workbookViewId="0">
      <selection activeCell="M12" sqref="M12"/>
    </sheetView>
  </sheetViews>
  <sheetFormatPr defaultRowHeight="14.4" x14ac:dyDescent="0.3"/>
  <cols>
    <col min="1" max="1" width="20.44140625" customWidth="1"/>
    <col min="2" max="2" width="49.5546875" customWidth="1"/>
    <col min="3" max="3" width="15.77734375" customWidth="1"/>
    <col min="4" max="4" width="26.44140625" customWidth="1"/>
    <col min="5" max="5" width="11.77734375" customWidth="1"/>
    <col min="6" max="6" width="16.44140625" customWidth="1"/>
    <col min="7" max="7" width="15.44140625" customWidth="1"/>
    <col min="8" max="8" width="19.5546875" customWidth="1"/>
    <col min="9" max="9" width="11.77734375" customWidth="1"/>
    <col min="10" max="10" width="8" bestFit="1" customWidth="1"/>
    <col min="11" max="11" width="10.44140625" customWidth="1"/>
    <col min="12" max="12" width="13.2187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964</v>
      </c>
      <c r="M1" t="s">
        <v>1438</v>
      </c>
    </row>
    <row r="2" spans="1:13" x14ac:dyDescent="0.3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340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3" x14ac:dyDescent="0.3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1205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3" x14ac:dyDescent="0.3">
      <c r="A5" t="s">
        <v>332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340</v>
      </c>
      <c r="H5">
        <v>18</v>
      </c>
      <c r="I5">
        <v>600</v>
      </c>
      <c r="J5" t="str">
        <f t="shared" si="4"/>
        <v>18 В</v>
      </c>
    </row>
    <row r="6" spans="1:13" x14ac:dyDescent="0.3">
      <c r="A6" t="s">
        <v>680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681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">
      <c r="A7" t="s">
        <v>744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340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">
      <c r="A8" t="s">
        <v>761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340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">
      <c r="A9" t="s">
        <v>920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">
      <c r="A10" t="s">
        <v>1140</v>
      </c>
      <c r="B10" t="s">
        <v>1141</v>
      </c>
      <c r="C10" t="str">
        <f>A10</f>
        <v>SMBJ16CA</v>
      </c>
      <c r="D10" t="str">
        <f>CONCATENATE("Schematic\TVS\",E10,".SchLib")</f>
        <v>Schematic\TVS\TVS_1_2dir.SchLib</v>
      </c>
      <c r="E10" t="s">
        <v>1205</v>
      </c>
      <c r="F10" t="str">
        <f>CONCATENATE("Footprints\",G10,".PcbLib")</f>
        <v>Footprints\SMB.PcbLib</v>
      </c>
      <c r="G10" t="s">
        <v>340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">
      <c r="A11" t="s">
        <v>1168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80</v>
      </c>
      <c r="F11" t="str">
        <f>CONCATENATE("Footprints\",G11,".PcbLib")</f>
        <v>Footprints\SOD523.PcbLib</v>
      </c>
      <c r="G11" t="s">
        <v>681</v>
      </c>
      <c r="H11">
        <v>3.3</v>
      </c>
      <c r="I11">
        <v>45</v>
      </c>
      <c r="J11" t="str">
        <f xml:space="preserve"> CONCATENATE(H11," В")</f>
        <v>3,3 В</v>
      </c>
      <c r="M11" t="s">
        <v>1464</v>
      </c>
    </row>
    <row r="12" spans="1:13" x14ac:dyDescent="0.3">
      <c r="A12" t="s">
        <v>1445</v>
      </c>
      <c r="B12" t="str">
        <f t="shared" ref="B12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" si="7">A12</f>
        <v>SMBJ16A</v>
      </c>
      <c r="D12" t="str">
        <f t="shared" ref="D12" si="8">CONCATENATE("Schematic\TVS\",E12,".SchLib")</f>
        <v>Schematic\TVS\TVS_1_1dir.SchLib</v>
      </c>
      <c r="E12" t="s">
        <v>80</v>
      </c>
      <c r="F12" t="str">
        <f t="shared" ref="F12" si="9">CONCATENATE("Footprints\",G12,".PcbLib")</f>
        <v>Footprints\SMB.PcbLib</v>
      </c>
      <c r="G12" t="s">
        <v>340</v>
      </c>
      <c r="H12">
        <v>16</v>
      </c>
      <c r="I12">
        <v>600</v>
      </c>
      <c r="J12" t="str">
        <f t="shared" ref="J12" si="10" xml:space="preserve"> CONCATENATE(H12," В")</f>
        <v>16 В</v>
      </c>
      <c r="M12" t="s">
        <v>1464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5"/>
  <sheetViews>
    <sheetView topLeftCell="B1" zoomScale="70" zoomScaleNormal="70" workbookViewId="0">
      <selection activeCell="M8" sqref="M8"/>
    </sheetView>
  </sheetViews>
  <sheetFormatPr defaultRowHeight="14.4" x14ac:dyDescent="0.3"/>
  <cols>
    <col min="1" max="1" width="14.77734375" customWidth="1"/>
    <col min="2" max="2" width="93.21875" customWidth="1"/>
    <col min="3" max="3" width="12.44140625" bestFit="1" customWidth="1"/>
    <col min="4" max="4" width="35.77734375" bestFit="1" customWidth="1"/>
    <col min="5" max="5" width="24.44140625" bestFit="1" customWidth="1"/>
    <col min="6" max="6" width="23.21875" bestFit="1" customWidth="1"/>
    <col min="7" max="7" width="16.77734375" customWidth="1"/>
    <col min="8" max="8" width="29.77734375" bestFit="1" customWidth="1"/>
    <col min="9" max="9" width="16.77734375" customWidth="1"/>
    <col min="12" max="12" width="13.777343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772</v>
      </c>
      <c r="K1" s="1" t="s">
        <v>773</v>
      </c>
      <c r="L1" s="1" t="s">
        <v>964</v>
      </c>
      <c r="M1" s="1" t="s">
        <v>1438</v>
      </c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917</v>
      </c>
      <c r="K2" t="s">
        <v>918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776</v>
      </c>
      <c r="K3" t="s">
        <v>919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667</v>
      </c>
      <c r="B7" s="3" t="s">
        <v>21</v>
      </c>
      <c r="C7" s="2" t="str">
        <f t="shared" si="0"/>
        <v>AO4411</v>
      </c>
      <c r="D7" s="3" t="s">
        <v>668</v>
      </c>
      <c r="E7" s="3" t="s">
        <v>669</v>
      </c>
      <c r="F7" t="str">
        <f t="shared" si="1"/>
        <v>Footprints\SOIC-8.PcbLib</v>
      </c>
      <c r="G7" s="1" t="s">
        <v>78</v>
      </c>
      <c r="H7" s="2"/>
      <c r="M7" t="s">
        <v>1464</v>
      </c>
    </row>
    <row r="8" spans="1:19" ht="15.6" x14ac:dyDescent="0.3">
      <c r="A8" s="1" t="s">
        <v>670</v>
      </c>
      <c r="B8" s="1" t="s">
        <v>671</v>
      </c>
      <c r="C8" s="2" t="str">
        <f t="shared" ref="C8:C13" si="2">A8</f>
        <v>AO4812</v>
      </c>
      <c r="D8" s="3" t="s">
        <v>672</v>
      </c>
      <c r="E8" s="1" t="s">
        <v>670</v>
      </c>
      <c r="F8" t="str">
        <f t="shared" si="1"/>
        <v>Footprints\SOP8.PcbLib</v>
      </c>
      <c r="G8" s="1" t="s">
        <v>693</v>
      </c>
      <c r="J8" t="s">
        <v>776</v>
      </c>
      <c r="K8" t="s">
        <v>777</v>
      </c>
      <c r="M8" t="s">
        <v>1439</v>
      </c>
    </row>
    <row r="9" spans="1:19" ht="15.6" x14ac:dyDescent="0.3">
      <c r="A9" s="1" t="s">
        <v>768</v>
      </c>
      <c r="B9" s="1" t="s">
        <v>769</v>
      </c>
      <c r="C9" s="2" t="str">
        <f t="shared" si="2"/>
        <v>bc807</v>
      </c>
      <c r="D9" s="3" t="s">
        <v>771</v>
      </c>
      <c r="E9" s="1" t="s">
        <v>770</v>
      </c>
      <c r="F9" t="str">
        <f>CONCATENATE("Footprints\",G9,".PcbLib")</f>
        <v>Footprints\SOT23-3.PcbLib</v>
      </c>
      <c r="G9" s="3" t="s">
        <v>18</v>
      </c>
      <c r="J9" t="s">
        <v>774</v>
      </c>
      <c r="K9" t="s">
        <v>775</v>
      </c>
      <c r="M9" t="s">
        <v>1439</v>
      </c>
    </row>
    <row r="10" spans="1:19" ht="15.6" x14ac:dyDescent="0.3">
      <c r="A10" s="1" t="s">
        <v>794</v>
      </c>
      <c r="B10" s="1" t="s">
        <v>797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916</v>
      </c>
      <c r="H10" s="2"/>
      <c r="I10" s="2"/>
      <c r="J10" t="s">
        <v>795</v>
      </c>
      <c r="K10" t="s">
        <v>796</v>
      </c>
      <c r="M10" t="s">
        <v>1439</v>
      </c>
    </row>
    <row r="11" spans="1:19" ht="15.6" x14ac:dyDescent="0.3">
      <c r="A11" s="1" t="s">
        <v>1094</v>
      </c>
      <c r="B11" s="1" t="s">
        <v>1095</v>
      </c>
      <c r="C11" s="2" t="str">
        <f t="shared" si="2"/>
        <v>SIR426DP-T1-GE3</v>
      </c>
      <c r="D11" s="3" t="s">
        <v>1096</v>
      </c>
      <c r="E11" s="1" t="s">
        <v>1094</v>
      </c>
      <c r="F11" t="str">
        <f>CONCATENATE("Footprints\",G11,".PcbLib")</f>
        <v>Footprints\PowerPAK_SO-8.PcbLib</v>
      </c>
      <c r="G11" s="1" t="s">
        <v>1129</v>
      </c>
      <c r="J11" t="s">
        <v>1097</v>
      </c>
    </row>
    <row r="12" spans="1:19" ht="15.6" x14ac:dyDescent="0.3">
      <c r="A12" s="32" t="s">
        <v>1123</v>
      </c>
      <c r="B12" s="1" t="s">
        <v>1124</v>
      </c>
      <c r="C12" s="2" t="str">
        <f t="shared" si="2"/>
        <v>PDTC114ET</v>
      </c>
      <c r="D12" s="3" t="s">
        <v>1125</v>
      </c>
      <c r="E12" s="1" t="s">
        <v>1123</v>
      </c>
      <c r="F12" t="str">
        <f>CONCATENATE("Footprints\",G12,".PcbLib")</f>
        <v>Footprints\SOT23-3.PcbLib</v>
      </c>
      <c r="G12" s="3" t="s">
        <v>18</v>
      </c>
      <c r="J12" t="s">
        <v>1127</v>
      </c>
      <c r="K12" t="s">
        <v>1126</v>
      </c>
    </row>
    <row r="13" spans="1:19" ht="15.6" x14ac:dyDescent="0.3">
      <c r="A13" s="1" t="s">
        <v>1142</v>
      </c>
      <c r="B13" s="1" t="s">
        <v>5</v>
      </c>
      <c r="C13" s="2" t="str">
        <f t="shared" si="2"/>
        <v>IRFH7084</v>
      </c>
      <c r="D13" s="1" t="s">
        <v>1143</v>
      </c>
      <c r="E13" s="1" t="s">
        <v>1144</v>
      </c>
      <c r="F13" t="str">
        <f>CONCATENATE("Footprints\",G13,".PcbLib")</f>
        <v>Footprints\PQFN_5x6.PcbLib</v>
      </c>
      <c r="G13" s="1" t="s">
        <v>1145</v>
      </c>
      <c r="J13" t="s">
        <v>1097</v>
      </c>
      <c r="K13" t="s">
        <v>1146</v>
      </c>
    </row>
    <row r="14" spans="1:19" ht="15.6" x14ac:dyDescent="0.3">
      <c r="A14" s="1" t="s">
        <v>1173</v>
      </c>
      <c r="B14" s="1" t="s">
        <v>1175</v>
      </c>
      <c r="C14" s="2" t="str">
        <f>A14</f>
        <v>BC857</v>
      </c>
      <c r="D14" s="3" t="s">
        <v>771</v>
      </c>
      <c r="E14" s="1" t="s">
        <v>770</v>
      </c>
      <c r="F14" t="str">
        <f>CONCATENATE("Footprints\",G14,".PcbLib")</f>
        <v>Footprints\SOT23-3.PcbLib</v>
      </c>
      <c r="G14" s="3" t="s">
        <v>18</v>
      </c>
      <c r="J14" t="s">
        <v>774</v>
      </c>
      <c r="K14" t="s">
        <v>1174</v>
      </c>
      <c r="M14" t="s">
        <v>1464</v>
      </c>
    </row>
    <row r="15" spans="1:19" ht="15.6" x14ac:dyDescent="0.3">
      <c r="A15" s="1" t="s">
        <v>1176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>CONCATENATE("Footprints\",G15,".PcbLib")</f>
        <v>Footprints\DPAK.PcbLib</v>
      </c>
      <c r="G15" s="3" t="s">
        <v>6</v>
      </c>
      <c r="J15" t="s">
        <v>1097</v>
      </c>
      <c r="K15" t="s">
        <v>919</v>
      </c>
      <c r="M15" t="s">
        <v>1464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54" zoomScale="70" zoomScaleNormal="70" workbookViewId="0">
      <selection activeCell="J189" sqref="J189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21875" bestFit="1" customWidth="1"/>
    <col min="4" max="4" width="24.44140625" bestFit="1" customWidth="1"/>
    <col min="5" max="5" width="13" bestFit="1" customWidth="1"/>
    <col min="6" max="6" width="8.21875" bestFit="1" customWidth="1"/>
    <col min="7" max="7" width="12.21875" bestFit="1" customWidth="1"/>
    <col min="8" max="8" width="32" bestFit="1" customWidth="1"/>
    <col min="9" max="9" width="16.77734375" bestFit="1" customWidth="1"/>
    <col min="10" max="10" width="41.21875" customWidth="1"/>
    <col min="11" max="11" width="18.21875" customWidth="1"/>
    <col min="12" max="12" width="41.21875" customWidth="1"/>
    <col min="13" max="13" width="18.21875" customWidth="1"/>
    <col min="14" max="14" width="16.777343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964</v>
      </c>
      <c r="O1" s="1" t="s">
        <v>1438</v>
      </c>
    </row>
    <row r="2" spans="1:15" ht="15.6" x14ac:dyDescent="0.3">
      <c r="A2" s="3" t="s">
        <v>133</v>
      </c>
      <c r="B2" s="3" t="s">
        <v>1208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4"/>
      <c r="O2" s="1"/>
    </row>
    <row r="3" spans="1:15" ht="15.6" x14ac:dyDescent="0.3">
      <c r="A3" s="3" t="s">
        <v>137</v>
      </c>
      <c r="B3" s="3" t="s">
        <v>1209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5"/>
      <c r="O3" s="1"/>
    </row>
    <row r="4" spans="1:15" ht="15.6" x14ac:dyDescent="0.3">
      <c r="A4" s="3" t="s">
        <v>139</v>
      </c>
      <c r="B4" s="3" t="s">
        <v>1211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4"/>
      <c r="O4" s="1"/>
    </row>
    <row r="5" spans="1:15" ht="15.6" x14ac:dyDescent="0.3">
      <c r="A5" s="3" t="s">
        <v>141</v>
      </c>
      <c r="B5" s="3" t="s">
        <v>1210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5"/>
      <c r="O5" s="1"/>
    </row>
    <row r="6" spans="1:15" ht="15.6" x14ac:dyDescent="0.3">
      <c r="A6" s="3" t="s">
        <v>143</v>
      </c>
      <c r="B6" s="3" t="s">
        <v>1214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4"/>
      <c r="O6" s="1"/>
    </row>
    <row r="7" spans="1:15" ht="15.6" x14ac:dyDescent="0.3">
      <c r="A7" s="3" t="s">
        <v>145</v>
      </c>
      <c r="B7" s="3" t="s">
        <v>1212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5"/>
      <c r="O7" s="1"/>
    </row>
    <row r="8" spans="1:15" ht="15.6" x14ac:dyDescent="0.3">
      <c r="A8" s="3" t="s">
        <v>147</v>
      </c>
      <c r="B8" s="3" t="s">
        <v>1213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4"/>
      <c r="O8" s="1"/>
    </row>
    <row r="9" spans="1:15" ht="15.6" x14ac:dyDescent="0.3">
      <c r="A9" s="3" t="s">
        <v>149</v>
      </c>
      <c r="B9" s="3" t="s">
        <v>1215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5"/>
      <c r="O9" s="1"/>
    </row>
    <row r="10" spans="1:15" ht="15.6" x14ac:dyDescent="0.3">
      <c r="A10" s="3" t="s">
        <v>151</v>
      </c>
      <c r="B10" s="3" t="s">
        <v>1216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4"/>
      <c r="O10" s="1"/>
    </row>
    <row r="11" spans="1:15" ht="15.6" x14ac:dyDescent="0.3">
      <c r="A11" s="3" t="s">
        <v>153</v>
      </c>
      <c r="B11" s="3" t="s">
        <v>1217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5"/>
      <c r="O11" s="1"/>
    </row>
    <row r="12" spans="1:15" ht="15.6" x14ac:dyDescent="0.3">
      <c r="A12" s="3" t="s">
        <v>460</v>
      </c>
      <c r="B12" s="3" t="s">
        <v>1219</v>
      </c>
      <c r="C12" s="3" t="s">
        <v>26</v>
      </c>
      <c r="D12" s="3" t="s">
        <v>29</v>
      </c>
      <c r="E12" s="3" t="s">
        <v>26</v>
      </c>
      <c r="F12" s="3" t="s">
        <v>375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4"/>
      <c r="O12" s="1"/>
    </row>
    <row r="13" spans="1:15" ht="15.6" x14ac:dyDescent="0.3">
      <c r="A13" s="3" t="s">
        <v>461</v>
      </c>
      <c r="B13" s="3" t="s">
        <v>1220</v>
      </c>
      <c r="C13" s="3" t="s">
        <v>26</v>
      </c>
      <c r="D13" s="3" t="s">
        <v>29</v>
      </c>
      <c r="E13" s="3" t="s">
        <v>26</v>
      </c>
      <c r="F13" s="3" t="s">
        <v>376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5"/>
      <c r="O13" s="1"/>
    </row>
    <row r="14" spans="1:15" ht="15.6" x14ac:dyDescent="0.3">
      <c r="A14" s="3" t="s">
        <v>462</v>
      </c>
      <c r="B14" s="3" t="s">
        <v>1218</v>
      </c>
      <c r="C14" s="3" t="s">
        <v>26</v>
      </c>
      <c r="D14" s="3" t="s">
        <v>29</v>
      </c>
      <c r="E14" s="3" t="s">
        <v>26</v>
      </c>
      <c r="F14" s="3" t="s">
        <v>377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4"/>
      <c r="O14" s="1"/>
    </row>
    <row r="15" spans="1:15" ht="15.6" x14ac:dyDescent="0.3">
      <c r="A15" s="3" t="s">
        <v>463</v>
      </c>
      <c r="B15" s="3" t="s">
        <v>1223</v>
      </c>
      <c r="C15" s="3" t="s">
        <v>26</v>
      </c>
      <c r="D15" s="3" t="s">
        <v>29</v>
      </c>
      <c r="E15" s="3" t="s">
        <v>26</v>
      </c>
      <c r="F15" s="3" t="s">
        <v>378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5"/>
      <c r="O15" s="1"/>
    </row>
    <row r="16" spans="1:15" ht="15.6" x14ac:dyDescent="0.3">
      <c r="A16" s="3" t="s">
        <v>464</v>
      </c>
      <c r="B16" s="3" t="s">
        <v>1222</v>
      </c>
      <c r="C16" s="3" t="s">
        <v>26</v>
      </c>
      <c r="D16" s="3" t="s">
        <v>29</v>
      </c>
      <c r="E16" s="3" t="s">
        <v>26</v>
      </c>
      <c r="F16" s="3" t="s">
        <v>379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4"/>
      <c r="O16" s="1"/>
    </row>
    <row r="17" spans="1:15" ht="15.6" x14ac:dyDescent="0.3">
      <c r="A17" s="3" t="s">
        <v>465</v>
      </c>
      <c r="B17" s="3" t="s">
        <v>1221</v>
      </c>
      <c r="C17" s="3" t="s">
        <v>26</v>
      </c>
      <c r="D17" s="3" t="s">
        <v>29</v>
      </c>
      <c r="E17" s="3" t="s">
        <v>26</v>
      </c>
      <c r="F17" s="3" t="s">
        <v>380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5"/>
      <c r="O17" s="1"/>
    </row>
    <row r="18" spans="1:15" ht="15.6" x14ac:dyDescent="0.3">
      <c r="A18" s="3" t="s">
        <v>466</v>
      </c>
      <c r="B18" s="3" t="s">
        <v>1224</v>
      </c>
      <c r="C18" s="3" t="s">
        <v>26</v>
      </c>
      <c r="D18" s="3" t="s">
        <v>29</v>
      </c>
      <c r="E18" s="3" t="s">
        <v>26</v>
      </c>
      <c r="F18" s="3" t="s">
        <v>381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4"/>
      <c r="O18" s="1"/>
    </row>
    <row r="19" spans="1:15" ht="15.6" x14ac:dyDescent="0.3">
      <c r="A19" s="3" t="s">
        <v>155</v>
      </c>
      <c r="B19" s="3" t="s">
        <v>1226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5"/>
      <c r="O19" s="1"/>
    </row>
    <row r="20" spans="1:15" ht="15.6" x14ac:dyDescent="0.3">
      <c r="A20" s="3" t="s">
        <v>157</v>
      </c>
      <c r="B20" s="3" t="s">
        <v>1225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4"/>
      <c r="O20" s="1"/>
    </row>
    <row r="21" spans="1:15" ht="15.6" x14ac:dyDescent="0.3">
      <c r="A21" s="3" t="s">
        <v>159</v>
      </c>
      <c r="B21" s="3" t="s">
        <v>1227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5"/>
      <c r="O21" s="1"/>
    </row>
    <row r="22" spans="1:15" ht="15.6" x14ac:dyDescent="0.3">
      <c r="A22" s="3" t="s">
        <v>161</v>
      </c>
      <c r="B22" s="3" t="s">
        <v>1228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4"/>
      <c r="O22" s="1"/>
    </row>
    <row r="23" spans="1:15" ht="15.6" x14ac:dyDescent="0.3">
      <c r="A23" s="3" t="s">
        <v>163</v>
      </c>
      <c r="B23" s="3" t="s">
        <v>1229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5"/>
      <c r="O23" s="1"/>
    </row>
    <row r="24" spans="1:15" ht="15.6" x14ac:dyDescent="0.3">
      <c r="A24" s="3" t="s">
        <v>513</v>
      </c>
      <c r="B24" s="3" t="s">
        <v>1230</v>
      </c>
      <c r="C24" s="3" t="s">
        <v>26</v>
      </c>
      <c r="D24" s="3" t="s">
        <v>29</v>
      </c>
      <c r="E24" s="3" t="s">
        <v>26</v>
      </c>
      <c r="F24" s="3" t="s">
        <v>520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4"/>
      <c r="O24" s="1"/>
    </row>
    <row r="25" spans="1:15" ht="15.6" x14ac:dyDescent="0.3">
      <c r="A25" s="3" t="s">
        <v>165</v>
      </c>
      <c r="B25" s="3" t="s">
        <v>1231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5"/>
      <c r="O25" s="1"/>
    </row>
    <row r="26" spans="1:15" ht="15.6" x14ac:dyDescent="0.3">
      <c r="A26" s="3" t="s">
        <v>167</v>
      </c>
      <c r="B26" s="3" t="s">
        <v>1232</v>
      </c>
      <c r="C26" s="3" t="s">
        <v>26</v>
      </c>
      <c r="D26" s="3" t="s">
        <v>29</v>
      </c>
      <c r="E26" s="3" t="s">
        <v>26</v>
      </c>
      <c r="F26" s="3" t="s">
        <v>382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4"/>
      <c r="O26" s="1"/>
    </row>
    <row r="27" spans="1:15" ht="15.6" x14ac:dyDescent="0.3">
      <c r="A27" s="3" t="s">
        <v>168</v>
      </c>
      <c r="B27" s="3" t="s">
        <v>1233</v>
      </c>
      <c r="C27" s="3" t="s">
        <v>26</v>
      </c>
      <c r="D27" s="3" t="s">
        <v>29</v>
      </c>
      <c r="E27" s="3" t="s">
        <v>26</v>
      </c>
      <c r="F27" s="3" t="s">
        <v>383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5"/>
      <c r="O27" s="1"/>
    </row>
    <row r="28" spans="1:15" ht="15.6" x14ac:dyDescent="0.3">
      <c r="A28" s="3" t="s">
        <v>169</v>
      </c>
      <c r="B28" s="3" t="s">
        <v>1234</v>
      </c>
      <c r="C28" s="3" t="s">
        <v>26</v>
      </c>
      <c r="D28" s="3" t="s">
        <v>29</v>
      </c>
      <c r="E28" s="3" t="s">
        <v>26</v>
      </c>
      <c r="F28" s="3" t="s">
        <v>384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4"/>
      <c r="O28" s="1"/>
    </row>
    <row r="29" spans="1:15" ht="15.6" x14ac:dyDescent="0.3">
      <c r="A29" s="3" t="s">
        <v>170</v>
      </c>
      <c r="B29" s="3" t="s">
        <v>1235</v>
      </c>
      <c r="C29" s="3" t="s">
        <v>26</v>
      </c>
      <c r="D29" s="3" t="s">
        <v>29</v>
      </c>
      <c r="E29" s="3" t="s">
        <v>26</v>
      </c>
      <c r="F29" s="3" t="s">
        <v>385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5"/>
      <c r="O29" s="1"/>
    </row>
    <row r="30" spans="1:15" ht="15.6" x14ac:dyDescent="0.3">
      <c r="A30" s="3" t="s">
        <v>171</v>
      </c>
      <c r="B30" s="3" t="s">
        <v>1236</v>
      </c>
      <c r="C30" s="3" t="s">
        <v>26</v>
      </c>
      <c r="D30" s="3" t="s">
        <v>29</v>
      </c>
      <c r="E30" s="3" t="s">
        <v>26</v>
      </c>
      <c r="F30" s="3" t="s">
        <v>386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4"/>
      <c r="O30" s="1"/>
    </row>
    <row r="31" spans="1:15" ht="15.6" x14ac:dyDescent="0.3">
      <c r="A31" s="3" t="s">
        <v>172</v>
      </c>
      <c r="B31" s="3" t="s">
        <v>1237</v>
      </c>
      <c r="C31" s="3" t="s">
        <v>26</v>
      </c>
      <c r="D31" s="3" t="s">
        <v>29</v>
      </c>
      <c r="E31" s="3" t="s">
        <v>26</v>
      </c>
      <c r="F31" s="3" t="s">
        <v>387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5"/>
      <c r="O31" s="1"/>
    </row>
    <row r="32" spans="1:15" ht="15.6" x14ac:dyDescent="0.3">
      <c r="A32" s="3" t="s">
        <v>173</v>
      </c>
      <c r="B32" s="3" t="s">
        <v>1238</v>
      </c>
      <c r="C32" s="3" t="s">
        <v>26</v>
      </c>
      <c r="D32" s="3" t="s">
        <v>29</v>
      </c>
      <c r="E32" s="3" t="s">
        <v>26</v>
      </c>
      <c r="F32" s="3" t="s">
        <v>388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4"/>
      <c r="O32" s="1"/>
    </row>
    <row r="33" spans="1:15" ht="15.6" x14ac:dyDescent="0.3">
      <c r="A33" s="3" t="s">
        <v>174</v>
      </c>
      <c r="B33" s="3" t="s">
        <v>1239</v>
      </c>
      <c r="C33" s="3" t="s">
        <v>26</v>
      </c>
      <c r="D33" s="3" t="s">
        <v>29</v>
      </c>
      <c r="E33" s="3" t="s">
        <v>26</v>
      </c>
      <c r="F33" s="3" t="s">
        <v>389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5"/>
      <c r="O33" s="1"/>
    </row>
    <row r="34" spans="1:15" ht="15.6" x14ac:dyDescent="0.3">
      <c r="A34" s="3" t="s">
        <v>175</v>
      </c>
      <c r="B34" s="3" t="s">
        <v>1240</v>
      </c>
      <c r="C34" s="3" t="s">
        <v>26</v>
      </c>
      <c r="D34" s="3" t="s">
        <v>29</v>
      </c>
      <c r="E34" s="3" t="s">
        <v>26</v>
      </c>
      <c r="F34" s="3" t="s">
        <v>390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4"/>
      <c r="O34" s="1"/>
    </row>
    <row r="35" spans="1:15" ht="15.6" x14ac:dyDescent="0.3">
      <c r="A35" s="3" t="s">
        <v>176</v>
      </c>
      <c r="B35" s="3" t="s">
        <v>1241</v>
      </c>
      <c r="C35" s="3" t="s">
        <v>26</v>
      </c>
      <c r="D35" s="3" t="s">
        <v>29</v>
      </c>
      <c r="E35" s="3" t="s">
        <v>26</v>
      </c>
      <c r="F35" s="3" t="s">
        <v>391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5"/>
      <c r="O35" s="1"/>
    </row>
    <row r="36" spans="1:15" ht="15.6" x14ac:dyDescent="0.3">
      <c r="A36" s="3" t="s">
        <v>467</v>
      </c>
      <c r="B36" s="3" t="s">
        <v>1242</v>
      </c>
      <c r="C36" s="3" t="s">
        <v>26</v>
      </c>
      <c r="D36" s="3" t="s">
        <v>29</v>
      </c>
      <c r="E36" s="3" t="s">
        <v>26</v>
      </c>
      <c r="F36" s="3" t="s">
        <v>392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4"/>
      <c r="O36" s="1"/>
    </row>
    <row r="37" spans="1:15" ht="15.6" x14ac:dyDescent="0.3">
      <c r="A37" s="3" t="s">
        <v>468</v>
      </c>
      <c r="B37" s="3" t="s">
        <v>1243</v>
      </c>
      <c r="C37" s="3" t="s">
        <v>26</v>
      </c>
      <c r="D37" s="3" t="s">
        <v>29</v>
      </c>
      <c r="E37" s="3" t="s">
        <v>26</v>
      </c>
      <c r="F37" s="3" t="s">
        <v>393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5"/>
      <c r="O37" s="1"/>
    </row>
    <row r="38" spans="1:15" ht="15.6" x14ac:dyDescent="0.3">
      <c r="A38" s="3" t="s">
        <v>469</v>
      </c>
      <c r="B38" s="3" t="s">
        <v>1244</v>
      </c>
      <c r="C38" s="3" t="s">
        <v>26</v>
      </c>
      <c r="D38" s="3" t="s">
        <v>29</v>
      </c>
      <c r="E38" s="3" t="s">
        <v>26</v>
      </c>
      <c r="F38" s="3" t="s">
        <v>394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4"/>
      <c r="O38" s="1"/>
    </row>
    <row r="39" spans="1:15" ht="15.6" x14ac:dyDescent="0.3">
      <c r="A39" s="3" t="s">
        <v>470</v>
      </c>
      <c r="B39" s="3" t="s">
        <v>1245</v>
      </c>
      <c r="C39" s="3" t="s">
        <v>26</v>
      </c>
      <c r="D39" s="3" t="s">
        <v>29</v>
      </c>
      <c r="E39" s="3" t="s">
        <v>26</v>
      </c>
      <c r="F39" s="3" t="s">
        <v>395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5"/>
      <c r="O39" s="1"/>
    </row>
    <row r="40" spans="1:15" ht="15.6" x14ac:dyDescent="0.3">
      <c r="A40" s="3" t="s">
        <v>471</v>
      </c>
      <c r="B40" s="3" t="s">
        <v>1246</v>
      </c>
      <c r="C40" s="3" t="s">
        <v>26</v>
      </c>
      <c r="D40" s="3" t="s">
        <v>29</v>
      </c>
      <c r="E40" s="3" t="s">
        <v>26</v>
      </c>
      <c r="F40" s="3" t="s">
        <v>396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4"/>
      <c r="O40" s="1"/>
    </row>
    <row r="41" spans="1:15" ht="15.6" x14ac:dyDescent="0.3">
      <c r="A41" s="3" t="s">
        <v>472</v>
      </c>
      <c r="B41" s="3" t="s">
        <v>1247</v>
      </c>
      <c r="C41" s="3" t="s">
        <v>26</v>
      </c>
      <c r="D41" s="3" t="s">
        <v>29</v>
      </c>
      <c r="E41" s="3" t="s">
        <v>26</v>
      </c>
      <c r="F41" s="3" t="s">
        <v>397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5"/>
      <c r="O41" s="1"/>
    </row>
    <row r="42" spans="1:15" ht="15.6" x14ac:dyDescent="0.3">
      <c r="A42" s="3" t="s">
        <v>473</v>
      </c>
      <c r="B42" s="3" t="s">
        <v>1249</v>
      </c>
      <c r="C42" s="3" t="s">
        <v>26</v>
      </c>
      <c r="D42" s="3" t="s">
        <v>29</v>
      </c>
      <c r="E42" s="3" t="s">
        <v>26</v>
      </c>
      <c r="F42" s="3" t="s">
        <v>398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4"/>
      <c r="O42" s="1"/>
    </row>
    <row r="43" spans="1:15" ht="15.6" x14ac:dyDescent="0.3">
      <c r="A43" s="3" t="s">
        <v>177</v>
      </c>
      <c r="B43" s="3" t="s">
        <v>1248</v>
      </c>
      <c r="C43" s="3" t="s">
        <v>26</v>
      </c>
      <c r="D43" s="3" t="s">
        <v>29</v>
      </c>
      <c r="E43" s="3" t="s">
        <v>26</v>
      </c>
      <c r="F43" s="3" t="s">
        <v>399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5"/>
      <c r="O43" s="1"/>
    </row>
    <row r="44" spans="1:15" ht="15.6" x14ac:dyDescent="0.3">
      <c r="A44" s="3" t="s">
        <v>178</v>
      </c>
      <c r="B44" s="3" t="s">
        <v>1250</v>
      </c>
      <c r="C44" s="3" t="s">
        <v>26</v>
      </c>
      <c r="D44" s="3" t="s">
        <v>29</v>
      </c>
      <c r="E44" s="3" t="s">
        <v>26</v>
      </c>
      <c r="F44" s="3" t="s">
        <v>400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4"/>
      <c r="O44" s="1"/>
    </row>
    <row r="45" spans="1:15" ht="15.6" x14ac:dyDescent="0.3">
      <c r="A45" s="3" t="s">
        <v>179</v>
      </c>
      <c r="B45" s="3" t="s">
        <v>1251</v>
      </c>
      <c r="C45" s="3" t="s">
        <v>26</v>
      </c>
      <c r="D45" s="3" t="s">
        <v>29</v>
      </c>
      <c r="E45" s="3" t="s">
        <v>26</v>
      </c>
      <c r="F45" s="3" t="s">
        <v>401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5"/>
      <c r="O45" s="1"/>
    </row>
    <row r="46" spans="1:15" ht="15.6" x14ac:dyDescent="0.3">
      <c r="A46" s="3" t="s">
        <v>180</v>
      </c>
      <c r="B46" s="3" t="s">
        <v>1252</v>
      </c>
      <c r="C46" s="3" t="s">
        <v>26</v>
      </c>
      <c r="D46" s="3" t="s">
        <v>29</v>
      </c>
      <c r="E46" s="3" t="s">
        <v>26</v>
      </c>
      <c r="F46" s="3" t="s">
        <v>402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4"/>
      <c r="O46" s="1"/>
    </row>
    <row r="47" spans="1:15" ht="15.6" x14ac:dyDescent="0.3">
      <c r="A47" s="3" t="s">
        <v>181</v>
      </c>
      <c r="B47" s="3" t="s">
        <v>1253</v>
      </c>
      <c r="C47" s="3" t="s">
        <v>26</v>
      </c>
      <c r="D47" s="3" t="s">
        <v>29</v>
      </c>
      <c r="E47" s="3" t="s">
        <v>26</v>
      </c>
      <c r="F47" s="3" t="s">
        <v>403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5"/>
      <c r="O47" s="1"/>
    </row>
    <row r="48" spans="1:15" ht="15.6" x14ac:dyDescent="0.3">
      <c r="A48" s="3" t="s">
        <v>514</v>
      </c>
      <c r="B48" s="3" t="s">
        <v>1254</v>
      </c>
      <c r="C48" s="3" t="s">
        <v>26</v>
      </c>
      <c r="D48" s="3" t="s">
        <v>29</v>
      </c>
      <c r="E48" s="3" t="s">
        <v>26</v>
      </c>
      <c r="F48" s="3" t="s">
        <v>521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4"/>
      <c r="O48" s="1"/>
    </row>
    <row r="49" spans="1:15" ht="15.6" x14ac:dyDescent="0.3">
      <c r="A49" s="3" t="s">
        <v>182</v>
      </c>
      <c r="B49" s="3" t="s">
        <v>1255</v>
      </c>
      <c r="C49" s="3" t="s">
        <v>26</v>
      </c>
      <c r="D49" s="3" t="s">
        <v>29</v>
      </c>
      <c r="E49" s="3" t="s">
        <v>26</v>
      </c>
      <c r="F49" s="3" t="s">
        <v>404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5"/>
      <c r="O49" s="1"/>
    </row>
    <row r="50" spans="1:15" ht="15.6" x14ac:dyDescent="0.3">
      <c r="A50" s="3" t="s">
        <v>183</v>
      </c>
      <c r="B50" s="3" t="s">
        <v>1256</v>
      </c>
      <c r="C50" s="3" t="s">
        <v>26</v>
      </c>
      <c r="D50" s="3" t="s">
        <v>29</v>
      </c>
      <c r="E50" s="3" t="s">
        <v>26</v>
      </c>
      <c r="F50" s="3" t="s">
        <v>405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4"/>
      <c r="O50" s="1"/>
    </row>
    <row r="51" spans="1:15" ht="15.6" x14ac:dyDescent="0.3">
      <c r="A51" s="3" t="s">
        <v>184</v>
      </c>
      <c r="B51" s="3" t="s">
        <v>1258</v>
      </c>
      <c r="C51" s="3" t="s">
        <v>26</v>
      </c>
      <c r="D51" s="3" t="s">
        <v>29</v>
      </c>
      <c r="E51" s="3" t="s">
        <v>26</v>
      </c>
      <c r="F51" s="3" t="s">
        <v>406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5"/>
      <c r="O51" s="1"/>
    </row>
    <row r="52" spans="1:15" ht="15.6" x14ac:dyDescent="0.3">
      <c r="A52" s="3" t="s">
        <v>185</v>
      </c>
      <c r="B52" s="3" t="s">
        <v>1257</v>
      </c>
      <c r="C52" s="3" t="s">
        <v>26</v>
      </c>
      <c r="D52" s="3" t="s">
        <v>29</v>
      </c>
      <c r="E52" s="3" t="s">
        <v>26</v>
      </c>
      <c r="F52" s="3" t="s">
        <v>407</v>
      </c>
      <c r="G52" s="4">
        <v>0.01</v>
      </c>
      <c r="H52" s="3" t="s">
        <v>136</v>
      </c>
      <c r="I52" s="3" t="s">
        <v>32</v>
      </c>
      <c r="J52" s="3" t="s">
        <v>779</v>
      </c>
      <c r="K52" s="1" t="s">
        <v>778</v>
      </c>
      <c r="L52" s="1"/>
      <c r="M52" s="1"/>
      <c r="N52" s="24"/>
      <c r="O52" s="1"/>
    </row>
    <row r="53" spans="1:15" ht="15.6" x14ac:dyDescent="0.3">
      <c r="A53" s="3" t="s">
        <v>186</v>
      </c>
      <c r="B53" s="3" t="s">
        <v>1259</v>
      </c>
      <c r="C53" s="3" t="s">
        <v>26</v>
      </c>
      <c r="D53" s="3" t="s">
        <v>29</v>
      </c>
      <c r="E53" s="3" t="s">
        <v>26</v>
      </c>
      <c r="F53" s="3" t="s">
        <v>408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5"/>
      <c r="O53" s="1"/>
    </row>
    <row r="54" spans="1:15" ht="15.6" x14ac:dyDescent="0.3">
      <c r="A54" s="3" t="s">
        <v>187</v>
      </c>
      <c r="B54" s="3" t="s">
        <v>1260</v>
      </c>
      <c r="C54" s="3" t="s">
        <v>26</v>
      </c>
      <c r="D54" s="3" t="s">
        <v>29</v>
      </c>
      <c r="E54" s="3" t="s">
        <v>26</v>
      </c>
      <c r="F54" s="3" t="s">
        <v>409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4"/>
      <c r="O54" s="1"/>
    </row>
    <row r="55" spans="1:15" ht="15.6" x14ac:dyDescent="0.3">
      <c r="A55" s="3" t="s">
        <v>188</v>
      </c>
      <c r="B55" s="3" t="s">
        <v>1261</v>
      </c>
      <c r="C55" s="3" t="s">
        <v>26</v>
      </c>
      <c r="D55" s="3" t="s">
        <v>29</v>
      </c>
      <c r="E55" s="3" t="s">
        <v>26</v>
      </c>
      <c r="F55" s="3" t="s">
        <v>410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5"/>
      <c r="O55" s="1"/>
    </row>
    <row r="56" spans="1:15" ht="15.6" x14ac:dyDescent="0.3">
      <c r="A56" s="3" t="s">
        <v>189</v>
      </c>
      <c r="B56" s="3" t="s">
        <v>1262</v>
      </c>
      <c r="C56" s="3" t="s">
        <v>26</v>
      </c>
      <c r="D56" s="3" t="s">
        <v>29</v>
      </c>
      <c r="E56" s="3" t="s">
        <v>26</v>
      </c>
      <c r="F56" s="3" t="s">
        <v>411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4"/>
      <c r="O56" s="1"/>
    </row>
    <row r="57" spans="1:15" ht="15.6" x14ac:dyDescent="0.3">
      <c r="A57" s="3" t="s">
        <v>190</v>
      </c>
      <c r="B57" s="3" t="s">
        <v>1263</v>
      </c>
      <c r="C57" s="3" t="s">
        <v>26</v>
      </c>
      <c r="D57" s="3" t="s">
        <v>29</v>
      </c>
      <c r="E57" s="3" t="s">
        <v>26</v>
      </c>
      <c r="F57" s="3" t="s">
        <v>412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5"/>
      <c r="O57" s="1"/>
    </row>
    <row r="58" spans="1:15" ht="15.6" x14ac:dyDescent="0.3">
      <c r="A58" s="3" t="s">
        <v>191</v>
      </c>
      <c r="B58" s="3" t="s">
        <v>1264</v>
      </c>
      <c r="C58" s="3" t="s">
        <v>26</v>
      </c>
      <c r="D58" s="3" t="s">
        <v>29</v>
      </c>
      <c r="E58" s="3" t="s">
        <v>26</v>
      </c>
      <c r="F58" s="3" t="s">
        <v>413</v>
      </c>
      <c r="G58" s="4">
        <v>0.01</v>
      </c>
      <c r="H58" s="3" t="s">
        <v>136</v>
      </c>
      <c r="I58" s="3" t="s">
        <v>32</v>
      </c>
      <c r="J58" s="1" t="s">
        <v>1026</v>
      </c>
      <c r="K58" s="1" t="s">
        <v>1034</v>
      </c>
      <c r="L58" s="1"/>
      <c r="M58" s="1"/>
      <c r="N58" s="24"/>
      <c r="O58" s="1"/>
    </row>
    <row r="59" spans="1:15" ht="15.6" x14ac:dyDescent="0.3">
      <c r="A59" s="3" t="s">
        <v>192</v>
      </c>
      <c r="B59" s="3" t="s">
        <v>1265</v>
      </c>
      <c r="C59" s="3" t="s">
        <v>26</v>
      </c>
      <c r="D59" s="3" t="s">
        <v>29</v>
      </c>
      <c r="E59" s="3" t="s">
        <v>26</v>
      </c>
      <c r="F59" s="3" t="s">
        <v>414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5"/>
      <c r="O59" s="1"/>
    </row>
    <row r="60" spans="1:15" ht="15.6" x14ac:dyDescent="0.3">
      <c r="A60" s="3" t="s">
        <v>474</v>
      </c>
      <c r="B60" s="3" t="s">
        <v>1267</v>
      </c>
      <c r="C60" s="3" t="s">
        <v>26</v>
      </c>
      <c r="D60" s="3" t="s">
        <v>29</v>
      </c>
      <c r="E60" s="3" t="s">
        <v>26</v>
      </c>
      <c r="F60" s="3" t="s">
        <v>415</v>
      </c>
      <c r="G60" s="4">
        <v>0.01</v>
      </c>
      <c r="H60" s="3" t="s">
        <v>136</v>
      </c>
      <c r="I60" s="3" t="s">
        <v>32</v>
      </c>
      <c r="J60" s="1" t="s">
        <v>1026</v>
      </c>
      <c r="K60" s="1" t="s">
        <v>1035</v>
      </c>
      <c r="L60" s="1"/>
      <c r="M60" s="1"/>
      <c r="N60" s="24"/>
      <c r="O60" s="1"/>
    </row>
    <row r="61" spans="1:15" ht="15.6" x14ac:dyDescent="0.3">
      <c r="A61" s="3" t="s">
        <v>475</v>
      </c>
      <c r="B61" s="3" t="s">
        <v>1266</v>
      </c>
      <c r="C61" s="3" t="s">
        <v>26</v>
      </c>
      <c r="D61" s="3" t="s">
        <v>29</v>
      </c>
      <c r="E61" s="3" t="s">
        <v>26</v>
      </c>
      <c r="F61" s="3" t="s">
        <v>416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5"/>
      <c r="O61" s="1"/>
    </row>
    <row r="62" spans="1:15" ht="15.6" x14ac:dyDescent="0.3">
      <c r="A62" s="3" t="s">
        <v>476</v>
      </c>
      <c r="B62" s="3" t="s">
        <v>1268</v>
      </c>
      <c r="C62" s="3" t="s">
        <v>26</v>
      </c>
      <c r="D62" s="3" t="s">
        <v>29</v>
      </c>
      <c r="E62" s="3" t="s">
        <v>26</v>
      </c>
      <c r="F62" s="3" t="s">
        <v>417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4"/>
      <c r="O62" s="1"/>
    </row>
    <row r="63" spans="1:15" ht="15.6" x14ac:dyDescent="0.3">
      <c r="A63" s="3" t="s">
        <v>477</v>
      </c>
      <c r="B63" s="3" t="s">
        <v>1269</v>
      </c>
      <c r="C63" s="3" t="s">
        <v>26</v>
      </c>
      <c r="D63" s="3" t="s">
        <v>29</v>
      </c>
      <c r="E63" s="3" t="s">
        <v>26</v>
      </c>
      <c r="F63" s="3" t="s">
        <v>418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5"/>
      <c r="O63" s="1"/>
    </row>
    <row r="64" spans="1:15" ht="15.6" x14ac:dyDescent="0.3">
      <c r="A64" s="3" t="s">
        <v>478</v>
      </c>
      <c r="B64" s="3" t="s">
        <v>1270</v>
      </c>
      <c r="C64" s="3" t="s">
        <v>26</v>
      </c>
      <c r="D64" s="3" t="s">
        <v>29</v>
      </c>
      <c r="E64" s="3" t="s">
        <v>26</v>
      </c>
      <c r="F64" s="3" t="s">
        <v>419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4"/>
      <c r="O64" s="1"/>
    </row>
    <row r="65" spans="1:15" ht="15.6" x14ac:dyDescent="0.3">
      <c r="A65" s="3" t="s">
        <v>479</v>
      </c>
      <c r="B65" s="3" t="s">
        <v>1271</v>
      </c>
      <c r="C65" s="3" t="s">
        <v>26</v>
      </c>
      <c r="D65" s="3" t="s">
        <v>29</v>
      </c>
      <c r="E65" s="3" t="s">
        <v>26</v>
      </c>
      <c r="F65" s="3" t="s">
        <v>420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5"/>
      <c r="O65" s="1"/>
    </row>
    <row r="66" spans="1:15" ht="15.6" x14ac:dyDescent="0.3">
      <c r="A66" s="3" t="s">
        <v>480</v>
      </c>
      <c r="B66" s="3" t="s">
        <v>1272</v>
      </c>
      <c r="C66" s="3" t="s">
        <v>26</v>
      </c>
      <c r="D66" s="3" t="s">
        <v>29</v>
      </c>
      <c r="E66" s="3" t="s">
        <v>26</v>
      </c>
      <c r="F66" s="3" t="s">
        <v>421</v>
      </c>
      <c r="G66" s="4">
        <v>0.01</v>
      </c>
      <c r="H66" s="3" t="s">
        <v>136</v>
      </c>
      <c r="I66" s="3" t="s">
        <v>32</v>
      </c>
      <c r="J66" s="1" t="s">
        <v>1026</v>
      </c>
      <c r="K66" s="1" t="s">
        <v>1036</v>
      </c>
      <c r="L66" s="1"/>
      <c r="M66" s="1"/>
      <c r="N66" s="24"/>
      <c r="O66" s="1"/>
    </row>
    <row r="67" spans="1:15" ht="15.6" x14ac:dyDescent="0.3">
      <c r="A67" s="3" t="s">
        <v>193</v>
      </c>
      <c r="B67" s="3" t="s">
        <v>1273</v>
      </c>
      <c r="C67" s="3" t="s">
        <v>26</v>
      </c>
      <c r="D67" s="3" t="s">
        <v>29</v>
      </c>
      <c r="E67" s="3" t="s">
        <v>26</v>
      </c>
      <c r="F67" s="3" t="s">
        <v>422</v>
      </c>
      <c r="G67" s="4">
        <v>0.01</v>
      </c>
      <c r="H67" s="3" t="s">
        <v>136</v>
      </c>
      <c r="I67" s="3" t="s">
        <v>32</v>
      </c>
      <c r="J67" s="3" t="s">
        <v>726</v>
      </c>
      <c r="K67" s="1" t="s">
        <v>725</v>
      </c>
      <c r="L67" s="1"/>
      <c r="M67" s="1"/>
      <c r="N67" s="25"/>
      <c r="O67" s="1"/>
    </row>
    <row r="68" spans="1:15" ht="15.6" x14ac:dyDescent="0.3">
      <c r="A68" s="3" t="s">
        <v>194</v>
      </c>
      <c r="B68" s="3" t="s">
        <v>1274</v>
      </c>
      <c r="C68" s="3" t="s">
        <v>26</v>
      </c>
      <c r="D68" s="3" t="s">
        <v>29</v>
      </c>
      <c r="E68" s="3" t="s">
        <v>26</v>
      </c>
      <c r="F68" s="3" t="s">
        <v>423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4"/>
      <c r="O68" s="1"/>
    </row>
    <row r="69" spans="1:15" ht="15.6" x14ac:dyDescent="0.3">
      <c r="A69" s="3" t="s">
        <v>195</v>
      </c>
      <c r="B69" s="3" t="s">
        <v>1275</v>
      </c>
      <c r="C69" s="3" t="s">
        <v>26</v>
      </c>
      <c r="D69" s="3" t="s">
        <v>29</v>
      </c>
      <c r="E69" s="3" t="s">
        <v>26</v>
      </c>
      <c r="F69" s="3" t="s">
        <v>424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5"/>
      <c r="O69" s="1"/>
    </row>
    <row r="70" spans="1:15" ht="15.6" x14ac:dyDescent="0.3">
      <c r="A70" s="3" t="s">
        <v>196</v>
      </c>
      <c r="B70" s="3" t="s">
        <v>1276</v>
      </c>
      <c r="C70" s="3" t="s">
        <v>26</v>
      </c>
      <c r="D70" s="3" t="s">
        <v>29</v>
      </c>
      <c r="E70" s="3" t="s">
        <v>26</v>
      </c>
      <c r="F70" s="3" t="s">
        <v>425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4"/>
      <c r="O70" s="1"/>
    </row>
    <row r="71" spans="1:15" ht="15.6" x14ac:dyDescent="0.3">
      <c r="A71" s="3" t="s">
        <v>197</v>
      </c>
      <c r="B71" s="3" t="s">
        <v>1277</v>
      </c>
      <c r="C71" s="3" t="s">
        <v>26</v>
      </c>
      <c r="D71" s="3" t="s">
        <v>29</v>
      </c>
      <c r="E71" s="3" t="s">
        <v>26</v>
      </c>
      <c r="F71" s="3" t="s">
        <v>426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5"/>
      <c r="O71" s="1"/>
    </row>
    <row r="72" spans="1:15" ht="15.6" x14ac:dyDescent="0.3">
      <c r="A72" s="3" t="s">
        <v>515</v>
      </c>
      <c r="B72" s="3" t="s">
        <v>1278</v>
      </c>
      <c r="C72" s="3" t="s">
        <v>26</v>
      </c>
      <c r="D72" s="3" t="s">
        <v>29</v>
      </c>
      <c r="E72" s="3" t="s">
        <v>26</v>
      </c>
      <c r="F72" s="3" t="s">
        <v>522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4"/>
      <c r="O72" s="1"/>
    </row>
    <row r="73" spans="1:15" ht="15.6" x14ac:dyDescent="0.3">
      <c r="A73" s="3" t="s">
        <v>198</v>
      </c>
      <c r="B73" s="3" t="s">
        <v>1279</v>
      </c>
      <c r="C73" s="3" t="s">
        <v>26</v>
      </c>
      <c r="D73" s="3" t="s">
        <v>29</v>
      </c>
      <c r="E73" s="3" t="s">
        <v>26</v>
      </c>
      <c r="F73" s="3" t="s">
        <v>427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5"/>
      <c r="O73" s="1"/>
    </row>
    <row r="74" spans="1:15" ht="15.6" x14ac:dyDescent="0.3">
      <c r="A74" s="3" t="s">
        <v>481</v>
      </c>
      <c r="B74" s="3" t="s">
        <v>1280</v>
      </c>
      <c r="C74" s="3" t="s">
        <v>26</v>
      </c>
      <c r="D74" s="3" t="s">
        <v>29</v>
      </c>
      <c r="E74" s="3" t="s">
        <v>26</v>
      </c>
      <c r="F74" s="3" t="s">
        <v>428</v>
      </c>
      <c r="G74" s="4">
        <v>0.01</v>
      </c>
      <c r="H74" s="3" t="s">
        <v>136</v>
      </c>
      <c r="I74" s="3" t="s">
        <v>32</v>
      </c>
      <c r="J74" s="3" t="s">
        <v>1026</v>
      </c>
      <c r="K74" s="1" t="s">
        <v>1027</v>
      </c>
      <c r="L74" s="1"/>
      <c r="M74" s="1"/>
      <c r="N74" s="24"/>
      <c r="O74" s="1"/>
    </row>
    <row r="75" spans="1:15" ht="15.6" x14ac:dyDescent="0.3">
      <c r="A75" s="3" t="s">
        <v>199</v>
      </c>
      <c r="B75" s="3" t="s">
        <v>1281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5"/>
      <c r="O75" s="1"/>
    </row>
    <row r="76" spans="1:15" ht="15.6" x14ac:dyDescent="0.3">
      <c r="A76" s="3" t="s">
        <v>201</v>
      </c>
      <c r="B76" s="3" t="s">
        <v>1282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">
      <c r="A77" s="3" t="s">
        <v>1105</v>
      </c>
      <c r="B77" s="3" t="s">
        <v>1283</v>
      </c>
      <c r="C77" s="3" t="s">
        <v>26</v>
      </c>
      <c r="D77" s="3" t="s">
        <v>29</v>
      </c>
      <c r="E77" s="3" t="s">
        <v>26</v>
      </c>
      <c r="F77" s="3" t="s">
        <v>1106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5"/>
      <c r="O77" s="1"/>
    </row>
    <row r="78" spans="1:15" ht="15.6" x14ac:dyDescent="0.3">
      <c r="A78" s="3" t="s">
        <v>203</v>
      </c>
      <c r="B78" s="3" t="s">
        <v>1284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4"/>
      <c r="O78" s="1"/>
    </row>
    <row r="79" spans="1:15" ht="15.6" x14ac:dyDescent="0.3">
      <c r="A79" s="3" t="s">
        <v>205</v>
      </c>
      <c r="B79" s="3" t="s">
        <v>1285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5"/>
      <c r="O79" s="1"/>
    </row>
    <row r="80" spans="1:15" ht="15.6" x14ac:dyDescent="0.3">
      <c r="A80" s="3" t="s">
        <v>207</v>
      </c>
      <c r="B80" s="3" t="s">
        <v>1286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726</v>
      </c>
      <c r="K80" s="1" t="s">
        <v>725</v>
      </c>
      <c r="L80" s="1"/>
      <c r="M80" s="1"/>
      <c r="N80" s="24"/>
      <c r="O80" s="1"/>
    </row>
    <row r="81" spans="1:15" ht="15.6" x14ac:dyDescent="0.3">
      <c r="A81" s="3" t="s">
        <v>209</v>
      </c>
      <c r="B81" s="3" t="s">
        <v>1287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5"/>
      <c r="O81" s="1"/>
    </row>
    <row r="82" spans="1:15" ht="15.6" x14ac:dyDescent="0.3">
      <c r="A82" s="3" t="s">
        <v>482</v>
      </c>
      <c r="B82" s="3" t="s">
        <v>1288</v>
      </c>
      <c r="C82" s="3" t="s">
        <v>26</v>
      </c>
      <c r="D82" s="3" t="s">
        <v>29</v>
      </c>
      <c r="E82" s="3" t="s">
        <v>26</v>
      </c>
      <c r="F82" s="3" t="s">
        <v>429</v>
      </c>
      <c r="G82" s="4">
        <v>0.01</v>
      </c>
      <c r="H82" s="3" t="s">
        <v>136</v>
      </c>
      <c r="I82" s="3" t="s">
        <v>32</v>
      </c>
      <c r="J82" s="1" t="s">
        <v>1026</v>
      </c>
      <c r="K82" s="1" t="s">
        <v>1028</v>
      </c>
      <c r="L82" s="1"/>
      <c r="M82" s="1"/>
      <c r="N82" s="24"/>
      <c r="O82" s="1"/>
    </row>
    <row r="83" spans="1:15" ht="15.6" x14ac:dyDescent="0.3">
      <c r="A83" s="3" t="s">
        <v>211</v>
      </c>
      <c r="B83" s="3" t="s">
        <v>1289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5"/>
      <c r="O83" s="1"/>
    </row>
    <row r="84" spans="1:15" ht="15.6" x14ac:dyDescent="0.3">
      <c r="A84" s="3" t="s">
        <v>213</v>
      </c>
      <c r="B84" s="3" t="s">
        <v>1290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4"/>
      <c r="O84" s="1"/>
    </row>
    <row r="85" spans="1:15" ht="15.6" x14ac:dyDescent="0.3">
      <c r="A85" s="3" t="s">
        <v>483</v>
      </c>
      <c r="B85" s="3" t="s">
        <v>1291</v>
      </c>
      <c r="C85" s="3" t="s">
        <v>26</v>
      </c>
      <c r="D85" s="3" t="s">
        <v>29</v>
      </c>
      <c r="E85" s="3" t="s">
        <v>26</v>
      </c>
      <c r="F85" s="3" t="s">
        <v>430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5"/>
      <c r="O85" s="1"/>
    </row>
    <row r="86" spans="1:15" ht="15.6" x14ac:dyDescent="0.3">
      <c r="A86" s="3" t="s">
        <v>484</v>
      </c>
      <c r="B86" s="3" t="s">
        <v>1292</v>
      </c>
      <c r="C86" s="3" t="s">
        <v>26</v>
      </c>
      <c r="D86" s="3" t="s">
        <v>29</v>
      </c>
      <c r="E86" s="3" t="s">
        <v>26</v>
      </c>
      <c r="F86" s="3" t="s">
        <v>431</v>
      </c>
      <c r="G86" s="4">
        <v>0.01</v>
      </c>
      <c r="H86" s="3" t="s">
        <v>136</v>
      </c>
      <c r="I86" s="3" t="s">
        <v>32</v>
      </c>
      <c r="J86" s="3" t="s">
        <v>726</v>
      </c>
      <c r="K86" s="1" t="s">
        <v>725</v>
      </c>
      <c r="L86" s="1"/>
      <c r="M86" s="1"/>
      <c r="N86" s="24"/>
      <c r="O86" s="1"/>
    </row>
    <row r="87" spans="1:15" ht="15.6" x14ac:dyDescent="0.3">
      <c r="A87" s="3" t="s">
        <v>485</v>
      </c>
      <c r="B87" s="3" t="s">
        <v>1293</v>
      </c>
      <c r="C87" s="3" t="s">
        <v>26</v>
      </c>
      <c r="D87" s="3" t="s">
        <v>29</v>
      </c>
      <c r="E87" s="3" t="s">
        <v>26</v>
      </c>
      <c r="F87" s="3" t="s">
        <v>432</v>
      </c>
      <c r="G87" s="4">
        <v>0.01</v>
      </c>
      <c r="H87" s="3" t="s">
        <v>136</v>
      </c>
      <c r="I87" s="3" t="s">
        <v>32</v>
      </c>
      <c r="J87" s="3" t="s">
        <v>978</v>
      </c>
      <c r="K87" s="1" t="s">
        <v>979</v>
      </c>
      <c r="L87" s="1"/>
      <c r="M87" s="1"/>
      <c r="N87" s="25"/>
      <c r="O87" s="1"/>
    </row>
    <row r="88" spans="1:15" ht="15.6" x14ac:dyDescent="0.3">
      <c r="A88" s="3" t="s">
        <v>486</v>
      </c>
      <c r="B88" s="3" t="s">
        <v>1294</v>
      </c>
      <c r="C88" s="3" t="s">
        <v>26</v>
      </c>
      <c r="D88" s="3" t="s">
        <v>29</v>
      </c>
      <c r="E88" s="3" t="s">
        <v>26</v>
      </c>
      <c r="F88" s="3" t="s">
        <v>433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4"/>
      <c r="O88" s="1"/>
    </row>
    <row r="89" spans="1:15" ht="15.6" x14ac:dyDescent="0.3">
      <c r="A89" s="3" t="s">
        <v>487</v>
      </c>
      <c r="B89" s="3" t="s">
        <v>1295</v>
      </c>
      <c r="C89" s="3" t="s">
        <v>26</v>
      </c>
      <c r="D89" s="3" t="s">
        <v>29</v>
      </c>
      <c r="E89" s="3" t="s">
        <v>26</v>
      </c>
      <c r="F89" s="3" t="s">
        <v>434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5"/>
      <c r="O89" s="1"/>
    </row>
    <row r="90" spans="1:15" ht="15.6" x14ac:dyDescent="0.3">
      <c r="A90" s="3" t="s">
        <v>488</v>
      </c>
      <c r="B90" s="3" t="s">
        <v>1296</v>
      </c>
      <c r="C90" s="3" t="s">
        <v>26</v>
      </c>
      <c r="D90" s="3" t="s">
        <v>29</v>
      </c>
      <c r="E90" s="3" t="s">
        <v>26</v>
      </c>
      <c r="F90" s="3" t="s">
        <v>435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4"/>
      <c r="O90" s="1"/>
    </row>
    <row r="91" spans="1:15" ht="15.6" x14ac:dyDescent="0.3">
      <c r="A91" s="3" t="s">
        <v>489</v>
      </c>
      <c r="B91" s="3" t="s">
        <v>1297</v>
      </c>
      <c r="C91" s="3" t="s">
        <v>26</v>
      </c>
      <c r="D91" s="3" t="s">
        <v>29</v>
      </c>
      <c r="E91" s="3" t="s">
        <v>26</v>
      </c>
      <c r="F91" s="3" t="s">
        <v>436</v>
      </c>
      <c r="G91" s="4">
        <v>0.01</v>
      </c>
      <c r="H91" s="3" t="s">
        <v>136</v>
      </c>
      <c r="I91" s="3" t="s">
        <v>32</v>
      </c>
      <c r="J91" s="1" t="s">
        <v>1026</v>
      </c>
      <c r="K91" s="1" t="s">
        <v>1029</v>
      </c>
      <c r="L91" s="1"/>
      <c r="M91" s="1"/>
      <c r="N91" s="25"/>
      <c r="O91" s="1"/>
    </row>
    <row r="92" spans="1:15" ht="15.6" x14ac:dyDescent="0.3">
      <c r="A92" s="3" t="s">
        <v>215</v>
      </c>
      <c r="B92" s="3" t="s">
        <v>1298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4"/>
      <c r="O92" s="1"/>
    </row>
    <row r="93" spans="1:15" ht="15.6" x14ac:dyDescent="0.3">
      <c r="A93" s="3" t="s">
        <v>217</v>
      </c>
      <c r="B93" s="3" t="s">
        <v>1299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5"/>
      <c r="O93" s="1"/>
    </row>
    <row r="94" spans="1:15" ht="15.6" x14ac:dyDescent="0.3">
      <c r="A94" s="3" t="s">
        <v>219</v>
      </c>
      <c r="B94" s="3" t="s">
        <v>1300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4"/>
      <c r="O94" s="1"/>
    </row>
    <row r="95" spans="1:15" ht="15.6" x14ac:dyDescent="0.3">
      <c r="A95" s="3" t="s">
        <v>221</v>
      </c>
      <c r="B95" s="3" t="s">
        <v>1301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5"/>
      <c r="O95" s="1"/>
    </row>
    <row r="96" spans="1:15" ht="15.6" x14ac:dyDescent="0.3">
      <c r="A96" s="3" t="s">
        <v>223</v>
      </c>
      <c r="B96" s="3" t="s">
        <v>1302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4"/>
      <c r="O96" s="1"/>
    </row>
    <row r="97" spans="1:15" ht="15.6" x14ac:dyDescent="0.3">
      <c r="A97" s="3" t="s">
        <v>516</v>
      </c>
      <c r="B97" s="3" t="s">
        <v>1303</v>
      </c>
      <c r="C97" s="3" t="s">
        <v>26</v>
      </c>
      <c r="D97" s="3" t="s">
        <v>29</v>
      </c>
      <c r="E97" s="3" t="s">
        <v>26</v>
      </c>
      <c r="F97" s="3" t="s">
        <v>523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5"/>
      <c r="O97" s="1"/>
    </row>
    <row r="98" spans="1:15" ht="15.6" x14ac:dyDescent="0.3">
      <c r="A98" s="3" t="s">
        <v>225</v>
      </c>
      <c r="B98" s="3" t="s">
        <v>1304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">
      <c r="A99" s="3" t="s">
        <v>227</v>
      </c>
      <c r="B99" s="3" t="s">
        <v>1305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976</v>
      </c>
      <c r="K99" s="1" t="s">
        <v>977</v>
      </c>
      <c r="L99" s="1" t="s">
        <v>1026</v>
      </c>
      <c r="M99" s="1" t="s">
        <v>1030</v>
      </c>
      <c r="N99" s="25"/>
      <c r="O99" s="1"/>
    </row>
    <row r="100" spans="1:15" ht="15" customHeight="1" x14ac:dyDescent="0.3">
      <c r="A100" s="3" t="s">
        <v>1103</v>
      </c>
      <c r="B100" s="3" t="s">
        <v>1306</v>
      </c>
      <c r="C100" s="3" t="s">
        <v>26</v>
      </c>
      <c r="D100" s="3" t="s">
        <v>29</v>
      </c>
      <c r="E100" s="3" t="s">
        <v>26</v>
      </c>
      <c r="F100" s="3" t="s">
        <v>1104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6" x14ac:dyDescent="0.3">
      <c r="A101" s="3" t="s">
        <v>229</v>
      </c>
      <c r="B101" s="3" t="s">
        <v>1307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6" x14ac:dyDescent="0.3">
      <c r="A102" s="3" t="s">
        <v>490</v>
      </c>
      <c r="B102" s="3" t="s">
        <v>1308</v>
      </c>
      <c r="C102" s="3" t="s">
        <v>26</v>
      </c>
      <c r="D102" s="3" t="s">
        <v>29</v>
      </c>
      <c r="E102" s="3" t="s">
        <v>26</v>
      </c>
      <c r="F102" s="3" t="s">
        <v>437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">
      <c r="A103" s="3" t="s">
        <v>1107</v>
      </c>
      <c r="B103" s="3" t="s">
        <v>1309</v>
      </c>
      <c r="C103" s="3" t="s">
        <v>26</v>
      </c>
      <c r="D103" s="3" t="s">
        <v>29</v>
      </c>
      <c r="E103" s="3" t="s">
        <v>26</v>
      </c>
      <c r="F103" s="3" t="s">
        <v>1108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6" x14ac:dyDescent="0.3">
      <c r="A104" s="3" t="s">
        <v>231</v>
      </c>
      <c r="B104" s="3" t="s">
        <v>1310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6" x14ac:dyDescent="0.3">
      <c r="A105" s="3" t="s">
        <v>233</v>
      </c>
      <c r="B105" s="3" t="s">
        <v>1311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6" x14ac:dyDescent="0.3">
      <c r="A106" s="3" t="s">
        <v>235</v>
      </c>
      <c r="B106" s="3" t="s">
        <v>1312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6" x14ac:dyDescent="0.3">
      <c r="A107" s="3" t="s">
        <v>237</v>
      </c>
      <c r="B107" s="3" t="s">
        <v>1313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6" x14ac:dyDescent="0.3">
      <c r="A108" s="3" t="s">
        <v>239</v>
      </c>
      <c r="B108" s="3" t="s">
        <v>1314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1026</v>
      </c>
      <c r="K108" s="1" t="s">
        <v>1031</v>
      </c>
      <c r="L108" s="1"/>
      <c r="M108" s="1"/>
      <c r="N108" s="24"/>
      <c r="O108" s="1"/>
    </row>
    <row r="109" spans="1:15" ht="15.6" x14ac:dyDescent="0.3">
      <c r="A109" s="3" t="s">
        <v>241</v>
      </c>
      <c r="B109" s="3" t="s">
        <v>1315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1026</v>
      </c>
      <c r="K109" s="1" t="s">
        <v>1032</v>
      </c>
      <c r="L109" s="1"/>
      <c r="M109" s="1"/>
      <c r="N109" s="25"/>
      <c r="O109" s="1"/>
    </row>
    <row r="110" spans="1:15" ht="15.6" x14ac:dyDescent="0.3">
      <c r="A110" s="3" t="s">
        <v>243</v>
      </c>
      <c r="B110" s="3" t="s">
        <v>1316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6" x14ac:dyDescent="0.3">
      <c r="A111" s="3" t="s">
        <v>491</v>
      </c>
      <c r="B111" s="3" t="s">
        <v>1317</v>
      </c>
      <c r="C111" s="3" t="s">
        <v>26</v>
      </c>
      <c r="D111" s="3" t="s">
        <v>29</v>
      </c>
      <c r="E111" s="3" t="s">
        <v>26</v>
      </c>
      <c r="F111" s="3" t="s">
        <v>438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6" x14ac:dyDescent="0.3">
      <c r="A112" s="3" t="s">
        <v>492</v>
      </c>
      <c r="B112" s="3" t="s">
        <v>1318</v>
      </c>
      <c r="C112" s="3" t="s">
        <v>26</v>
      </c>
      <c r="D112" s="3" t="s">
        <v>29</v>
      </c>
      <c r="E112" s="3" t="s">
        <v>26</v>
      </c>
      <c r="F112" s="3" t="s">
        <v>439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6" x14ac:dyDescent="0.3">
      <c r="A113" s="3" t="s">
        <v>682</v>
      </c>
      <c r="B113" s="3" t="s">
        <v>1319</v>
      </c>
      <c r="C113" s="3" t="s">
        <v>26</v>
      </c>
      <c r="D113" s="3" t="s">
        <v>29</v>
      </c>
      <c r="E113" s="3" t="s">
        <v>26</v>
      </c>
      <c r="F113" s="1" t="s">
        <v>683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6" x14ac:dyDescent="0.3">
      <c r="A114" s="3" t="s">
        <v>493</v>
      </c>
      <c r="B114" s="3" t="s">
        <v>1320</v>
      </c>
      <c r="C114" s="3" t="s">
        <v>26</v>
      </c>
      <c r="D114" s="3" t="s">
        <v>29</v>
      </c>
      <c r="E114" s="3" t="s">
        <v>26</v>
      </c>
      <c r="F114" s="3" t="s">
        <v>440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6" x14ac:dyDescent="0.3">
      <c r="A115" s="3" t="s">
        <v>494</v>
      </c>
      <c r="B115" s="3" t="s">
        <v>1321</v>
      </c>
      <c r="C115" s="3" t="s">
        <v>26</v>
      </c>
      <c r="D115" s="3" t="s">
        <v>29</v>
      </c>
      <c r="E115" s="3" t="s">
        <v>26</v>
      </c>
      <c r="F115" s="3" t="s">
        <v>441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6" x14ac:dyDescent="0.3">
      <c r="A116" s="3" t="s">
        <v>495</v>
      </c>
      <c r="B116" s="3" t="s">
        <v>1322</v>
      </c>
      <c r="C116" s="3" t="s">
        <v>26</v>
      </c>
      <c r="D116" s="3" t="s">
        <v>29</v>
      </c>
      <c r="E116" s="3" t="s">
        <v>26</v>
      </c>
      <c r="F116" s="3" t="s">
        <v>442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6" x14ac:dyDescent="0.3">
      <c r="A117" s="3" t="s">
        <v>496</v>
      </c>
      <c r="B117" s="3" t="s">
        <v>1323</v>
      </c>
      <c r="C117" s="3" t="s">
        <v>26</v>
      </c>
      <c r="D117" s="3" t="s">
        <v>29</v>
      </c>
      <c r="E117" s="3" t="s">
        <v>26</v>
      </c>
      <c r="F117" s="3" t="s">
        <v>443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6" x14ac:dyDescent="0.3">
      <c r="A118" s="3" t="s">
        <v>497</v>
      </c>
      <c r="B118" s="3" t="s">
        <v>1324</v>
      </c>
      <c r="C118" s="3" t="s">
        <v>26</v>
      </c>
      <c r="D118" s="3" t="s">
        <v>29</v>
      </c>
      <c r="E118" s="3" t="s">
        <v>26</v>
      </c>
      <c r="F118" s="3" t="s">
        <v>444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6" x14ac:dyDescent="0.3">
      <c r="A119" s="3" t="s">
        <v>245</v>
      </c>
      <c r="B119" s="3" t="s">
        <v>1325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6" x14ac:dyDescent="0.3">
      <c r="A120" s="3" t="s">
        <v>247</v>
      </c>
      <c r="B120" s="3" t="s">
        <v>1326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6" x14ac:dyDescent="0.3">
      <c r="A121" s="3" t="s">
        <v>249</v>
      </c>
      <c r="B121" s="3" t="s">
        <v>1327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6" x14ac:dyDescent="0.3">
      <c r="A122" s="3" t="s">
        <v>251</v>
      </c>
      <c r="B122" s="3" t="s">
        <v>1328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6" x14ac:dyDescent="0.3">
      <c r="A123" s="3" t="s">
        <v>253</v>
      </c>
      <c r="B123" s="3" t="s">
        <v>1329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6" x14ac:dyDescent="0.3">
      <c r="A124" s="3" t="s">
        <v>517</v>
      </c>
      <c r="B124" s="3" t="s">
        <v>1330</v>
      </c>
      <c r="C124" s="3" t="s">
        <v>26</v>
      </c>
      <c r="D124" s="3" t="s">
        <v>29</v>
      </c>
      <c r="E124" s="3" t="s">
        <v>26</v>
      </c>
      <c r="F124" s="3" t="s">
        <v>524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6" x14ac:dyDescent="0.3">
      <c r="A125" s="3" t="s">
        <v>255</v>
      </c>
      <c r="B125" s="3" t="s">
        <v>1331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6" x14ac:dyDescent="0.3">
      <c r="A126" s="3" t="s">
        <v>257</v>
      </c>
      <c r="B126" s="3" t="s">
        <v>1332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1026</v>
      </c>
      <c r="K126" s="1" t="s">
        <v>1033</v>
      </c>
      <c r="L126" s="1"/>
      <c r="M126" s="1"/>
      <c r="N126" s="24"/>
      <c r="O126" s="1"/>
    </row>
    <row r="127" spans="1:15" ht="15.6" x14ac:dyDescent="0.3">
      <c r="A127" s="3" t="s">
        <v>259</v>
      </c>
      <c r="B127" s="3" t="s">
        <v>1333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6" x14ac:dyDescent="0.3">
      <c r="A128" s="3" t="s">
        <v>261</v>
      </c>
      <c r="B128" s="3" t="s">
        <v>1334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6" x14ac:dyDescent="0.3">
      <c r="A129" s="3" t="s">
        <v>263</v>
      </c>
      <c r="B129" s="3" t="s">
        <v>1335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6" x14ac:dyDescent="0.3">
      <c r="A130" s="3" t="s">
        <v>265</v>
      </c>
      <c r="B130" s="3" t="s">
        <v>1336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6" x14ac:dyDescent="0.3">
      <c r="A131" s="3" t="s">
        <v>267</v>
      </c>
      <c r="B131" s="3" t="s">
        <v>1337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6" x14ac:dyDescent="0.3">
      <c r="A132" s="3" t="s">
        <v>269</v>
      </c>
      <c r="B132" s="3" t="s">
        <v>1338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6" x14ac:dyDescent="0.3">
      <c r="A133" s="3" t="s">
        <v>271</v>
      </c>
      <c r="B133" s="3" t="s">
        <v>1339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6" x14ac:dyDescent="0.3">
      <c r="A134" s="3" t="s">
        <v>273</v>
      </c>
      <c r="B134" s="3" t="s">
        <v>1340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6" x14ac:dyDescent="0.3">
      <c r="A135" s="3" t="s">
        <v>275</v>
      </c>
      <c r="B135" s="3" t="s">
        <v>1341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6" x14ac:dyDescent="0.3">
      <c r="A136" s="3" t="s">
        <v>498</v>
      </c>
      <c r="B136" s="3" t="s">
        <v>1342</v>
      </c>
      <c r="C136" s="3" t="s">
        <v>26</v>
      </c>
      <c r="D136" s="3" t="s">
        <v>29</v>
      </c>
      <c r="E136" s="3" t="s">
        <v>26</v>
      </c>
      <c r="F136" s="3" t="s">
        <v>445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6" x14ac:dyDescent="0.3">
      <c r="A137" s="3" t="s">
        <v>499</v>
      </c>
      <c r="B137" s="3" t="s">
        <v>1343</v>
      </c>
      <c r="C137" s="3" t="s">
        <v>26</v>
      </c>
      <c r="D137" s="3" t="s">
        <v>29</v>
      </c>
      <c r="E137" s="3" t="s">
        <v>26</v>
      </c>
      <c r="F137" s="3" t="s">
        <v>446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6" x14ac:dyDescent="0.3">
      <c r="A138" s="3" t="s">
        <v>500</v>
      </c>
      <c r="B138" s="3" t="s">
        <v>1344</v>
      </c>
      <c r="C138" s="3" t="s">
        <v>26</v>
      </c>
      <c r="D138" s="3" t="s">
        <v>29</v>
      </c>
      <c r="E138" s="3" t="s">
        <v>26</v>
      </c>
      <c r="F138" s="3" t="s">
        <v>447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6" x14ac:dyDescent="0.3">
      <c r="A139" s="3" t="s">
        <v>501</v>
      </c>
      <c r="B139" s="3" t="s">
        <v>1345</v>
      </c>
      <c r="C139" s="3" t="s">
        <v>26</v>
      </c>
      <c r="D139" s="3" t="s">
        <v>29</v>
      </c>
      <c r="E139" s="3" t="s">
        <v>26</v>
      </c>
      <c r="F139" s="3" t="s">
        <v>448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6" x14ac:dyDescent="0.3">
      <c r="A140" s="3" t="s">
        <v>502</v>
      </c>
      <c r="B140" s="3" t="s">
        <v>1346</v>
      </c>
      <c r="C140" s="3" t="s">
        <v>26</v>
      </c>
      <c r="D140" s="3" t="s">
        <v>29</v>
      </c>
      <c r="E140" s="3" t="s">
        <v>26</v>
      </c>
      <c r="F140" s="3" t="s">
        <v>449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6" x14ac:dyDescent="0.3">
      <c r="A141" s="3" t="s">
        <v>503</v>
      </c>
      <c r="B141" s="3" t="s">
        <v>1347</v>
      </c>
      <c r="C141" s="3" t="s">
        <v>26</v>
      </c>
      <c r="D141" s="3" t="s">
        <v>29</v>
      </c>
      <c r="E141" s="3" t="s">
        <v>26</v>
      </c>
      <c r="F141" s="3" t="s">
        <v>450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6" x14ac:dyDescent="0.3">
      <c r="A142" s="3" t="s">
        <v>504</v>
      </c>
      <c r="B142" s="3" t="s">
        <v>1348</v>
      </c>
      <c r="C142" s="3" t="s">
        <v>26</v>
      </c>
      <c r="D142" s="3" t="s">
        <v>29</v>
      </c>
      <c r="E142" s="3" t="s">
        <v>26</v>
      </c>
      <c r="F142" s="3" t="s">
        <v>451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6" x14ac:dyDescent="0.3">
      <c r="A143" s="3" t="s">
        <v>277</v>
      </c>
      <c r="B143" s="3" t="s">
        <v>1349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6" x14ac:dyDescent="0.3">
      <c r="A144" s="3" t="s">
        <v>279</v>
      </c>
      <c r="B144" s="3" t="s">
        <v>1350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6" x14ac:dyDescent="0.3">
      <c r="A145" s="3" t="s">
        <v>281</v>
      </c>
      <c r="B145" s="3" t="s">
        <v>1351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6" x14ac:dyDescent="0.3">
      <c r="A146" s="3" t="s">
        <v>283</v>
      </c>
      <c r="B146" s="3" t="s">
        <v>1352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6" x14ac:dyDescent="0.3">
      <c r="A147" s="3" t="s">
        <v>285</v>
      </c>
      <c r="B147" s="3" t="s">
        <v>1353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6" x14ac:dyDescent="0.3">
      <c r="A148" s="3" t="s">
        <v>518</v>
      </c>
      <c r="B148" s="3" t="s">
        <v>1354</v>
      </c>
      <c r="C148" s="3" t="s">
        <v>26</v>
      </c>
      <c r="D148" s="3" t="s">
        <v>29</v>
      </c>
      <c r="E148" s="3" t="s">
        <v>26</v>
      </c>
      <c r="F148" s="3" t="s">
        <v>525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6" x14ac:dyDescent="0.3">
      <c r="A149" s="3" t="s">
        <v>287</v>
      </c>
      <c r="B149" s="3" t="s">
        <v>1355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6" x14ac:dyDescent="0.3">
      <c r="A150" s="3" t="s">
        <v>289</v>
      </c>
      <c r="B150" s="3" t="s">
        <v>1356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6" x14ac:dyDescent="0.3">
      <c r="A151" s="3" t="s">
        <v>291</v>
      </c>
      <c r="B151" s="3" t="s">
        <v>1357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6" x14ac:dyDescent="0.3">
      <c r="A152" s="3" t="s">
        <v>293</v>
      </c>
      <c r="B152" s="3" t="s">
        <v>1358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6" x14ac:dyDescent="0.3">
      <c r="A153" s="3" t="s">
        <v>295</v>
      </c>
      <c r="B153" s="3" t="s">
        <v>1359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6" x14ac:dyDescent="0.3">
      <c r="A154" s="3" t="s">
        <v>297</v>
      </c>
      <c r="B154" s="3" t="s">
        <v>1360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6" x14ac:dyDescent="0.3">
      <c r="A155" s="3" t="s">
        <v>299</v>
      </c>
      <c r="B155" s="3" t="s">
        <v>1361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6" x14ac:dyDescent="0.3">
      <c r="A156" s="3" t="s">
        <v>301</v>
      </c>
      <c r="B156" s="3" t="s">
        <v>1362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6" x14ac:dyDescent="0.3">
      <c r="A157" s="3" t="s">
        <v>505</v>
      </c>
      <c r="B157" s="3" t="s">
        <v>1363</v>
      </c>
      <c r="C157" s="3" t="s">
        <v>26</v>
      </c>
      <c r="D157" s="3" t="s">
        <v>29</v>
      </c>
      <c r="E157" s="3" t="s">
        <v>26</v>
      </c>
      <c r="F157" s="3" t="s">
        <v>452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6" x14ac:dyDescent="0.3">
      <c r="A158" s="3" t="s">
        <v>303</v>
      </c>
      <c r="B158" s="3" t="s">
        <v>1364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6" x14ac:dyDescent="0.3">
      <c r="A159" s="3" t="s">
        <v>305</v>
      </c>
      <c r="B159" s="3" t="s">
        <v>1365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6" x14ac:dyDescent="0.3">
      <c r="A160" s="3" t="s">
        <v>506</v>
      </c>
      <c r="B160" s="3" t="s">
        <v>1366</v>
      </c>
      <c r="C160" s="3" t="s">
        <v>26</v>
      </c>
      <c r="D160" s="3" t="s">
        <v>29</v>
      </c>
      <c r="E160" s="3" t="s">
        <v>26</v>
      </c>
      <c r="F160" s="3" t="s">
        <v>453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6" x14ac:dyDescent="0.3">
      <c r="A161" s="3" t="s">
        <v>507</v>
      </c>
      <c r="B161" s="3" t="s">
        <v>1367</v>
      </c>
      <c r="C161" s="3" t="s">
        <v>26</v>
      </c>
      <c r="D161" s="3" t="s">
        <v>29</v>
      </c>
      <c r="E161" s="3" t="s">
        <v>26</v>
      </c>
      <c r="F161" s="3" t="s">
        <v>454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6" x14ac:dyDescent="0.3">
      <c r="A162" s="3" t="s">
        <v>508</v>
      </c>
      <c r="B162" s="3" t="s">
        <v>1368</v>
      </c>
      <c r="C162" s="3" t="s">
        <v>26</v>
      </c>
      <c r="D162" s="3" t="s">
        <v>29</v>
      </c>
      <c r="E162" s="3" t="s">
        <v>26</v>
      </c>
      <c r="F162" s="3" t="s">
        <v>455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6" x14ac:dyDescent="0.3">
      <c r="A163" s="3" t="s">
        <v>509</v>
      </c>
      <c r="B163" s="3" t="s">
        <v>1369</v>
      </c>
      <c r="C163" s="3" t="s">
        <v>26</v>
      </c>
      <c r="D163" s="3" t="s">
        <v>29</v>
      </c>
      <c r="E163" s="3" t="s">
        <v>26</v>
      </c>
      <c r="F163" s="3" t="s">
        <v>456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6" x14ac:dyDescent="0.3">
      <c r="A164" s="3" t="s">
        <v>510</v>
      </c>
      <c r="B164" s="3" t="s">
        <v>1370</v>
      </c>
      <c r="C164" s="3" t="s">
        <v>26</v>
      </c>
      <c r="D164" s="3" t="s">
        <v>29</v>
      </c>
      <c r="E164" s="3" t="s">
        <v>26</v>
      </c>
      <c r="F164" s="3" t="s">
        <v>457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6" x14ac:dyDescent="0.3">
      <c r="A165" s="3" t="s">
        <v>511</v>
      </c>
      <c r="B165" s="3" t="s">
        <v>1371</v>
      </c>
      <c r="C165" s="3" t="s">
        <v>26</v>
      </c>
      <c r="D165" s="3" t="s">
        <v>29</v>
      </c>
      <c r="E165" s="3" t="s">
        <v>26</v>
      </c>
      <c r="F165" s="3" t="s">
        <v>458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6" x14ac:dyDescent="0.3">
      <c r="A166" s="3" t="s">
        <v>512</v>
      </c>
      <c r="B166" s="3" t="s">
        <v>1372</v>
      </c>
      <c r="C166" s="3" t="s">
        <v>26</v>
      </c>
      <c r="D166" s="3" t="s">
        <v>29</v>
      </c>
      <c r="E166" s="3" t="s">
        <v>26</v>
      </c>
      <c r="F166" s="3" t="s">
        <v>459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6" x14ac:dyDescent="0.3">
      <c r="A167" s="3" t="s">
        <v>307</v>
      </c>
      <c r="B167" s="3" t="s">
        <v>1373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6" x14ac:dyDescent="0.3">
      <c r="A168" s="3" t="s">
        <v>309</v>
      </c>
      <c r="B168" s="3" t="s">
        <v>1374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6" x14ac:dyDescent="0.3">
      <c r="A169" s="3" t="s">
        <v>311</v>
      </c>
      <c r="B169" s="3" t="s">
        <v>1375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6" x14ac:dyDescent="0.3">
      <c r="A170" s="3" t="s">
        <v>313</v>
      </c>
      <c r="B170" s="3" t="s">
        <v>1376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6" x14ac:dyDescent="0.3">
      <c r="A171" s="3" t="s">
        <v>315</v>
      </c>
      <c r="B171" s="3" t="s">
        <v>1377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6" x14ac:dyDescent="0.3">
      <c r="A172" s="3" t="s">
        <v>519</v>
      </c>
      <c r="B172" s="3" t="s">
        <v>1378</v>
      </c>
      <c r="C172" s="3" t="s">
        <v>26</v>
      </c>
      <c r="D172" s="3" t="s">
        <v>29</v>
      </c>
      <c r="E172" s="3" t="s">
        <v>26</v>
      </c>
      <c r="F172" s="3" t="s">
        <v>526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6" x14ac:dyDescent="0.3">
      <c r="A173" s="3" t="s">
        <v>317</v>
      </c>
      <c r="B173" s="3" t="s">
        <v>1379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6" x14ac:dyDescent="0.3">
      <c r="A174" s="3" t="s">
        <v>319</v>
      </c>
      <c r="B174" s="3" t="s">
        <v>1380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6" x14ac:dyDescent="0.3">
      <c r="A175" s="1" t="s">
        <v>716</v>
      </c>
      <c r="B175" s="1" t="s">
        <v>717</v>
      </c>
      <c r="C175" s="1" t="s">
        <v>716</v>
      </c>
      <c r="D175" s="3" t="s">
        <v>722</v>
      </c>
      <c r="E175" s="1" t="s">
        <v>721</v>
      </c>
      <c r="F175" s="1" t="s">
        <v>719</v>
      </c>
      <c r="G175" s="13">
        <v>0.5</v>
      </c>
      <c r="H175" s="3" t="s">
        <v>718</v>
      </c>
      <c r="I175" s="1" t="s">
        <v>720</v>
      </c>
      <c r="J175" s="1"/>
      <c r="K175" s="1"/>
      <c r="L175" s="1"/>
      <c r="M175" s="1"/>
      <c r="N175" s="25"/>
      <c r="O175" s="1" t="s">
        <v>1439</v>
      </c>
    </row>
    <row r="176" spans="1:15" ht="15.6" x14ac:dyDescent="0.3">
      <c r="A176" s="14" t="s">
        <v>785</v>
      </c>
      <c r="B176" s="1" t="s">
        <v>786</v>
      </c>
      <c r="C176" s="1" t="s">
        <v>785</v>
      </c>
      <c r="D176" s="3" t="s">
        <v>722</v>
      </c>
      <c r="E176" s="1" t="s">
        <v>721</v>
      </c>
      <c r="F176" s="1">
        <v>100</v>
      </c>
      <c r="G176" s="13">
        <v>0.5</v>
      </c>
      <c r="H176" s="3" t="s">
        <v>718</v>
      </c>
      <c r="I176" s="1" t="s">
        <v>720</v>
      </c>
      <c r="J176" s="1"/>
      <c r="K176" s="1"/>
      <c r="L176" s="1"/>
      <c r="M176" s="1"/>
      <c r="N176" s="1"/>
      <c r="O176" s="1" t="s">
        <v>1439</v>
      </c>
    </row>
    <row r="177" spans="1:15" ht="15.6" x14ac:dyDescent="0.3">
      <c r="A177" s="14" t="s">
        <v>789</v>
      </c>
      <c r="B177" s="1" t="s">
        <v>790</v>
      </c>
      <c r="C177" s="1" t="s">
        <v>789</v>
      </c>
      <c r="D177" s="3" t="s">
        <v>722</v>
      </c>
      <c r="E177" s="1" t="s">
        <v>721</v>
      </c>
      <c r="F177" s="1" t="s">
        <v>791</v>
      </c>
      <c r="G177" s="13">
        <v>0.5</v>
      </c>
      <c r="H177" s="3" t="s">
        <v>718</v>
      </c>
      <c r="I177" s="1" t="s">
        <v>720</v>
      </c>
      <c r="J177" s="1"/>
      <c r="K177" s="1"/>
      <c r="L177" s="1"/>
      <c r="M177" s="1"/>
      <c r="N177" s="1"/>
      <c r="O177" s="1" t="s">
        <v>1439</v>
      </c>
    </row>
    <row r="178" spans="1:15" ht="15.6" x14ac:dyDescent="0.3">
      <c r="A178" s="3" t="s">
        <v>922</v>
      </c>
      <c r="B178" s="3" t="s">
        <v>1382</v>
      </c>
      <c r="C178" s="3" t="s">
        <v>26</v>
      </c>
      <c r="D178" s="3" t="s">
        <v>29</v>
      </c>
      <c r="E178" s="3" t="s">
        <v>26</v>
      </c>
      <c r="F178" s="3" t="s">
        <v>921</v>
      </c>
      <c r="G178" s="4">
        <v>0.01</v>
      </c>
      <c r="H178" s="3" t="s">
        <v>726</v>
      </c>
      <c r="I178" s="3" t="s">
        <v>725</v>
      </c>
      <c r="J178" s="1"/>
      <c r="K178" s="1"/>
      <c r="L178" s="1"/>
      <c r="M178" s="1"/>
      <c r="N178" s="1"/>
      <c r="O178" s="1"/>
    </row>
    <row r="179" spans="1:15" ht="15.6" x14ac:dyDescent="0.3">
      <c r="A179" s="1" t="s">
        <v>1092</v>
      </c>
      <c r="B179" s="1" t="s">
        <v>1383</v>
      </c>
      <c r="C179" s="1" t="s">
        <v>26</v>
      </c>
      <c r="D179" s="3" t="s">
        <v>29</v>
      </c>
      <c r="E179" s="3" t="s">
        <v>26</v>
      </c>
      <c r="F179" s="3" t="s">
        <v>1093</v>
      </c>
      <c r="G179" s="4">
        <v>0.01</v>
      </c>
      <c r="H179" s="3" t="s">
        <v>978</v>
      </c>
      <c r="I179" s="3" t="s">
        <v>979</v>
      </c>
      <c r="J179" s="1"/>
      <c r="K179" s="1"/>
      <c r="L179" s="1"/>
      <c r="M179" s="1"/>
      <c r="N179" s="1"/>
      <c r="O179" s="1"/>
    </row>
    <row r="180" spans="1:15" ht="15.6" x14ac:dyDescent="0.3">
      <c r="A180" s="3" t="s">
        <v>1118</v>
      </c>
      <c r="B180" s="3" t="s">
        <v>1119</v>
      </c>
      <c r="C180" s="3" t="s">
        <v>26</v>
      </c>
      <c r="D180" s="3" t="s">
        <v>29</v>
      </c>
      <c r="E180" s="3" t="s">
        <v>26</v>
      </c>
      <c r="F180" s="3" t="s">
        <v>1120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6" x14ac:dyDescent="0.3">
      <c r="A181" s="1" t="s">
        <v>1147</v>
      </c>
      <c r="B181" s="1" t="s">
        <v>1381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726</v>
      </c>
      <c r="I181" s="1" t="s">
        <v>725</v>
      </c>
      <c r="J181" s="1"/>
      <c r="K181" s="1"/>
      <c r="L181" s="1"/>
      <c r="M181" s="1"/>
      <c r="N181" s="1"/>
      <c r="O181" s="1"/>
    </row>
    <row r="182" spans="1:15" ht="15.6" x14ac:dyDescent="0.3">
      <c r="A182" s="1" t="s">
        <v>1432</v>
      </c>
      <c r="B182" s="1" t="s">
        <v>1433</v>
      </c>
      <c r="C182" s="1" t="s">
        <v>1432</v>
      </c>
      <c r="D182" s="1" t="s">
        <v>29</v>
      </c>
      <c r="E182" s="1" t="s">
        <v>26</v>
      </c>
      <c r="F182" s="1" t="s">
        <v>1434</v>
      </c>
      <c r="G182" s="4">
        <v>0.01</v>
      </c>
      <c r="H182" s="3" t="s">
        <v>136</v>
      </c>
      <c r="I182" s="3" t="s">
        <v>32</v>
      </c>
      <c r="J182" s="1"/>
      <c r="K182" s="1"/>
      <c r="L182" s="1"/>
      <c r="M182" s="1"/>
      <c r="N182" s="1"/>
      <c r="O182" s="1" t="s">
        <v>1439</v>
      </c>
    </row>
    <row r="183" spans="1:15" ht="15.6" x14ac:dyDescent="0.3">
      <c r="A183" s="3" t="s">
        <v>1459</v>
      </c>
      <c r="B183" s="3" t="s">
        <v>1280</v>
      </c>
      <c r="C183" s="3" t="s">
        <v>26</v>
      </c>
      <c r="D183" s="3" t="s">
        <v>29</v>
      </c>
      <c r="E183" s="3" t="s">
        <v>26</v>
      </c>
      <c r="F183" s="3" t="s">
        <v>428</v>
      </c>
      <c r="G183" s="4">
        <v>0.01</v>
      </c>
      <c r="H183" s="3" t="s">
        <v>1460</v>
      </c>
      <c r="I183" s="3" t="s">
        <v>1461</v>
      </c>
      <c r="J183" s="3"/>
      <c r="K183" s="1"/>
      <c r="L183" s="1"/>
      <c r="M183" s="1"/>
      <c r="N183" s="51"/>
      <c r="O183" s="1" t="s">
        <v>1439</v>
      </c>
    </row>
    <row r="184" spans="1:15" ht="15" customHeight="1" x14ac:dyDescent="0.3">
      <c r="A184" s="3" t="s">
        <v>1462</v>
      </c>
      <c r="B184" s="3" t="s">
        <v>1297</v>
      </c>
      <c r="C184" s="3" t="s">
        <v>26</v>
      </c>
      <c r="D184" s="3" t="s">
        <v>29</v>
      </c>
      <c r="E184" s="3" t="s">
        <v>26</v>
      </c>
      <c r="F184" s="3" t="s">
        <v>436</v>
      </c>
      <c r="G184" s="4">
        <v>0.01</v>
      </c>
      <c r="H184" s="3" t="s">
        <v>1460</v>
      </c>
      <c r="I184" s="3" t="s">
        <v>1461</v>
      </c>
      <c r="J184" s="1"/>
      <c r="K184" s="1"/>
      <c r="L184" s="1"/>
      <c r="M184" s="1"/>
      <c r="N184" s="50"/>
      <c r="O184" s="1" t="s">
        <v>1439</v>
      </c>
    </row>
    <row r="185" spans="1:15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L1" sqref="L1"/>
    </sheetView>
  </sheetViews>
  <sheetFormatPr defaultRowHeight="14.4" x14ac:dyDescent="0.3"/>
  <cols>
    <col min="1" max="1" width="14.44140625" customWidth="1"/>
    <col min="2" max="2" width="40.77734375" customWidth="1"/>
    <col min="3" max="3" width="12.77734375" customWidth="1"/>
    <col min="4" max="4" width="28.5546875" customWidth="1"/>
    <col min="5" max="5" width="14.77734375" customWidth="1"/>
    <col min="6" max="6" width="20.77734375" customWidth="1"/>
    <col min="7" max="7" width="14.21875" customWidth="1"/>
    <col min="8" max="8" width="35" customWidth="1"/>
    <col min="9" max="10" width="13.21875" customWidth="1"/>
    <col min="11" max="11" width="12.21875" customWidth="1"/>
  </cols>
  <sheetData>
    <row r="1" spans="1:12" ht="15.6" x14ac:dyDescent="0.3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923</v>
      </c>
      <c r="I1" s="42" t="s">
        <v>84</v>
      </c>
      <c r="J1" s="42" t="s">
        <v>71</v>
      </c>
      <c r="K1" s="42" t="s">
        <v>964</v>
      </c>
      <c r="L1" s="1" t="s">
        <v>1438</v>
      </c>
    </row>
    <row r="2" spans="1:12" x14ac:dyDescent="0.3">
      <c r="A2" s="19" t="s">
        <v>926</v>
      </c>
      <c r="B2" s="20" t="str">
        <f>CONCATENATE("Выпрямительный диод на ", H2," В, ном. ток ", I2," А")</f>
        <v>Выпрямительный диод на 1000 В, ном. ток 2 А</v>
      </c>
      <c r="C2" s="20" t="str">
        <f t="shared" ref="C2" si="0">A2</f>
        <v>S2M</v>
      </c>
      <c r="D2" s="20" t="s">
        <v>925</v>
      </c>
      <c r="E2" s="20" t="s">
        <v>924</v>
      </c>
      <c r="F2" s="20" t="str">
        <f t="shared" ref="F2" si="1">CONCATENATE("Footprints\",G2,".PcbLib")</f>
        <v>Footprints\SMB.PcbLib</v>
      </c>
      <c r="G2" s="20" t="s">
        <v>340</v>
      </c>
      <c r="H2" s="20">
        <v>1000</v>
      </c>
      <c r="I2" s="26">
        <v>2</v>
      </c>
      <c r="J2" s="2"/>
      <c r="L2" t="s">
        <v>1439</v>
      </c>
    </row>
    <row r="3" spans="1:12" x14ac:dyDescent="0.3">
      <c r="A3" s="2" t="s">
        <v>1098</v>
      </c>
      <c r="B3" s="2" t="s">
        <v>1099</v>
      </c>
      <c r="C3" s="2" t="s">
        <v>1098</v>
      </c>
      <c r="D3" s="2" t="s">
        <v>925</v>
      </c>
      <c r="E3" s="2" t="s">
        <v>924</v>
      </c>
      <c r="F3" s="2" t="s">
        <v>1100</v>
      </c>
      <c r="G3" s="2" t="s">
        <v>130</v>
      </c>
      <c r="H3" s="2" t="s">
        <v>412</v>
      </c>
      <c r="I3" s="2" t="s">
        <v>1128</v>
      </c>
      <c r="J3" s="2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4" x14ac:dyDescent="0.3"/>
  <cols>
    <col min="1" max="1" width="15.44140625" bestFit="1" customWidth="1"/>
    <col min="2" max="2" width="23.2187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77734375" bestFit="1" customWidth="1"/>
    <col min="7" max="7" width="33.5546875" bestFit="1" customWidth="1"/>
    <col min="8" max="8" width="17.21875" bestFit="1" customWidth="1"/>
    <col min="9" max="9" width="33.5546875" bestFit="1" customWidth="1"/>
    <col min="10" max="10" width="17.21875" bestFit="1" customWidth="1"/>
    <col min="11" max="11" width="33.5546875" bestFit="1" customWidth="1"/>
    <col min="12" max="12" width="17.21875" bestFit="1" customWidth="1"/>
    <col min="13" max="13" width="32.77734375" bestFit="1" customWidth="1"/>
    <col min="14" max="14" width="17.21875" bestFit="1" customWidth="1"/>
    <col min="15" max="15" width="32.44140625" bestFit="1" customWidth="1"/>
    <col min="16" max="16" width="17.21875" bestFit="1" customWidth="1"/>
    <col min="17" max="17" width="42.21875" bestFit="1" customWidth="1"/>
    <col min="18" max="18" width="17.21875" bestFit="1" customWidth="1"/>
    <col min="19" max="19" width="42.44140625" bestFit="1" customWidth="1"/>
    <col min="20" max="20" width="17.21875" bestFit="1" customWidth="1"/>
    <col min="21" max="21" width="14.21875" customWidth="1"/>
  </cols>
  <sheetData>
    <row r="1" spans="1:2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964</v>
      </c>
      <c r="V1" s="1" t="s">
        <v>1438</v>
      </c>
    </row>
    <row r="2" spans="1:22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603</v>
      </c>
      <c r="H2" s="3" t="s">
        <v>37</v>
      </c>
      <c r="I2" s="3" t="s">
        <v>651</v>
      </c>
      <c r="J2" s="3" t="s">
        <v>38</v>
      </c>
      <c r="K2" s="10" t="s">
        <v>653</v>
      </c>
      <c r="L2" s="10" t="s">
        <v>344</v>
      </c>
      <c r="M2" s="2"/>
      <c r="N2" s="2"/>
      <c r="O2" s="2"/>
      <c r="P2" s="2"/>
      <c r="Q2" s="2"/>
      <c r="R2" s="2"/>
      <c r="S2" s="2"/>
      <c r="T2" s="2"/>
    </row>
    <row r="3" spans="1:22" ht="15.6" x14ac:dyDescent="0.3">
      <c r="A3" s="3" t="s">
        <v>39</v>
      </c>
      <c r="B3" s="3" t="s">
        <v>40</v>
      </c>
      <c r="C3" s="3" t="s">
        <v>39</v>
      </c>
      <c r="D3" s="3" t="s">
        <v>631</v>
      </c>
      <c r="E3" s="3" t="s">
        <v>39</v>
      </c>
      <c r="F3" s="3" t="s">
        <v>41</v>
      </c>
      <c r="G3" s="3" t="s">
        <v>650</v>
      </c>
      <c r="H3" s="3" t="s">
        <v>123</v>
      </c>
      <c r="I3" s="3" t="s">
        <v>652</v>
      </c>
      <c r="J3" s="3" t="s">
        <v>124</v>
      </c>
      <c r="K3" s="3" t="s">
        <v>654</v>
      </c>
      <c r="L3" s="3" t="s">
        <v>125</v>
      </c>
      <c r="M3" s="3" t="s">
        <v>655</v>
      </c>
      <c r="N3" s="3" t="s">
        <v>126</v>
      </c>
      <c r="O3" s="3" t="s">
        <v>656</v>
      </c>
      <c r="P3" s="3" t="s">
        <v>127</v>
      </c>
      <c r="Q3" s="3" t="s">
        <v>657</v>
      </c>
      <c r="R3" s="2" t="s">
        <v>131</v>
      </c>
      <c r="S3" s="3" t="s">
        <v>694</v>
      </c>
      <c r="T3" s="2" t="s">
        <v>132</v>
      </c>
    </row>
    <row r="4" spans="1:22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0"/>
  <sheetViews>
    <sheetView topLeftCell="C38" zoomScale="85" zoomScaleNormal="85" workbookViewId="0">
      <selection activeCell="E51" sqref="E51"/>
    </sheetView>
  </sheetViews>
  <sheetFormatPr defaultRowHeight="14.4" x14ac:dyDescent="0.3"/>
  <cols>
    <col min="1" max="1" width="32" bestFit="1" customWidth="1"/>
    <col min="2" max="2" width="53.6640625" customWidth="1"/>
    <col min="3" max="3" width="11.6640625" customWidth="1"/>
    <col min="4" max="4" width="29.5546875" customWidth="1"/>
    <col min="5" max="5" width="25.21875" customWidth="1"/>
    <col min="6" max="6" width="14.44140625" customWidth="1"/>
    <col min="7" max="7" width="9.77734375" customWidth="1"/>
    <col min="8" max="8" width="12.5546875" style="2" customWidth="1"/>
    <col min="9" max="9" width="14.44140625" customWidth="1"/>
    <col min="10" max="10" width="12" customWidth="1"/>
    <col min="11" max="11" width="25.77734375" customWidth="1"/>
    <col min="12" max="12" width="15.5546875" customWidth="1"/>
    <col min="13" max="13" width="14.77734375" customWidth="1"/>
    <col min="14" max="14" width="12.21875" customWidth="1"/>
  </cols>
  <sheetData>
    <row r="1" spans="1:14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321</v>
      </c>
      <c r="H1" s="8" t="s">
        <v>528</v>
      </c>
      <c r="I1" s="8" t="s">
        <v>527</v>
      </c>
      <c r="J1" s="6" t="s">
        <v>12</v>
      </c>
      <c r="K1" s="6" t="s">
        <v>8</v>
      </c>
      <c r="L1" s="8" t="s">
        <v>529</v>
      </c>
      <c r="M1" s="8" t="s">
        <v>964</v>
      </c>
      <c r="N1" s="8" t="s">
        <v>1438</v>
      </c>
    </row>
    <row r="2" spans="1:14" x14ac:dyDescent="0.3">
      <c r="A2" s="27" t="s">
        <v>1112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1113</v>
      </c>
      <c r="G2" s="28" t="s">
        <v>1207</v>
      </c>
      <c r="H2" s="28">
        <v>50</v>
      </c>
      <c r="I2" s="28" t="s">
        <v>602</v>
      </c>
      <c r="J2" s="28" t="s">
        <v>603</v>
      </c>
      <c r="K2" s="28" t="s">
        <v>37</v>
      </c>
      <c r="L2" s="28" t="s">
        <v>1114</v>
      </c>
      <c r="M2" s="29"/>
      <c r="N2" s="2" t="s">
        <v>1439</v>
      </c>
    </row>
    <row r="3" spans="1:14" x14ac:dyDescent="0.3">
      <c r="A3" s="2" t="s">
        <v>1188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1189</v>
      </c>
      <c r="G3" s="28" t="s">
        <v>1207</v>
      </c>
      <c r="H3" s="28">
        <v>50</v>
      </c>
      <c r="I3" s="28" t="s">
        <v>602</v>
      </c>
      <c r="J3" s="28" t="s">
        <v>603</v>
      </c>
      <c r="K3" s="28" t="s">
        <v>37</v>
      </c>
      <c r="L3" s="28" t="s">
        <v>1190</v>
      </c>
      <c r="M3" s="2"/>
      <c r="N3" s="2"/>
    </row>
    <row r="4" spans="1:14" x14ac:dyDescent="0.3">
      <c r="A4" s="19" t="s">
        <v>1115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1116</v>
      </c>
      <c r="G4" s="28" t="s">
        <v>1207</v>
      </c>
      <c r="H4" s="20">
        <v>50</v>
      </c>
      <c r="I4" s="20" t="s">
        <v>602</v>
      </c>
      <c r="J4" s="20" t="s">
        <v>603</v>
      </c>
      <c r="K4" s="20" t="s">
        <v>37</v>
      </c>
      <c r="L4" s="20" t="s">
        <v>1117</v>
      </c>
      <c r="M4" s="26"/>
      <c r="N4" s="2"/>
    </row>
    <row r="5" spans="1:14" x14ac:dyDescent="0.3">
      <c r="A5" s="43" t="s">
        <v>1109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1110</v>
      </c>
      <c r="G5" s="46" t="s">
        <v>1207</v>
      </c>
      <c r="H5" s="45">
        <v>50</v>
      </c>
      <c r="I5" s="45" t="s">
        <v>602</v>
      </c>
      <c r="J5" s="45" t="s">
        <v>603</v>
      </c>
      <c r="K5" s="45" t="s">
        <v>37</v>
      </c>
      <c r="L5" s="45" t="s">
        <v>1111</v>
      </c>
      <c r="M5" s="47"/>
      <c r="N5" s="48"/>
    </row>
    <row r="6" spans="1:14" x14ac:dyDescent="0.3">
      <c r="A6" s="2" t="s">
        <v>907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566</v>
      </c>
      <c r="G6" s="28" t="s">
        <v>1207</v>
      </c>
      <c r="H6" s="2">
        <v>50</v>
      </c>
      <c r="I6" s="2" t="s">
        <v>602</v>
      </c>
      <c r="J6" s="2" t="s">
        <v>603</v>
      </c>
      <c r="K6" s="2" t="s">
        <v>37</v>
      </c>
      <c r="L6" s="2">
        <v>1</v>
      </c>
      <c r="M6" s="2"/>
      <c r="N6" s="2"/>
    </row>
    <row r="7" spans="1:14" x14ac:dyDescent="0.3">
      <c r="A7" s="2" t="s">
        <v>530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567</v>
      </c>
      <c r="G7" s="28" t="s">
        <v>1207</v>
      </c>
      <c r="H7" s="2">
        <v>50</v>
      </c>
      <c r="I7" s="2" t="s">
        <v>602</v>
      </c>
      <c r="J7" s="2" t="s">
        <v>603</v>
      </c>
      <c r="K7" s="2" t="s">
        <v>37</v>
      </c>
      <c r="L7" s="2">
        <v>1.2</v>
      </c>
      <c r="M7" s="2"/>
      <c r="N7" s="2"/>
    </row>
    <row r="8" spans="1:14" x14ac:dyDescent="0.3">
      <c r="A8" s="2" t="s">
        <v>531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568</v>
      </c>
      <c r="G8" s="28" t="s">
        <v>1207</v>
      </c>
      <c r="H8" s="2">
        <v>50</v>
      </c>
      <c r="I8" s="2" t="s">
        <v>602</v>
      </c>
      <c r="J8" s="2" t="s">
        <v>603</v>
      </c>
      <c r="K8" s="2" t="s">
        <v>37</v>
      </c>
      <c r="L8" s="2">
        <v>1.5</v>
      </c>
      <c r="M8" s="2"/>
      <c r="N8" s="2"/>
    </row>
    <row r="9" spans="1:14" x14ac:dyDescent="0.3">
      <c r="A9" s="2" t="s">
        <v>532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569</v>
      </c>
      <c r="G9" s="28" t="s">
        <v>1207</v>
      </c>
      <c r="H9" s="2">
        <v>50</v>
      </c>
      <c r="I9" s="2" t="s">
        <v>602</v>
      </c>
      <c r="J9" s="2" t="s">
        <v>603</v>
      </c>
      <c r="K9" s="2" t="s">
        <v>37</v>
      </c>
      <c r="L9" s="2">
        <v>1.8</v>
      </c>
      <c r="M9" s="2"/>
      <c r="N9" s="2"/>
    </row>
    <row r="10" spans="1:14" x14ac:dyDescent="0.3">
      <c r="A10" s="2" t="s">
        <v>533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570</v>
      </c>
      <c r="G10" s="28" t="s">
        <v>1207</v>
      </c>
      <c r="H10" s="2">
        <v>50</v>
      </c>
      <c r="I10" s="2" t="s">
        <v>602</v>
      </c>
      <c r="J10" s="2" t="s">
        <v>603</v>
      </c>
      <c r="K10" s="2" t="s">
        <v>37</v>
      </c>
      <c r="L10" s="2">
        <v>2.2000000000000002</v>
      </c>
      <c r="M10" s="2"/>
      <c r="N10" s="2"/>
    </row>
    <row r="11" spans="1:14" x14ac:dyDescent="0.3">
      <c r="A11" s="2" t="s">
        <v>534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571</v>
      </c>
      <c r="G11" s="28" t="s">
        <v>1207</v>
      </c>
      <c r="H11" s="2">
        <v>50</v>
      </c>
      <c r="I11" s="2" t="s">
        <v>602</v>
      </c>
      <c r="J11" s="2" t="s">
        <v>603</v>
      </c>
      <c r="K11" s="2" t="s">
        <v>37</v>
      </c>
      <c r="L11" s="2">
        <v>2.7</v>
      </c>
      <c r="M11" s="2"/>
      <c r="N11" s="2"/>
    </row>
    <row r="12" spans="1:14" x14ac:dyDescent="0.3">
      <c r="A12" s="2" t="s">
        <v>535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572</v>
      </c>
      <c r="G12" s="28" t="s">
        <v>1207</v>
      </c>
      <c r="H12" s="2">
        <v>50</v>
      </c>
      <c r="I12" s="2" t="s">
        <v>602</v>
      </c>
      <c r="J12" s="2" t="s">
        <v>603</v>
      </c>
      <c r="K12" s="2" t="s">
        <v>37</v>
      </c>
      <c r="L12" s="2">
        <v>3.3</v>
      </c>
      <c r="M12" s="2"/>
      <c r="N12" s="2"/>
    </row>
    <row r="13" spans="1:14" x14ac:dyDescent="0.3">
      <c r="A13" s="2" t="s">
        <v>536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573</v>
      </c>
      <c r="G13" s="28" t="s">
        <v>1207</v>
      </c>
      <c r="H13" s="2">
        <v>50</v>
      </c>
      <c r="I13" s="2" t="s">
        <v>602</v>
      </c>
      <c r="J13" s="2" t="s">
        <v>603</v>
      </c>
      <c r="K13" s="2" t="s">
        <v>37</v>
      </c>
      <c r="L13" s="2">
        <v>3.9</v>
      </c>
      <c r="M13" s="2"/>
      <c r="N13" s="2"/>
    </row>
    <row r="14" spans="1:14" x14ac:dyDescent="0.3">
      <c r="A14" s="2" t="s">
        <v>537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574</v>
      </c>
      <c r="G14" s="28" t="s">
        <v>1207</v>
      </c>
      <c r="H14" s="2">
        <v>50</v>
      </c>
      <c r="I14" s="2" t="s">
        <v>602</v>
      </c>
      <c r="J14" s="2" t="s">
        <v>603</v>
      </c>
      <c r="K14" s="2" t="s">
        <v>37</v>
      </c>
      <c r="L14" s="2">
        <v>4.7</v>
      </c>
      <c r="M14" s="2"/>
      <c r="N14" s="2"/>
    </row>
    <row r="15" spans="1:14" x14ac:dyDescent="0.3">
      <c r="A15" s="2" t="s">
        <v>538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575</v>
      </c>
      <c r="G15" s="28" t="s">
        <v>1207</v>
      </c>
      <c r="H15" s="2">
        <v>50</v>
      </c>
      <c r="I15" s="2" t="s">
        <v>602</v>
      </c>
      <c r="J15" s="2" t="s">
        <v>603</v>
      </c>
      <c r="K15" s="2" t="s">
        <v>37</v>
      </c>
      <c r="L15" s="2">
        <v>5.6</v>
      </c>
      <c r="M15" s="2"/>
      <c r="N15" s="2"/>
    </row>
    <row r="16" spans="1:14" x14ac:dyDescent="0.3">
      <c r="A16" s="2" t="s">
        <v>539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576</v>
      </c>
      <c r="G16" s="28" t="s">
        <v>1207</v>
      </c>
      <c r="H16" s="2">
        <v>50</v>
      </c>
      <c r="I16" s="2" t="s">
        <v>602</v>
      </c>
      <c r="J16" s="2" t="s">
        <v>603</v>
      </c>
      <c r="K16" s="2" t="s">
        <v>37</v>
      </c>
      <c r="L16" s="2">
        <v>6.8</v>
      </c>
      <c r="M16" s="2"/>
      <c r="N16" s="2"/>
    </row>
    <row r="17" spans="1:14" x14ac:dyDescent="0.3">
      <c r="A17" s="2" t="s">
        <v>540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577</v>
      </c>
      <c r="G17" s="28" t="s">
        <v>1207</v>
      </c>
      <c r="H17" s="2">
        <v>50</v>
      </c>
      <c r="I17" s="2" t="s">
        <v>602</v>
      </c>
      <c r="J17" s="2" t="s">
        <v>603</v>
      </c>
      <c r="K17" s="2" t="s">
        <v>37</v>
      </c>
      <c r="L17" s="2">
        <v>8.1999999999999993</v>
      </c>
      <c r="M17" s="2"/>
      <c r="N17" s="2"/>
    </row>
    <row r="18" spans="1:14" x14ac:dyDescent="0.3">
      <c r="A18" s="2" t="s">
        <v>541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578</v>
      </c>
      <c r="G18" s="28" t="s">
        <v>1207</v>
      </c>
      <c r="H18" s="2">
        <v>50</v>
      </c>
      <c r="I18" s="2" t="s">
        <v>602</v>
      </c>
      <c r="J18" s="2" t="s">
        <v>603</v>
      </c>
      <c r="K18" s="2" t="s">
        <v>37</v>
      </c>
      <c r="L18" s="2">
        <v>10</v>
      </c>
      <c r="M18" s="2"/>
      <c r="N18" s="2"/>
    </row>
    <row r="19" spans="1:14" x14ac:dyDescent="0.3">
      <c r="A19" s="2" t="s">
        <v>542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579</v>
      </c>
      <c r="G19" s="28" t="s">
        <v>1207</v>
      </c>
      <c r="H19" s="2">
        <v>50</v>
      </c>
      <c r="I19" s="2" t="s">
        <v>602</v>
      </c>
      <c r="J19" s="2" t="s">
        <v>603</v>
      </c>
      <c r="K19" s="2" t="s">
        <v>37</v>
      </c>
      <c r="L19" s="2">
        <v>12</v>
      </c>
      <c r="M19" s="2"/>
      <c r="N19" s="2"/>
    </row>
    <row r="20" spans="1:14" x14ac:dyDescent="0.3">
      <c r="A20" s="2" t="s">
        <v>543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580</v>
      </c>
      <c r="G20" s="28" t="s">
        <v>1207</v>
      </c>
      <c r="H20" s="2">
        <v>50</v>
      </c>
      <c r="I20" s="2" t="s">
        <v>602</v>
      </c>
      <c r="J20" s="2" t="s">
        <v>603</v>
      </c>
      <c r="K20" s="2" t="s">
        <v>37</v>
      </c>
      <c r="L20" s="2">
        <v>15</v>
      </c>
      <c r="M20" s="2"/>
      <c r="N20" s="2"/>
    </row>
    <row r="21" spans="1:14" x14ac:dyDescent="0.3">
      <c r="A21" s="2" t="s">
        <v>544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581</v>
      </c>
      <c r="G21" s="28" t="s">
        <v>1207</v>
      </c>
      <c r="H21" s="2">
        <v>50</v>
      </c>
      <c r="I21" s="2" t="s">
        <v>602</v>
      </c>
      <c r="J21" s="2" t="s">
        <v>603</v>
      </c>
      <c r="K21" s="2" t="s">
        <v>37</v>
      </c>
      <c r="L21" s="2">
        <v>18</v>
      </c>
      <c r="M21" s="2"/>
      <c r="N21" s="2"/>
    </row>
    <row r="22" spans="1:14" x14ac:dyDescent="0.3">
      <c r="A22" s="2" t="s">
        <v>545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582</v>
      </c>
      <c r="G22" s="28" t="s">
        <v>1207</v>
      </c>
      <c r="H22" s="2">
        <v>50</v>
      </c>
      <c r="I22" s="2" t="s">
        <v>602</v>
      </c>
      <c r="J22" s="2" t="s">
        <v>603</v>
      </c>
      <c r="K22" s="2" t="s">
        <v>37</v>
      </c>
      <c r="L22" s="2">
        <v>22</v>
      </c>
      <c r="M22" s="2"/>
      <c r="N22" s="2"/>
    </row>
    <row r="23" spans="1:14" x14ac:dyDescent="0.3">
      <c r="A23" s="2" t="s">
        <v>546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583</v>
      </c>
      <c r="G23" s="28" t="s">
        <v>1207</v>
      </c>
      <c r="H23" s="2">
        <v>50</v>
      </c>
      <c r="I23" s="2" t="s">
        <v>602</v>
      </c>
      <c r="J23" s="2" t="s">
        <v>603</v>
      </c>
      <c r="K23" s="2" t="s">
        <v>37</v>
      </c>
      <c r="L23" s="2">
        <v>27</v>
      </c>
      <c r="M23" s="2"/>
      <c r="N23" s="2"/>
    </row>
    <row r="24" spans="1:14" x14ac:dyDescent="0.3">
      <c r="A24" s="2" t="s">
        <v>547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584</v>
      </c>
      <c r="G24" s="28" t="s">
        <v>1207</v>
      </c>
      <c r="H24" s="2">
        <v>50</v>
      </c>
      <c r="I24" s="2" t="s">
        <v>602</v>
      </c>
      <c r="J24" s="2" t="s">
        <v>603</v>
      </c>
      <c r="K24" s="2" t="s">
        <v>37</v>
      </c>
      <c r="L24" s="2">
        <v>33</v>
      </c>
      <c r="M24" s="2"/>
      <c r="N24" s="2"/>
    </row>
    <row r="25" spans="1:14" x14ac:dyDescent="0.3">
      <c r="A25" s="2" t="s">
        <v>548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585</v>
      </c>
      <c r="G25" s="28" t="s">
        <v>1207</v>
      </c>
      <c r="H25" s="2">
        <v>50</v>
      </c>
      <c r="I25" s="2" t="s">
        <v>602</v>
      </c>
      <c r="J25" s="2" t="s">
        <v>603</v>
      </c>
      <c r="K25" s="2" t="s">
        <v>37</v>
      </c>
      <c r="L25" s="2">
        <v>39</v>
      </c>
      <c r="M25" s="2"/>
      <c r="N25" s="2"/>
    </row>
    <row r="26" spans="1:14" x14ac:dyDescent="0.3">
      <c r="A26" s="2" t="s">
        <v>549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586</v>
      </c>
      <c r="G26" s="28" t="s">
        <v>1207</v>
      </c>
      <c r="H26" s="2">
        <v>50</v>
      </c>
      <c r="I26" s="2" t="s">
        <v>602</v>
      </c>
      <c r="J26" s="2" t="s">
        <v>603</v>
      </c>
      <c r="K26" s="2" t="s">
        <v>37</v>
      </c>
      <c r="L26" s="2">
        <v>47</v>
      </c>
      <c r="M26" s="2"/>
      <c r="N26" s="2"/>
    </row>
    <row r="27" spans="1:14" x14ac:dyDescent="0.3">
      <c r="A27" s="2" t="s">
        <v>550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587</v>
      </c>
      <c r="G27" s="28" t="s">
        <v>1207</v>
      </c>
      <c r="H27" s="2">
        <v>50</v>
      </c>
      <c r="I27" s="2" t="s">
        <v>602</v>
      </c>
      <c r="J27" s="2" t="s">
        <v>603</v>
      </c>
      <c r="K27" s="2" t="s">
        <v>37</v>
      </c>
      <c r="L27" s="2">
        <v>56</v>
      </c>
      <c r="M27" s="2"/>
      <c r="N27" s="2"/>
    </row>
    <row r="28" spans="1:14" x14ac:dyDescent="0.3">
      <c r="A28" s="2" t="s">
        <v>551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588</v>
      </c>
      <c r="G28" s="28" t="s">
        <v>1207</v>
      </c>
      <c r="H28" s="2">
        <v>50</v>
      </c>
      <c r="I28" s="2" t="s">
        <v>602</v>
      </c>
      <c r="J28" s="2" t="s">
        <v>603</v>
      </c>
      <c r="K28" s="2" t="s">
        <v>37</v>
      </c>
      <c r="L28" s="2">
        <v>68</v>
      </c>
      <c r="M28" s="2"/>
      <c r="N28" s="2"/>
    </row>
    <row r="29" spans="1:14" x14ac:dyDescent="0.3">
      <c r="A29" s="2" t="s">
        <v>552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589</v>
      </c>
      <c r="G29" s="28" t="s">
        <v>1207</v>
      </c>
      <c r="H29" s="2">
        <v>50</v>
      </c>
      <c r="I29" s="2" t="s">
        <v>602</v>
      </c>
      <c r="J29" s="2" t="s">
        <v>603</v>
      </c>
      <c r="K29" s="2" t="s">
        <v>37</v>
      </c>
      <c r="L29" s="2">
        <v>82</v>
      </c>
      <c r="M29" s="2"/>
      <c r="N29" s="2"/>
    </row>
    <row r="30" spans="1:14" x14ac:dyDescent="0.3">
      <c r="A30" s="2" t="s">
        <v>553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1207</v>
      </c>
      <c r="H30" s="2">
        <v>50</v>
      </c>
      <c r="I30" s="2" t="s">
        <v>602</v>
      </c>
      <c r="J30" s="2" t="s">
        <v>603</v>
      </c>
      <c r="K30" s="2" t="s">
        <v>37</v>
      </c>
      <c r="L30" s="2">
        <v>100</v>
      </c>
      <c r="M30" s="2"/>
      <c r="N30" s="2"/>
    </row>
    <row r="31" spans="1:14" x14ac:dyDescent="0.3">
      <c r="A31" s="2" t="s">
        <v>554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590</v>
      </c>
      <c r="G31" s="28" t="s">
        <v>1207</v>
      </c>
      <c r="H31" s="2">
        <v>50</v>
      </c>
      <c r="I31" s="2" t="s">
        <v>602</v>
      </c>
      <c r="J31" s="2" t="s">
        <v>603</v>
      </c>
      <c r="K31" s="2" t="s">
        <v>37</v>
      </c>
      <c r="L31" s="2">
        <v>120</v>
      </c>
      <c r="M31" s="2"/>
      <c r="N31" s="2"/>
    </row>
    <row r="32" spans="1:14" x14ac:dyDescent="0.3">
      <c r="A32" s="2" t="s">
        <v>555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591</v>
      </c>
      <c r="G32" s="28" t="s">
        <v>1207</v>
      </c>
      <c r="H32" s="2">
        <v>50</v>
      </c>
      <c r="I32" s="2" t="s">
        <v>602</v>
      </c>
      <c r="J32" s="2" t="s">
        <v>603</v>
      </c>
      <c r="K32" s="2" t="s">
        <v>37</v>
      </c>
      <c r="L32" s="2">
        <v>150</v>
      </c>
      <c r="M32" s="2"/>
      <c r="N32" s="2"/>
    </row>
    <row r="33" spans="1:14" x14ac:dyDescent="0.3">
      <c r="A33" s="2" t="s">
        <v>556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592</v>
      </c>
      <c r="G33" s="28" t="s">
        <v>1207</v>
      </c>
      <c r="H33" s="2">
        <v>50</v>
      </c>
      <c r="I33" s="2" t="s">
        <v>602</v>
      </c>
      <c r="J33" s="2" t="s">
        <v>603</v>
      </c>
      <c r="K33" s="2" t="s">
        <v>37</v>
      </c>
      <c r="L33" s="2">
        <v>180</v>
      </c>
      <c r="M33" s="2"/>
      <c r="N33" s="2"/>
    </row>
    <row r="34" spans="1:14" x14ac:dyDescent="0.3">
      <c r="A34" s="2" t="s">
        <v>557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593</v>
      </c>
      <c r="G34" s="28" t="s">
        <v>1207</v>
      </c>
      <c r="H34" s="2">
        <v>50</v>
      </c>
      <c r="I34" s="2" t="s">
        <v>602</v>
      </c>
      <c r="J34" s="2" t="s">
        <v>603</v>
      </c>
      <c r="K34" s="2" t="s">
        <v>37</v>
      </c>
      <c r="L34" s="2">
        <v>220</v>
      </c>
      <c r="M34" s="2"/>
      <c r="N34" s="2"/>
    </row>
    <row r="35" spans="1:14" x14ac:dyDescent="0.3">
      <c r="A35" s="2" t="s">
        <v>558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594</v>
      </c>
      <c r="G35" s="28" t="s">
        <v>1207</v>
      </c>
      <c r="H35" s="2">
        <v>50</v>
      </c>
      <c r="I35" s="2" t="s">
        <v>602</v>
      </c>
      <c r="J35" s="2" t="s">
        <v>603</v>
      </c>
      <c r="K35" s="2" t="s">
        <v>37</v>
      </c>
      <c r="L35" s="2">
        <v>270</v>
      </c>
      <c r="M35" s="2"/>
      <c r="N35" s="2"/>
    </row>
    <row r="36" spans="1:14" x14ac:dyDescent="0.3">
      <c r="A36" s="2" t="s">
        <v>559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595</v>
      </c>
      <c r="G36" s="28" t="s">
        <v>1207</v>
      </c>
      <c r="H36" s="2">
        <v>50</v>
      </c>
      <c r="I36" s="2" t="s">
        <v>602</v>
      </c>
      <c r="J36" s="2" t="s">
        <v>603</v>
      </c>
      <c r="K36" s="2" t="s">
        <v>37</v>
      </c>
      <c r="L36" s="2">
        <v>330</v>
      </c>
      <c r="M36" s="2"/>
      <c r="N36" s="2"/>
    </row>
    <row r="37" spans="1:14" x14ac:dyDescent="0.3">
      <c r="A37" s="2" t="s">
        <v>560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596</v>
      </c>
      <c r="G37" s="28" t="s">
        <v>1207</v>
      </c>
      <c r="H37" s="2">
        <v>50</v>
      </c>
      <c r="I37" s="2" t="s">
        <v>602</v>
      </c>
      <c r="J37" s="2" t="s">
        <v>603</v>
      </c>
      <c r="K37" s="2" t="s">
        <v>37</v>
      </c>
      <c r="L37" s="2">
        <v>390</v>
      </c>
      <c r="M37" s="2"/>
      <c r="N37" s="2"/>
    </row>
    <row r="38" spans="1:14" x14ac:dyDescent="0.3">
      <c r="A38" s="2" t="s">
        <v>561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597</v>
      </c>
      <c r="G38" s="28" t="s">
        <v>1207</v>
      </c>
      <c r="H38" s="2">
        <v>50</v>
      </c>
      <c r="I38" s="2" t="s">
        <v>602</v>
      </c>
      <c r="J38" s="2" t="s">
        <v>603</v>
      </c>
      <c r="K38" s="2" t="s">
        <v>37</v>
      </c>
      <c r="L38" s="2">
        <v>470</v>
      </c>
      <c r="M38" s="2"/>
      <c r="N38" s="2"/>
    </row>
    <row r="39" spans="1:14" x14ac:dyDescent="0.3">
      <c r="A39" s="2" t="s">
        <v>562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598</v>
      </c>
      <c r="G39" s="28" t="s">
        <v>1207</v>
      </c>
      <c r="H39" s="2">
        <v>50</v>
      </c>
      <c r="I39" s="2" t="s">
        <v>602</v>
      </c>
      <c r="J39" s="2" t="s">
        <v>603</v>
      </c>
      <c r="K39" s="2" t="s">
        <v>37</v>
      </c>
      <c r="L39" s="2">
        <v>560</v>
      </c>
      <c r="M39" s="2"/>
      <c r="N39" s="2"/>
    </row>
    <row r="40" spans="1:14" x14ac:dyDescent="0.3">
      <c r="A40" s="2" t="s">
        <v>563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599</v>
      </c>
      <c r="G40" s="28" t="s">
        <v>1207</v>
      </c>
      <c r="H40" s="2">
        <v>50</v>
      </c>
      <c r="I40" s="2" t="s">
        <v>602</v>
      </c>
      <c r="J40" s="2" t="s">
        <v>603</v>
      </c>
      <c r="K40" s="2" t="s">
        <v>37</v>
      </c>
      <c r="L40" s="2">
        <v>680</v>
      </c>
      <c r="M40" s="2"/>
      <c r="N40" s="2"/>
    </row>
    <row r="41" spans="1:14" x14ac:dyDescent="0.3">
      <c r="A41" s="2" t="s">
        <v>564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600</v>
      </c>
      <c r="G41" s="28" t="s">
        <v>1207</v>
      </c>
      <c r="H41" s="2">
        <v>50</v>
      </c>
      <c r="I41" s="2" t="s">
        <v>602</v>
      </c>
      <c r="J41" s="2" t="s">
        <v>603</v>
      </c>
      <c r="K41" s="2" t="s">
        <v>37</v>
      </c>
      <c r="L41" s="2">
        <v>820</v>
      </c>
      <c r="M41" s="2"/>
      <c r="N41" s="2"/>
    </row>
    <row r="42" spans="1:14" x14ac:dyDescent="0.3">
      <c r="A42" s="2" t="s">
        <v>565</v>
      </c>
      <c r="B42" s="34" t="str">
        <f t="shared" si="0"/>
        <v>Конденсатор 0603C ёмкостью 1 мк 10%, 50 В, X7R</v>
      </c>
      <c r="C42" s="2" t="s">
        <v>27</v>
      </c>
      <c r="D42" s="2" t="s">
        <v>30</v>
      </c>
      <c r="E42" s="2" t="s">
        <v>27</v>
      </c>
      <c r="F42" s="2" t="s">
        <v>601</v>
      </c>
      <c r="G42" s="28" t="s">
        <v>1207</v>
      </c>
      <c r="H42" s="2">
        <v>50</v>
      </c>
      <c r="I42" s="2" t="s">
        <v>602</v>
      </c>
      <c r="J42" s="2" t="s">
        <v>603</v>
      </c>
      <c r="K42" s="2" t="s">
        <v>37</v>
      </c>
      <c r="L42" s="2">
        <v>1000</v>
      </c>
      <c r="M42" s="2"/>
      <c r="N42" s="2"/>
    </row>
    <row r="43" spans="1:14" x14ac:dyDescent="0.3">
      <c r="A43" s="2" t="s">
        <v>1121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633</v>
      </c>
      <c r="G43" s="28" t="s">
        <v>1207</v>
      </c>
      <c r="H43" s="2">
        <v>50</v>
      </c>
      <c r="I43" s="2" t="s">
        <v>602</v>
      </c>
      <c r="J43" s="2" t="s">
        <v>684</v>
      </c>
      <c r="K43" s="2" t="s">
        <v>685</v>
      </c>
      <c r="L43" s="2" t="s">
        <v>1122</v>
      </c>
      <c r="M43" s="2"/>
      <c r="N43" s="2"/>
    </row>
    <row r="44" spans="1:14" x14ac:dyDescent="0.3">
      <c r="A44" s="2" t="s">
        <v>711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1207</v>
      </c>
      <c r="H44" s="2">
        <v>50</v>
      </c>
      <c r="I44" s="2" t="s">
        <v>602</v>
      </c>
      <c r="J44" s="2" t="s">
        <v>684</v>
      </c>
      <c r="K44" s="2" t="s">
        <v>685</v>
      </c>
      <c r="L44" s="2">
        <v>4700</v>
      </c>
      <c r="M44" s="2"/>
      <c r="N44" s="2"/>
    </row>
    <row r="45" spans="1:14" x14ac:dyDescent="0.3">
      <c r="A45" s="2" t="s">
        <v>713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636</v>
      </c>
      <c r="G45" s="28" t="s">
        <v>1207</v>
      </c>
      <c r="H45" s="2">
        <v>35</v>
      </c>
      <c r="I45" s="2" t="s">
        <v>602</v>
      </c>
      <c r="J45" s="2" t="s">
        <v>686</v>
      </c>
      <c r="K45" s="2" t="s">
        <v>687</v>
      </c>
      <c r="L45" s="2">
        <v>10000</v>
      </c>
      <c r="M45" s="2"/>
      <c r="N45" s="2"/>
    </row>
    <row r="46" spans="1:14" x14ac:dyDescent="0.3">
      <c r="A46" s="2" t="s">
        <v>712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638</v>
      </c>
      <c r="G46" s="28" t="s">
        <v>1207</v>
      </c>
      <c r="H46" s="2">
        <v>25</v>
      </c>
      <c r="I46" s="2" t="s">
        <v>602</v>
      </c>
      <c r="J46" s="2" t="s">
        <v>686</v>
      </c>
      <c r="K46" s="2" t="s">
        <v>687</v>
      </c>
      <c r="L46" s="2">
        <v>22000</v>
      </c>
      <c r="M46" s="2"/>
      <c r="N46" s="2"/>
    </row>
    <row r="47" spans="1:14" x14ac:dyDescent="0.3">
      <c r="A47" s="2" t="s">
        <v>956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1207</v>
      </c>
      <c r="H47" s="2">
        <v>1000</v>
      </c>
      <c r="I47" s="2" t="s">
        <v>602</v>
      </c>
      <c r="J47" s="2" t="s">
        <v>954</v>
      </c>
      <c r="K47" s="2" t="s">
        <v>955</v>
      </c>
      <c r="L47" s="2">
        <v>100</v>
      </c>
      <c r="M47" s="2"/>
      <c r="N47" s="2"/>
    </row>
    <row r="48" spans="1:14" x14ac:dyDescent="0.3">
      <c r="A48" s="2" t="s">
        <v>1416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1417</v>
      </c>
      <c r="G48" s="28" t="s">
        <v>1207</v>
      </c>
      <c r="H48" s="2">
        <v>1000</v>
      </c>
      <c r="I48" s="2" t="s">
        <v>602</v>
      </c>
      <c r="J48" s="2" t="s">
        <v>686</v>
      </c>
      <c r="K48" s="2" t="s">
        <v>687</v>
      </c>
      <c r="L48" s="2" t="s">
        <v>1128</v>
      </c>
      <c r="M48" s="2" t="s">
        <v>1418</v>
      </c>
      <c r="N48" s="2" t="s">
        <v>1439</v>
      </c>
    </row>
    <row r="49" spans="1:14" x14ac:dyDescent="0.3">
      <c r="A49" s="2" t="s">
        <v>1429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1429</v>
      </c>
      <c r="D49" s="2" t="s">
        <v>30</v>
      </c>
      <c r="E49" s="2" t="s">
        <v>27</v>
      </c>
      <c r="F49" s="2" t="s">
        <v>1425</v>
      </c>
      <c r="G49" s="37" t="s">
        <v>1426</v>
      </c>
      <c r="H49" s="2" t="s">
        <v>1427</v>
      </c>
      <c r="I49" s="2" t="s">
        <v>1428</v>
      </c>
      <c r="J49" s="2" t="s">
        <v>603</v>
      </c>
      <c r="K49" s="2" t="s">
        <v>37</v>
      </c>
      <c r="L49" s="2" t="s">
        <v>1430</v>
      </c>
      <c r="M49" s="2" t="s">
        <v>1431</v>
      </c>
      <c r="N49" s="2" t="s">
        <v>1439</v>
      </c>
    </row>
    <row r="50" spans="1:14" x14ac:dyDescent="0.3">
      <c r="A50" s="2" t="s">
        <v>1458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1207</v>
      </c>
      <c r="H50" s="2" t="s">
        <v>387</v>
      </c>
      <c r="I50" s="2" t="s">
        <v>602</v>
      </c>
      <c r="J50" s="2" t="s">
        <v>1457</v>
      </c>
      <c r="K50" s="2" t="s">
        <v>1456</v>
      </c>
      <c r="L50" s="2">
        <v>100</v>
      </c>
      <c r="M50" s="2"/>
      <c r="N50" s="2" t="s">
        <v>1439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28"/>
  <sheetViews>
    <sheetView zoomScale="70" zoomScaleNormal="70" workbookViewId="0">
      <selection activeCell="H31" sqref="H31"/>
    </sheetView>
  </sheetViews>
  <sheetFormatPr defaultRowHeight="14.4" x14ac:dyDescent="0.3"/>
  <cols>
    <col min="1" max="1" width="27.5546875" bestFit="1" customWidth="1"/>
    <col min="2" max="2" width="23.21875" bestFit="1" customWidth="1"/>
    <col min="3" max="3" width="12.21875" bestFit="1" customWidth="1"/>
    <col min="4" max="4" width="29.44140625" bestFit="1" customWidth="1"/>
    <col min="5" max="5" width="14.21875" bestFit="1" customWidth="1"/>
    <col min="6" max="6" width="8.21875" bestFit="1" customWidth="1"/>
    <col min="7" max="7" width="12.21875" bestFit="1" customWidth="1"/>
    <col min="8" max="8" width="13" bestFit="1" customWidth="1"/>
    <col min="9" max="9" width="8.77734375" bestFit="1" customWidth="1"/>
    <col min="10" max="10" width="30.21875" bestFit="1" customWidth="1"/>
    <col min="11" max="11" width="16.77734375" bestFit="1" customWidth="1"/>
    <col min="12" max="12" width="14.77734375" bestFit="1" customWidth="1"/>
    <col min="13" max="13" width="19.21875" customWidth="1"/>
    <col min="14" max="14" width="18.44140625" customWidth="1"/>
    <col min="15" max="15" width="13.21875" customWidth="1"/>
  </cols>
  <sheetData>
    <row r="1" spans="1:16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528</v>
      </c>
      <c r="I1" s="6" t="s">
        <v>610</v>
      </c>
      <c r="J1" s="6" t="s">
        <v>12</v>
      </c>
      <c r="K1" s="6" t="s">
        <v>8</v>
      </c>
      <c r="L1" s="9" t="s">
        <v>609</v>
      </c>
      <c r="M1" s="6" t="s">
        <v>13</v>
      </c>
      <c r="N1" s="6" t="s">
        <v>9</v>
      </c>
      <c r="O1" s="8" t="s">
        <v>964</v>
      </c>
      <c r="P1" s="8" t="s">
        <v>1438</v>
      </c>
    </row>
    <row r="2" spans="1:16" x14ac:dyDescent="0.3">
      <c r="A2" s="2" t="s">
        <v>611</v>
      </c>
      <c r="B2" s="2" t="s">
        <v>630</v>
      </c>
      <c r="C2" s="2" t="s">
        <v>27</v>
      </c>
      <c r="D2" s="2" t="s">
        <v>631</v>
      </c>
      <c r="E2" s="2" t="s">
        <v>39</v>
      </c>
      <c r="F2" s="2" t="s">
        <v>601</v>
      </c>
      <c r="G2">
        <v>0.1</v>
      </c>
      <c r="H2">
        <v>50</v>
      </c>
      <c r="I2" s="2" t="s">
        <v>649</v>
      </c>
      <c r="J2" s="2" t="s">
        <v>650</v>
      </c>
      <c r="K2" s="2" t="s">
        <v>123</v>
      </c>
      <c r="L2">
        <v>1</v>
      </c>
    </row>
    <row r="3" spans="1:16" x14ac:dyDescent="0.3">
      <c r="A3" s="2" t="s">
        <v>612</v>
      </c>
      <c r="B3" s="2" t="s">
        <v>630</v>
      </c>
      <c r="C3" s="2" t="s">
        <v>27</v>
      </c>
      <c r="D3" s="2" t="s">
        <v>631</v>
      </c>
      <c r="E3" s="2" t="s">
        <v>39</v>
      </c>
      <c r="F3" s="2" t="s">
        <v>632</v>
      </c>
      <c r="G3">
        <v>0.1</v>
      </c>
      <c r="H3">
        <v>50</v>
      </c>
      <c r="I3" s="2" t="s">
        <v>649</v>
      </c>
      <c r="J3" s="2" t="s">
        <v>650</v>
      </c>
      <c r="K3" s="2" t="s">
        <v>123</v>
      </c>
      <c r="L3">
        <v>1.5</v>
      </c>
    </row>
    <row r="4" spans="1:16" x14ac:dyDescent="0.3">
      <c r="A4" s="2" t="s">
        <v>613</v>
      </c>
      <c r="B4" s="2" t="s">
        <v>630</v>
      </c>
      <c r="C4" s="2" t="s">
        <v>27</v>
      </c>
      <c r="D4" s="2" t="s">
        <v>631</v>
      </c>
      <c r="E4" s="2" t="s">
        <v>39</v>
      </c>
      <c r="F4" s="2" t="s">
        <v>633</v>
      </c>
      <c r="G4">
        <v>0.1</v>
      </c>
      <c r="H4">
        <v>50</v>
      </c>
      <c r="I4" s="2" t="s">
        <v>649</v>
      </c>
      <c r="J4" s="2" t="s">
        <v>650</v>
      </c>
      <c r="K4" s="2" t="s">
        <v>123</v>
      </c>
      <c r="L4">
        <v>2.2000000000000002</v>
      </c>
    </row>
    <row r="5" spans="1:16" x14ac:dyDescent="0.3">
      <c r="A5" s="2" t="s">
        <v>614</v>
      </c>
      <c r="B5" s="2" t="s">
        <v>630</v>
      </c>
      <c r="C5" s="2" t="s">
        <v>27</v>
      </c>
      <c r="D5" s="2" t="s">
        <v>631</v>
      </c>
      <c r="E5" s="2" t="s">
        <v>39</v>
      </c>
      <c r="F5" s="2" t="s">
        <v>634</v>
      </c>
      <c r="G5">
        <v>0.1</v>
      </c>
      <c r="H5">
        <v>50</v>
      </c>
      <c r="I5" s="2" t="s">
        <v>649</v>
      </c>
      <c r="J5" s="2" t="s">
        <v>650</v>
      </c>
      <c r="K5" s="2" t="s">
        <v>123</v>
      </c>
      <c r="L5">
        <v>3.3</v>
      </c>
    </row>
    <row r="6" spans="1:16" x14ac:dyDescent="0.3">
      <c r="A6" s="2" t="s">
        <v>615</v>
      </c>
      <c r="B6" s="2" t="s">
        <v>630</v>
      </c>
      <c r="C6" s="2" t="s">
        <v>27</v>
      </c>
      <c r="D6" s="2" t="s">
        <v>631</v>
      </c>
      <c r="E6" s="2" t="s">
        <v>39</v>
      </c>
      <c r="F6" s="2" t="s">
        <v>41</v>
      </c>
      <c r="G6">
        <v>0.1</v>
      </c>
      <c r="H6">
        <v>50</v>
      </c>
      <c r="I6" s="2" t="s">
        <v>649</v>
      </c>
      <c r="J6" s="2" t="s">
        <v>650</v>
      </c>
      <c r="K6" s="2" t="s">
        <v>123</v>
      </c>
      <c r="L6">
        <v>4.7</v>
      </c>
    </row>
    <row r="7" spans="1:16" x14ac:dyDescent="0.3">
      <c r="A7" s="2" t="s">
        <v>616</v>
      </c>
      <c r="B7" s="2" t="s">
        <v>630</v>
      </c>
      <c r="C7" s="2" t="s">
        <v>27</v>
      </c>
      <c r="D7" s="2" t="s">
        <v>631</v>
      </c>
      <c r="E7" s="2" t="s">
        <v>39</v>
      </c>
      <c r="F7" s="2" t="s">
        <v>635</v>
      </c>
      <c r="G7">
        <v>0.1</v>
      </c>
      <c r="H7">
        <v>50</v>
      </c>
      <c r="I7" s="2" t="s">
        <v>649</v>
      </c>
      <c r="J7" s="2" t="s">
        <v>650</v>
      </c>
      <c r="K7" s="2" t="s">
        <v>123</v>
      </c>
      <c r="L7">
        <v>6.8</v>
      </c>
    </row>
    <row r="8" spans="1:16" x14ac:dyDescent="0.3">
      <c r="A8" s="2" t="s">
        <v>617</v>
      </c>
      <c r="B8" s="2" t="s">
        <v>630</v>
      </c>
      <c r="C8" s="2" t="s">
        <v>27</v>
      </c>
      <c r="D8" s="2" t="s">
        <v>631</v>
      </c>
      <c r="E8" s="2" t="s">
        <v>39</v>
      </c>
      <c r="F8" s="2" t="s">
        <v>636</v>
      </c>
      <c r="G8">
        <v>0.1</v>
      </c>
      <c r="H8">
        <v>50</v>
      </c>
      <c r="I8" s="2" t="s">
        <v>649</v>
      </c>
      <c r="J8" s="2" t="s">
        <v>650</v>
      </c>
      <c r="K8" s="2" t="s">
        <v>123</v>
      </c>
      <c r="L8">
        <v>10</v>
      </c>
    </row>
    <row r="9" spans="1:16" x14ac:dyDescent="0.3">
      <c r="A9" s="2" t="s">
        <v>618</v>
      </c>
      <c r="B9" s="2" t="s">
        <v>630</v>
      </c>
      <c r="C9" s="2" t="s">
        <v>27</v>
      </c>
      <c r="D9" s="2" t="s">
        <v>631</v>
      </c>
      <c r="E9" s="2" t="s">
        <v>39</v>
      </c>
      <c r="F9" s="2" t="s">
        <v>637</v>
      </c>
      <c r="G9">
        <v>0.1</v>
      </c>
      <c r="H9">
        <v>50</v>
      </c>
      <c r="I9" s="2" t="s">
        <v>649</v>
      </c>
      <c r="J9" s="2" t="s">
        <v>650</v>
      </c>
      <c r="K9" s="2" t="s">
        <v>123</v>
      </c>
      <c r="L9">
        <v>15</v>
      </c>
    </row>
    <row r="10" spans="1:16" x14ac:dyDescent="0.3">
      <c r="A10" s="2" t="s">
        <v>619</v>
      </c>
      <c r="B10" s="2" t="s">
        <v>630</v>
      </c>
      <c r="C10" s="2" t="s">
        <v>27</v>
      </c>
      <c r="D10" s="2" t="s">
        <v>631</v>
      </c>
      <c r="E10" s="2" t="s">
        <v>39</v>
      </c>
      <c r="F10" s="2" t="s">
        <v>638</v>
      </c>
      <c r="G10">
        <v>0.1</v>
      </c>
      <c r="H10">
        <v>50</v>
      </c>
      <c r="I10" s="2" t="s">
        <v>649</v>
      </c>
      <c r="J10" s="2" t="s">
        <v>650</v>
      </c>
      <c r="K10" s="2" t="s">
        <v>123</v>
      </c>
      <c r="L10">
        <v>22</v>
      </c>
    </row>
    <row r="11" spans="1:16" x14ac:dyDescent="0.3">
      <c r="A11" s="2" t="s">
        <v>620</v>
      </c>
      <c r="B11" s="2" t="s">
        <v>630</v>
      </c>
      <c r="C11" s="2" t="s">
        <v>27</v>
      </c>
      <c r="D11" s="2" t="s">
        <v>631</v>
      </c>
      <c r="E11" s="2" t="s">
        <v>39</v>
      </c>
      <c r="F11" s="2" t="s">
        <v>639</v>
      </c>
      <c r="G11">
        <v>0.1</v>
      </c>
      <c r="H11">
        <v>50</v>
      </c>
      <c r="I11" s="2" t="s">
        <v>649</v>
      </c>
      <c r="J11" s="2" t="s">
        <v>650</v>
      </c>
      <c r="K11" s="2" t="s">
        <v>123</v>
      </c>
      <c r="L11">
        <v>33</v>
      </c>
    </row>
    <row r="12" spans="1:16" x14ac:dyDescent="0.3">
      <c r="A12" s="2" t="s">
        <v>621</v>
      </c>
      <c r="B12" s="2" t="s">
        <v>630</v>
      </c>
      <c r="C12" s="2" t="s">
        <v>27</v>
      </c>
      <c r="D12" s="2" t="s">
        <v>631</v>
      </c>
      <c r="E12" s="2" t="s">
        <v>39</v>
      </c>
      <c r="F12" s="2" t="s">
        <v>640</v>
      </c>
      <c r="G12">
        <v>0.1</v>
      </c>
      <c r="H12">
        <v>50</v>
      </c>
      <c r="I12" s="2" t="s">
        <v>649</v>
      </c>
      <c r="J12" s="2" t="s">
        <v>650</v>
      </c>
      <c r="K12" s="2" t="s">
        <v>123</v>
      </c>
      <c r="L12">
        <v>47</v>
      </c>
    </row>
    <row r="13" spans="1:16" x14ac:dyDescent="0.3">
      <c r="A13" s="2" t="s">
        <v>622</v>
      </c>
      <c r="B13" s="2" t="s">
        <v>630</v>
      </c>
      <c r="C13" s="2" t="s">
        <v>27</v>
      </c>
      <c r="D13" s="2" t="s">
        <v>631</v>
      </c>
      <c r="E13" s="2" t="s">
        <v>39</v>
      </c>
      <c r="F13" s="2" t="s">
        <v>641</v>
      </c>
      <c r="G13">
        <v>0.1</v>
      </c>
      <c r="H13">
        <v>50</v>
      </c>
      <c r="I13" s="2" t="s">
        <v>649</v>
      </c>
      <c r="J13" s="2" t="s">
        <v>650</v>
      </c>
      <c r="K13" s="2" t="s">
        <v>123</v>
      </c>
      <c r="L13">
        <v>68</v>
      </c>
    </row>
    <row r="14" spans="1:16" x14ac:dyDescent="0.3">
      <c r="A14" s="2" t="s">
        <v>623</v>
      </c>
      <c r="B14" s="2" t="s">
        <v>630</v>
      </c>
      <c r="C14" s="2" t="s">
        <v>27</v>
      </c>
      <c r="D14" s="2" t="s">
        <v>631</v>
      </c>
      <c r="E14" s="2" t="s">
        <v>39</v>
      </c>
      <c r="F14" s="2" t="s">
        <v>642</v>
      </c>
      <c r="G14">
        <v>0.1</v>
      </c>
      <c r="H14">
        <v>50</v>
      </c>
      <c r="I14" s="2" t="s">
        <v>649</v>
      </c>
      <c r="J14" s="2" t="s">
        <v>650</v>
      </c>
      <c r="K14" s="2" t="s">
        <v>123</v>
      </c>
      <c r="L14">
        <v>100</v>
      </c>
    </row>
    <row r="15" spans="1:16" x14ac:dyDescent="0.3">
      <c r="A15" s="2" t="s">
        <v>624</v>
      </c>
      <c r="B15" s="2" t="s">
        <v>630</v>
      </c>
      <c r="C15" s="2" t="s">
        <v>27</v>
      </c>
      <c r="D15" s="2" t="s">
        <v>631</v>
      </c>
      <c r="E15" s="2" t="s">
        <v>39</v>
      </c>
      <c r="F15" s="2" t="s">
        <v>643</v>
      </c>
      <c r="G15">
        <v>0.1</v>
      </c>
      <c r="H15">
        <v>50</v>
      </c>
      <c r="I15" s="2" t="s">
        <v>649</v>
      </c>
      <c r="J15" s="2" t="s">
        <v>650</v>
      </c>
      <c r="K15" s="2" t="s">
        <v>123</v>
      </c>
      <c r="L15">
        <v>150</v>
      </c>
    </row>
    <row r="16" spans="1:16" x14ac:dyDescent="0.3">
      <c r="A16" s="2" t="s">
        <v>625</v>
      </c>
      <c r="B16" s="2" t="s">
        <v>630</v>
      </c>
      <c r="C16" s="2" t="s">
        <v>27</v>
      </c>
      <c r="D16" s="2" t="s">
        <v>631</v>
      </c>
      <c r="E16" s="2" t="s">
        <v>39</v>
      </c>
      <c r="F16" s="2" t="s">
        <v>644</v>
      </c>
      <c r="G16">
        <v>0.1</v>
      </c>
      <c r="H16">
        <v>50</v>
      </c>
      <c r="I16" s="2" t="s">
        <v>649</v>
      </c>
      <c r="J16" s="2" t="s">
        <v>650</v>
      </c>
      <c r="K16" s="2" t="s">
        <v>123</v>
      </c>
      <c r="L16">
        <v>220</v>
      </c>
    </row>
    <row r="17" spans="1:16" x14ac:dyDescent="0.3">
      <c r="A17" s="2" t="s">
        <v>626</v>
      </c>
      <c r="B17" s="2" t="s">
        <v>630</v>
      </c>
      <c r="C17" s="2" t="s">
        <v>27</v>
      </c>
      <c r="D17" s="2" t="s">
        <v>631</v>
      </c>
      <c r="E17" s="2" t="s">
        <v>39</v>
      </c>
      <c r="F17" s="2" t="s">
        <v>645</v>
      </c>
      <c r="G17">
        <v>0.1</v>
      </c>
      <c r="H17">
        <v>50</v>
      </c>
      <c r="I17" s="2" t="s">
        <v>649</v>
      </c>
      <c r="J17" s="2" t="s">
        <v>650</v>
      </c>
      <c r="K17" s="2" t="s">
        <v>123</v>
      </c>
      <c r="L17">
        <v>330</v>
      </c>
    </row>
    <row r="18" spans="1:16" x14ac:dyDescent="0.3">
      <c r="A18" s="2" t="s">
        <v>627</v>
      </c>
      <c r="B18" s="2" t="s">
        <v>630</v>
      </c>
      <c r="C18" s="2" t="s">
        <v>27</v>
      </c>
      <c r="D18" s="2" t="s">
        <v>631</v>
      </c>
      <c r="E18" s="2" t="s">
        <v>39</v>
      </c>
      <c r="F18" s="2" t="s">
        <v>646</v>
      </c>
      <c r="G18">
        <v>0.1</v>
      </c>
      <c r="H18">
        <v>50</v>
      </c>
      <c r="I18" s="2" t="s">
        <v>649</v>
      </c>
      <c r="J18" s="2" t="s">
        <v>650</v>
      </c>
      <c r="K18" s="2" t="s">
        <v>123</v>
      </c>
      <c r="L18">
        <v>470</v>
      </c>
    </row>
    <row r="19" spans="1:16" x14ac:dyDescent="0.3">
      <c r="A19" s="2" t="s">
        <v>628</v>
      </c>
      <c r="B19" s="2" t="s">
        <v>630</v>
      </c>
      <c r="C19" s="2" t="s">
        <v>27</v>
      </c>
      <c r="D19" s="2" t="s">
        <v>631</v>
      </c>
      <c r="E19" s="2" t="s">
        <v>39</v>
      </c>
      <c r="F19" s="2" t="s">
        <v>647</v>
      </c>
      <c r="G19">
        <v>0.1</v>
      </c>
      <c r="H19">
        <v>50</v>
      </c>
      <c r="I19" s="2" t="s">
        <v>649</v>
      </c>
      <c r="J19" s="2" t="s">
        <v>650</v>
      </c>
      <c r="K19" s="2" t="s">
        <v>123</v>
      </c>
      <c r="L19">
        <v>680</v>
      </c>
    </row>
    <row r="20" spans="1:16" x14ac:dyDescent="0.3">
      <c r="A20" s="2" t="s">
        <v>629</v>
      </c>
      <c r="B20" s="2" t="s">
        <v>630</v>
      </c>
      <c r="C20" s="2" t="s">
        <v>27</v>
      </c>
      <c r="D20" s="2" t="s">
        <v>631</v>
      </c>
      <c r="E20" s="2" t="s">
        <v>39</v>
      </c>
      <c r="F20" s="2" t="s">
        <v>648</v>
      </c>
      <c r="G20">
        <v>0.1</v>
      </c>
      <c r="H20">
        <v>50</v>
      </c>
      <c r="I20" s="2" t="s">
        <v>649</v>
      </c>
      <c r="J20" s="2" t="s">
        <v>650</v>
      </c>
      <c r="K20" s="2" t="s">
        <v>123</v>
      </c>
      <c r="L20">
        <v>1000</v>
      </c>
    </row>
    <row r="21" spans="1:16" x14ac:dyDescent="0.3">
      <c r="A21" s="2" t="s">
        <v>739</v>
      </c>
      <c r="B21" t="s">
        <v>735</v>
      </c>
      <c r="C21" s="2" t="s">
        <v>27</v>
      </c>
      <c r="D21" s="2" t="s">
        <v>631</v>
      </c>
      <c r="E21" s="2" t="s">
        <v>39</v>
      </c>
      <c r="F21" s="2" t="s">
        <v>736</v>
      </c>
      <c r="G21">
        <v>20</v>
      </c>
      <c r="H21">
        <v>10</v>
      </c>
      <c r="I21" t="s">
        <v>737</v>
      </c>
      <c r="J21" s="2" t="s">
        <v>738</v>
      </c>
      <c r="K21" t="s">
        <v>734</v>
      </c>
      <c r="L21">
        <v>2200</v>
      </c>
      <c r="M21" s="2" t="s">
        <v>792</v>
      </c>
      <c r="N21" t="s">
        <v>793</v>
      </c>
    </row>
    <row r="22" spans="1:16" x14ac:dyDescent="0.3">
      <c r="A22" t="s">
        <v>745</v>
      </c>
      <c r="B22" t="s">
        <v>746</v>
      </c>
      <c r="C22" s="2" t="s">
        <v>27</v>
      </c>
      <c r="D22" s="2" t="s">
        <v>631</v>
      </c>
      <c r="E22" s="2" t="s">
        <v>39</v>
      </c>
      <c r="F22" s="2" t="s">
        <v>648</v>
      </c>
      <c r="G22">
        <v>20</v>
      </c>
      <c r="H22">
        <v>25</v>
      </c>
      <c r="I22" t="s">
        <v>905</v>
      </c>
      <c r="J22" s="2" t="s">
        <v>747</v>
      </c>
      <c r="K22" t="s">
        <v>748</v>
      </c>
      <c r="L22">
        <v>1000</v>
      </c>
      <c r="P22" t="s">
        <v>1439</v>
      </c>
    </row>
    <row r="23" spans="1:16" x14ac:dyDescent="0.3">
      <c r="A23" t="s">
        <v>906</v>
      </c>
      <c r="B23" t="s">
        <v>746</v>
      </c>
      <c r="C23" s="2" t="s">
        <v>27</v>
      </c>
      <c r="D23" s="2" t="s">
        <v>631</v>
      </c>
      <c r="E23" s="2" t="s">
        <v>39</v>
      </c>
      <c r="F23" s="2" t="s">
        <v>648</v>
      </c>
      <c r="G23">
        <v>20</v>
      </c>
      <c r="H23">
        <v>35</v>
      </c>
      <c r="I23" t="s">
        <v>905</v>
      </c>
      <c r="J23" s="2" t="s">
        <v>904</v>
      </c>
      <c r="K23" t="s">
        <v>903</v>
      </c>
      <c r="L23">
        <v>1000</v>
      </c>
      <c r="P23" t="s">
        <v>1439</v>
      </c>
    </row>
    <row r="24" spans="1:16" x14ac:dyDescent="0.3">
      <c r="A24" t="s">
        <v>930</v>
      </c>
      <c r="B24" t="s">
        <v>931</v>
      </c>
      <c r="C24" s="2" t="s">
        <v>27</v>
      </c>
      <c r="D24" s="2" t="s">
        <v>631</v>
      </c>
      <c r="E24" s="2" t="s">
        <v>39</v>
      </c>
      <c r="F24" t="s">
        <v>932</v>
      </c>
      <c r="G24">
        <v>20</v>
      </c>
      <c r="H24">
        <v>400</v>
      </c>
      <c r="I24" t="s">
        <v>737</v>
      </c>
      <c r="J24" s="2" t="s">
        <v>936</v>
      </c>
      <c r="K24" t="s">
        <v>937</v>
      </c>
      <c r="L24">
        <v>3.3</v>
      </c>
      <c r="M24" s="2" t="s">
        <v>935</v>
      </c>
      <c r="N24" t="s">
        <v>934</v>
      </c>
      <c r="P24" t="s">
        <v>1439</v>
      </c>
    </row>
    <row r="25" spans="1:16" x14ac:dyDescent="0.3">
      <c r="A25" t="s">
        <v>980</v>
      </c>
      <c r="B25" t="s">
        <v>981</v>
      </c>
      <c r="C25" s="2" t="s">
        <v>27</v>
      </c>
      <c r="D25" s="2" t="s">
        <v>631</v>
      </c>
      <c r="E25" s="2" t="s">
        <v>39</v>
      </c>
      <c r="F25" t="s">
        <v>982</v>
      </c>
      <c r="G25">
        <v>20</v>
      </c>
      <c r="H25">
        <v>400</v>
      </c>
      <c r="I25" t="s">
        <v>737</v>
      </c>
      <c r="J25" s="2" t="s">
        <v>984</v>
      </c>
      <c r="K25" t="s">
        <v>983</v>
      </c>
      <c r="L25">
        <v>2700</v>
      </c>
      <c r="P25" t="s">
        <v>1439</v>
      </c>
    </row>
    <row r="26" spans="1:16" x14ac:dyDescent="0.3">
      <c r="A26" t="s">
        <v>1148</v>
      </c>
      <c r="B26" t="s">
        <v>746</v>
      </c>
      <c r="C26" t="s">
        <v>27</v>
      </c>
      <c r="D26" t="s">
        <v>631</v>
      </c>
      <c r="E26" t="s">
        <v>39</v>
      </c>
      <c r="F26" t="s">
        <v>645</v>
      </c>
      <c r="G26">
        <v>20</v>
      </c>
      <c r="H26">
        <v>35</v>
      </c>
      <c r="I26" t="s">
        <v>905</v>
      </c>
      <c r="J26" t="s">
        <v>1149</v>
      </c>
      <c r="K26" t="s">
        <v>1150</v>
      </c>
      <c r="L26">
        <v>330</v>
      </c>
    </row>
    <row r="27" spans="1:16" x14ac:dyDescent="0.3">
      <c r="A27" t="s">
        <v>1151</v>
      </c>
      <c r="B27" t="s">
        <v>1152</v>
      </c>
      <c r="C27" t="s">
        <v>27</v>
      </c>
      <c r="D27" t="s">
        <v>631</v>
      </c>
      <c r="E27" t="s">
        <v>39</v>
      </c>
      <c r="F27" t="s">
        <v>642</v>
      </c>
      <c r="G27">
        <v>20</v>
      </c>
      <c r="H27">
        <v>35</v>
      </c>
      <c r="I27" t="s">
        <v>905</v>
      </c>
      <c r="J27" t="s">
        <v>1153</v>
      </c>
      <c r="K27" t="s">
        <v>1154</v>
      </c>
      <c r="L27">
        <v>100</v>
      </c>
    </row>
    <row r="28" spans="1:16" x14ac:dyDescent="0.3">
      <c r="A28" t="s">
        <v>1442</v>
      </c>
      <c r="B28" t="s">
        <v>1443</v>
      </c>
      <c r="D28" t="s">
        <v>631</v>
      </c>
      <c r="E28" t="s">
        <v>39</v>
      </c>
      <c r="F28" t="s">
        <v>646</v>
      </c>
      <c r="G28">
        <v>20</v>
      </c>
      <c r="H28">
        <v>16</v>
      </c>
      <c r="I28" t="s">
        <v>905</v>
      </c>
      <c r="J28" t="s">
        <v>1149</v>
      </c>
      <c r="K28" t="s">
        <v>1150</v>
      </c>
      <c r="L28">
        <v>470</v>
      </c>
      <c r="O28" t="s">
        <v>1444</v>
      </c>
      <c r="P28" t="s">
        <v>1439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20"/>
  <sheetViews>
    <sheetView zoomScale="55" zoomScaleNormal="55" workbookViewId="0">
      <selection activeCell="R12" sqref="R12"/>
    </sheetView>
  </sheetViews>
  <sheetFormatPr defaultRowHeight="14.4" x14ac:dyDescent="0.3"/>
  <cols>
    <col min="1" max="1" width="14.77734375" customWidth="1"/>
    <col min="2" max="2" width="77.77734375" customWidth="1"/>
    <col min="3" max="3" width="12" customWidth="1"/>
    <col min="4" max="4" width="27.21875" customWidth="1"/>
    <col min="5" max="5" width="12.77734375" customWidth="1"/>
    <col min="6" max="6" width="36.21875" customWidth="1"/>
    <col min="7" max="7" width="16.77734375" customWidth="1"/>
    <col min="8" max="8" width="18.21875" customWidth="1"/>
    <col min="9" max="9" width="16.77734375" customWidth="1"/>
    <col min="10" max="10" width="18.21875" customWidth="1"/>
    <col min="11" max="11" width="16.77734375" customWidth="1"/>
    <col min="12" max="12" width="18.21875" customWidth="1"/>
    <col min="13" max="13" width="16.7773437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21875" customWidth="1"/>
  </cols>
  <sheetData>
    <row r="1" spans="1:18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665</v>
      </c>
      <c r="O1" s="1" t="s">
        <v>84</v>
      </c>
      <c r="P1" s="1" t="s">
        <v>25</v>
      </c>
      <c r="Q1" s="1" t="s">
        <v>964</v>
      </c>
      <c r="R1" s="49" t="s">
        <v>1438</v>
      </c>
    </row>
    <row r="2" spans="1:18" x14ac:dyDescent="0.3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8" x14ac:dyDescent="0.3">
      <c r="A3" s="2" t="s">
        <v>337</v>
      </c>
      <c r="B3" s="2" t="s">
        <v>338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339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8" x14ac:dyDescent="0.3">
      <c r="A4" s="2" t="s">
        <v>664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666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8" x14ac:dyDescent="0.3">
      <c r="A5" t="s">
        <v>696</v>
      </c>
      <c r="B5" t="s">
        <v>697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698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8" x14ac:dyDescent="0.3">
      <c r="A6" t="s">
        <v>723</v>
      </c>
      <c r="B6" t="s">
        <v>724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339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8" x14ac:dyDescent="0.3">
      <c r="A7" t="s">
        <v>782</v>
      </c>
      <c r="B7" t="s">
        <v>864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783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872</v>
      </c>
      <c r="P7" t="str">
        <f t="shared" si="2"/>
        <v>22 мк</v>
      </c>
    </row>
    <row r="8" spans="1:18" x14ac:dyDescent="0.3">
      <c r="A8" t="s">
        <v>865</v>
      </c>
      <c r="B8" t="s">
        <v>863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862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8" x14ac:dyDescent="0.3">
      <c r="A9" t="s">
        <v>873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874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8" x14ac:dyDescent="0.3">
      <c r="A10" t="s">
        <v>876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877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8" x14ac:dyDescent="0.3">
      <c r="A11" t="s">
        <v>912</v>
      </c>
      <c r="B11" t="s">
        <v>913</v>
      </c>
      <c r="C11" t="s">
        <v>957</v>
      </c>
      <c r="D11" s="2" t="s">
        <v>914</v>
      </c>
      <c r="E11" s="2" t="s">
        <v>912</v>
      </c>
      <c r="F11" s="2" t="str">
        <f t="shared" si="12"/>
        <v>Footprints\Inductance\M20VN.PcbLib</v>
      </c>
      <c r="G11" s="2" t="s">
        <v>912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915</v>
      </c>
      <c r="R11" t="s">
        <v>1439</v>
      </c>
    </row>
    <row r="12" spans="1:18" x14ac:dyDescent="0.3">
      <c r="A12" t="s">
        <v>927</v>
      </c>
      <c r="B12" t="s">
        <v>928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339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8" x14ac:dyDescent="0.3">
      <c r="A13" t="s">
        <v>929</v>
      </c>
      <c r="B13" t="s">
        <v>933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339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8" x14ac:dyDescent="0.3">
      <c r="A14" t="s">
        <v>950</v>
      </c>
      <c r="B14" t="s">
        <v>952</v>
      </c>
      <c r="C14" t="str">
        <f t="shared" si="11"/>
        <v>HV_trans</v>
      </c>
      <c r="D14" s="2" t="s">
        <v>951</v>
      </c>
      <c r="E14" s="2" t="s">
        <v>950</v>
      </c>
      <c r="F14" s="2" t="str">
        <f t="shared" si="12"/>
        <v>Footprints\Inductance\EE16_transformer.PcbLib</v>
      </c>
      <c r="G14" s="2" t="s">
        <v>953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  <c r="R14" t="s">
        <v>1439</v>
      </c>
    </row>
    <row r="15" spans="1:18" x14ac:dyDescent="0.3">
      <c r="A15" t="s">
        <v>1101</v>
      </c>
      <c r="B15" t="s">
        <v>1102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1130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637</v>
      </c>
    </row>
    <row r="16" spans="1:18" x14ac:dyDescent="0.3">
      <c r="A16" t="s">
        <v>1155</v>
      </c>
      <c r="B16" t="str">
        <f>CONCATENATE("Индуктивность на ", P16, "Гн, номинальный ток ", O16, " A")</f>
        <v>Индуктивность на 1 мкГн, номинальный ток 4,3 A</v>
      </c>
      <c r="C16" t="str">
        <f t="shared" ref="C16:C17" si="13">A16</f>
        <v>CDSP43-1R0M</v>
      </c>
      <c r="D16" s="2" t="s">
        <v>104</v>
      </c>
      <c r="E16" s="2" t="s">
        <v>102</v>
      </c>
      <c r="F16" s="2" t="str">
        <f t="shared" ref="F16:F17" si="14">CONCATENATE("Footprints\Inductance\",G16,".PcbLib")</f>
        <v>Footprints\Inductance\4.5x4_wired.PcbLib</v>
      </c>
      <c r="G16" s="2" t="s">
        <v>877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>
        <v>4.3</v>
      </c>
      <c r="P16" t="s">
        <v>601</v>
      </c>
    </row>
    <row r="17" spans="1:18" x14ac:dyDescent="0.3">
      <c r="A17" t="s">
        <v>1156</v>
      </c>
      <c r="B17" t="str">
        <f>CONCATENATE("Индуктивность на ", P17, "Гн, номинальный ток ", O17, " A")</f>
        <v>Индуктивность на 330 мкГн, номинальный ток 1,79 A</v>
      </c>
      <c r="C17" t="str">
        <f t="shared" si="13"/>
        <v>CDSPRH127-331M</v>
      </c>
      <c r="D17" s="2" t="s">
        <v>104</v>
      </c>
      <c r="E17" s="2" t="s">
        <v>102</v>
      </c>
      <c r="F17" s="2" t="str">
        <f t="shared" si="14"/>
        <v>Footprints\Inductance\12.8x12.8.PcbLib</v>
      </c>
      <c r="G17" s="2" t="s">
        <v>108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>
        <v>1.79</v>
      </c>
      <c r="P17" t="s">
        <v>645</v>
      </c>
    </row>
    <row r="18" spans="1:18" x14ac:dyDescent="0.3">
      <c r="A18" t="s">
        <v>1185</v>
      </c>
      <c r="B18" t="s">
        <v>1186</v>
      </c>
      <c r="C18" t="str">
        <f>A18</f>
        <v>SP43-150K</v>
      </c>
      <c r="D18" s="2" t="s">
        <v>104</v>
      </c>
      <c r="E18" s="2" t="s">
        <v>102</v>
      </c>
      <c r="F18" s="2" t="str">
        <f>CONCATENATE("Footprints\Inductance\",G18,".PcbLib")</f>
        <v>Footprints\Inductance\SP43.PcbLib</v>
      </c>
      <c r="G18" s="2" t="s">
        <v>1187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>
        <v>1.3</v>
      </c>
      <c r="P18" t="s">
        <v>637</v>
      </c>
    </row>
    <row r="19" spans="1:18" x14ac:dyDescent="0.3">
      <c r="A19" t="s">
        <v>1403</v>
      </c>
      <c r="B19" t="s">
        <v>1404</v>
      </c>
      <c r="C19" t="str">
        <f>A19</f>
        <v>B82472G6472M</v>
      </c>
      <c r="D19" s="2" t="s">
        <v>104</v>
      </c>
      <c r="E19" s="2" t="s">
        <v>102</v>
      </c>
      <c r="F19" s="2" t="str">
        <f t="shared" ref="F19" si="18">CONCATENATE("Footprints\Inductance\",G19,".PcbLib")</f>
        <v>Footprints\Inductance\B82462G4.PcbLib</v>
      </c>
      <c r="G19" s="2" t="s">
        <v>783</v>
      </c>
      <c r="H19" s="2" t="str">
        <f>CONCATENATE("Footprints\Inductance\",I19,".PcbLib")</f>
        <v>Footprints\Inductance\.PcbLib</v>
      </c>
      <c r="I19" s="2"/>
      <c r="J19" s="2" t="str">
        <f>CONCATENATE("Footprints\Inductance\",K19,".PcbLib")</f>
        <v>Footprints\Inductance\.PcbLib</v>
      </c>
      <c r="K19" s="2"/>
      <c r="L19" s="2" t="str">
        <f>CONCATENATE("Footprints\Inductance\",M19,".PcbLib")</f>
        <v>Footprints\Inductance\.PcbLib</v>
      </c>
      <c r="M19" s="2"/>
      <c r="N19" s="18">
        <v>4.7</v>
      </c>
      <c r="O19">
        <v>2.5</v>
      </c>
      <c r="P19" t="str">
        <f t="shared" ref="P19:P20" si="19">CONCATENATE(N19, " мк")</f>
        <v>4,7 мк</v>
      </c>
      <c r="R19" t="s">
        <v>1439</v>
      </c>
    </row>
    <row r="20" spans="1:18" x14ac:dyDescent="0.3">
      <c r="A20" t="s">
        <v>1405</v>
      </c>
      <c r="B20" t="s">
        <v>1406</v>
      </c>
      <c r="C20" t="str">
        <f>A20</f>
        <v>CDRH6D12NP-2R2NC</v>
      </c>
      <c r="D20" s="2" t="s">
        <v>1407</v>
      </c>
      <c r="E20" s="2" t="s">
        <v>1408</v>
      </c>
      <c r="F20" s="2" t="str">
        <f>CONCATENATE("Footprints\Inductance\",G20,".PcbLib")</f>
        <v>Footprints\Inductance\CDRH6D12.PcbLib</v>
      </c>
      <c r="G20" s="2" t="s">
        <v>1409</v>
      </c>
      <c r="H20" s="2" t="str">
        <f>CONCATENATE("Footprints\Inductance\",I20,".PcbLib")</f>
        <v>Footprints\Inductance\.PcbLib</v>
      </c>
      <c r="I20" s="2"/>
      <c r="J20" s="2" t="str">
        <f>CONCATENATE("Footprints\Inductance\",K20,".PcbLib")</f>
        <v>Footprints\Inductance\.PcbLib</v>
      </c>
      <c r="K20" s="2"/>
      <c r="L20" s="2" t="str">
        <f>CONCATENATE("Footprints\Inductance\",M20,".PcbLib")</f>
        <v>Footprints\Inductance\.PcbLib</v>
      </c>
      <c r="M20" s="2"/>
      <c r="N20" s="18">
        <v>2.2000000000000002</v>
      </c>
      <c r="O20">
        <v>2.5</v>
      </c>
      <c r="P20" t="str">
        <f t="shared" si="19"/>
        <v>2,2 мк</v>
      </c>
      <c r="R20" t="s">
        <v>1439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M2" sqref="M2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21875" customWidth="1"/>
    <col min="5" max="5" width="20.5546875" customWidth="1"/>
    <col min="6" max="6" width="21.77734375" customWidth="1"/>
    <col min="7" max="7" width="17.77734375" customWidth="1"/>
    <col min="8" max="8" width="22.77734375" customWidth="1"/>
    <col min="9" max="9" width="18.44140625" customWidth="1"/>
    <col min="10" max="10" width="16.77734375" customWidth="1"/>
    <col min="11" max="11" width="12.44140625" customWidth="1"/>
    <col min="12" max="12" width="13.218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943</v>
      </c>
      <c r="K1" s="1" t="s">
        <v>968</v>
      </c>
      <c r="L1" s="1" t="s">
        <v>964</v>
      </c>
      <c r="M1" s="49" t="s">
        <v>1438</v>
      </c>
      <c r="N1" s="17"/>
      <c r="O1" s="1"/>
      <c r="P1" s="1"/>
      <c r="Q1" s="1"/>
    </row>
    <row r="2" spans="1:17" ht="15.6" x14ac:dyDescent="0.3">
      <c r="A2" s="21" t="s">
        <v>938</v>
      </c>
      <c r="B2" s="22" t="s">
        <v>939</v>
      </c>
      <c r="C2" s="20" t="str">
        <f>A2</f>
        <v>TS820-600B-TR</v>
      </c>
      <c r="D2" s="22" t="s">
        <v>941</v>
      </c>
      <c r="E2" s="22" t="s">
        <v>940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942</v>
      </c>
      <c r="K2" s="26" t="s">
        <v>944</v>
      </c>
      <c r="L2" s="26"/>
      <c r="M2" s="2" t="s">
        <v>1439</v>
      </c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0"/>
  <sheetViews>
    <sheetView zoomScale="70" zoomScaleNormal="70" workbookViewId="0">
      <selection activeCell="N24" sqref="N24"/>
    </sheetView>
  </sheetViews>
  <sheetFormatPr defaultRowHeight="14.4" x14ac:dyDescent="0.3"/>
  <cols>
    <col min="1" max="1" width="14.77734375" customWidth="1"/>
    <col min="2" max="2" width="120" bestFit="1" customWidth="1"/>
    <col min="3" max="3" width="20" customWidth="1"/>
    <col min="4" max="4" width="35.33203125" customWidth="1"/>
    <col min="5" max="5" width="14.44140625" customWidth="1"/>
    <col min="6" max="6" width="36.77734375" customWidth="1"/>
    <col min="7" max="7" width="16.77734375" customWidth="1"/>
    <col min="8" max="8" width="20.77734375" customWidth="1"/>
    <col min="9" max="9" width="16.77734375" customWidth="1"/>
    <col min="10" max="10" width="31.21875" bestFit="1" customWidth="1"/>
    <col min="11" max="11" width="17.44140625" bestFit="1" customWidth="1"/>
    <col min="12" max="12" width="11.21875" customWidth="1"/>
    <col min="13" max="13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42" t="s">
        <v>25</v>
      </c>
      <c r="M1" s="1" t="s">
        <v>964</v>
      </c>
      <c r="N1" s="49" t="s">
        <v>1438</v>
      </c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1025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1020</v>
      </c>
      <c r="I3" s="2" t="s">
        <v>1019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1440</v>
      </c>
      <c r="G5" s="2" t="s">
        <v>64</v>
      </c>
      <c r="H5" s="2"/>
      <c r="I5" s="2"/>
      <c r="J5" s="2"/>
      <c r="K5" s="2"/>
    </row>
    <row r="6" spans="1:20" x14ac:dyDescent="0.3">
      <c r="A6" s="2" t="s">
        <v>371</v>
      </c>
      <c r="B6" s="2" t="s">
        <v>373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372</v>
      </c>
      <c r="H6" s="2" t="str">
        <f t="shared" si="0"/>
        <v>Footprints\1206SB.PcbLib</v>
      </c>
      <c r="I6" s="2" t="s">
        <v>829</v>
      </c>
      <c r="J6" s="2" t="str">
        <f t="shared" ref="J6" si="1">CONCATENATE("Footprints\",K6,".PcbLib")</f>
        <v>Footprints\0805SB_wide_gap.PcbLib</v>
      </c>
      <c r="K6" s="2" t="s">
        <v>878</v>
      </c>
      <c r="N6" t="s">
        <v>1439</v>
      </c>
    </row>
    <row r="7" spans="1:20" x14ac:dyDescent="0.3">
      <c r="A7" s="2" t="s">
        <v>707</v>
      </c>
      <c r="B7" s="2" t="s">
        <v>708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709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  <c r="N7" t="s">
        <v>1439</v>
      </c>
    </row>
    <row r="8" spans="1:20" x14ac:dyDescent="0.3">
      <c r="A8" s="2" t="s">
        <v>731</v>
      </c>
      <c r="B8" s="2" t="s">
        <v>730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709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  <c r="N8" t="s">
        <v>1439</v>
      </c>
    </row>
    <row r="9" spans="1:20" x14ac:dyDescent="0.3">
      <c r="A9" s="2" t="s">
        <v>743</v>
      </c>
      <c r="B9" s="2" t="s">
        <v>741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742</v>
      </c>
      <c r="F9" s="2" t="str">
        <f t="shared" si="0"/>
        <v>Footprints\fuse_20x5_on_clips_FC-M.PcbLib</v>
      </c>
      <c r="G9" s="2" t="s">
        <v>740</v>
      </c>
      <c r="H9" s="2"/>
      <c r="I9" s="2"/>
      <c r="J9" s="2"/>
      <c r="K9" s="2"/>
      <c r="N9" t="s">
        <v>1439</v>
      </c>
    </row>
    <row r="10" spans="1:20" x14ac:dyDescent="0.3">
      <c r="A10" s="2" t="s">
        <v>787</v>
      </c>
      <c r="B10" s="2" t="s">
        <v>788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787</v>
      </c>
      <c r="H10" s="2"/>
      <c r="I10" s="2"/>
      <c r="J10" s="2"/>
      <c r="K10" s="2"/>
      <c r="N10" t="s">
        <v>1439</v>
      </c>
    </row>
    <row r="11" spans="1:20" x14ac:dyDescent="0.3">
      <c r="A11" s="2" t="s">
        <v>818</v>
      </c>
      <c r="B11" s="2" t="s">
        <v>819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818</v>
      </c>
      <c r="H11" s="2"/>
      <c r="I11" s="2"/>
      <c r="J11" s="2"/>
      <c r="K11" s="2"/>
      <c r="N11" t="s">
        <v>1439</v>
      </c>
    </row>
    <row r="12" spans="1:20" x14ac:dyDescent="0.3">
      <c r="A12" s="2" t="s">
        <v>866</v>
      </c>
      <c r="B12" s="2" t="s">
        <v>867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818</v>
      </c>
      <c r="F12" s="2" t="str">
        <f t="shared" ref="F12" si="4">CONCATENATE("Footprints\",G12,".PcbLib")</f>
        <v>Footprints\cooler3030.PcbLib</v>
      </c>
      <c r="G12" s="2" t="s">
        <v>866</v>
      </c>
      <c r="H12" s="2"/>
      <c r="I12" s="2"/>
      <c r="J12" s="2"/>
      <c r="K12" s="2"/>
      <c r="N12" t="s">
        <v>1439</v>
      </c>
    </row>
    <row r="13" spans="1:20" x14ac:dyDescent="0.3">
      <c r="A13" s="2" t="s">
        <v>992</v>
      </c>
      <c r="B13" s="2" t="s">
        <v>994</v>
      </c>
      <c r="C13" s="2" t="s">
        <v>993</v>
      </c>
      <c r="D13" t="s">
        <v>995</v>
      </c>
      <c r="E13" s="2" t="s">
        <v>996</v>
      </c>
      <c r="F13" s="2" t="s">
        <v>991</v>
      </c>
      <c r="G13" s="2" t="s">
        <v>990</v>
      </c>
      <c r="H13" s="2"/>
      <c r="I13" s="2"/>
      <c r="J13" s="2"/>
      <c r="K13" s="2"/>
      <c r="M13" s="23" t="s">
        <v>997</v>
      </c>
      <c r="N13" t="s">
        <v>1439</v>
      </c>
    </row>
    <row r="14" spans="1:20" x14ac:dyDescent="0.3">
      <c r="A14" t="s">
        <v>998</v>
      </c>
      <c r="B14" t="s">
        <v>1000</v>
      </c>
      <c r="C14" t="s">
        <v>999</v>
      </c>
      <c r="D14" t="s">
        <v>995</v>
      </c>
      <c r="E14" s="2" t="s">
        <v>996</v>
      </c>
      <c r="F14" s="2" t="str">
        <f t="shared" ref="F14:F15" si="5">CONCATENATE("Footprints\",G14,".PcbLib")</f>
        <v>Footprints\spacer_m2.5_h16.PcbLib</v>
      </c>
      <c r="G14" t="s">
        <v>998</v>
      </c>
      <c r="J14" t="str">
        <f>CONCATENATE("Footprints\",K14,".PcbLib")</f>
        <v>Footprints\.PcbLib</v>
      </c>
      <c r="N14" t="s">
        <v>1439</v>
      </c>
    </row>
    <row r="15" spans="1:20" x14ac:dyDescent="0.3">
      <c r="A15" t="s">
        <v>1021</v>
      </c>
      <c r="B15" t="s">
        <v>1022</v>
      </c>
      <c r="C15" t="str">
        <f>A15</f>
        <v>CR2032-VAY3-15.2</v>
      </c>
      <c r="D15" t="s">
        <v>1023</v>
      </c>
      <c r="E15" t="s">
        <v>1024</v>
      </c>
      <c r="F15" s="2" t="str">
        <f t="shared" si="5"/>
        <v>Footprints\CR2032-VAY3-15.2.PcbLib</v>
      </c>
      <c r="G15" t="s">
        <v>1021</v>
      </c>
      <c r="J15" t="str">
        <f>CONCATENATE("Footprints\",K15,".PcbLib")</f>
        <v>Footprints\.PcbLib</v>
      </c>
      <c r="N15" t="s">
        <v>1439</v>
      </c>
    </row>
    <row r="16" spans="1:20" x14ac:dyDescent="0.3">
      <c r="A16" t="s">
        <v>1049</v>
      </c>
      <c r="B16" t="s">
        <v>1050</v>
      </c>
      <c r="C16" t="s">
        <v>1051</v>
      </c>
      <c r="D16" t="str">
        <f t="shared" ref="D16" si="6">CONCATENATE("Schematic\",A16,".SchLib")</f>
        <v>Schematic\4WayDIP.SchLib</v>
      </c>
      <c r="E16" t="s">
        <v>1052</v>
      </c>
      <c r="F16" t="s">
        <v>1053</v>
      </c>
      <c r="G16" t="s">
        <v>1054</v>
      </c>
      <c r="J16" t="str">
        <f t="shared" ref="J16" si="7">CONCATENATE("Footprints\",K16,".PcbLib")</f>
        <v>Footprints\.PcbLib</v>
      </c>
    </row>
    <row r="17" spans="1:14" x14ac:dyDescent="0.3">
      <c r="A17" t="s">
        <v>1384</v>
      </c>
      <c r="B17" t="s">
        <v>1385</v>
      </c>
      <c r="C17" t="str">
        <f>A17</f>
        <v>Button_DIP_12x12</v>
      </c>
      <c r="D17" t="s">
        <v>1386</v>
      </c>
      <c r="E17" s="2" t="s">
        <v>54</v>
      </c>
      <c r="F17" t="s">
        <v>1387</v>
      </c>
      <c r="G17" t="s">
        <v>1384</v>
      </c>
      <c r="J17" t="str">
        <f>CONCATENATE("Footprints\",K17,".PcbLib")</f>
        <v>Footprints\.PcbLib</v>
      </c>
    </row>
    <row r="18" spans="1:14" x14ac:dyDescent="0.3">
      <c r="A18" t="s">
        <v>1422</v>
      </c>
      <c r="B18" t="s">
        <v>1423</v>
      </c>
      <c r="C18" t="str">
        <f>A18</f>
        <v>X322525MOB4SI</v>
      </c>
      <c r="D18" t="str">
        <f>CONCATENATE("Schematic\",E18,".SchLib")</f>
        <v>Schematic\XTAL_1-3_GND.SchLib</v>
      </c>
      <c r="E18" t="s">
        <v>1419</v>
      </c>
      <c r="F18" t="s">
        <v>1424</v>
      </c>
      <c r="G18" t="s">
        <v>1422</v>
      </c>
      <c r="J18" t="str">
        <f>CONCATENATE("Footprints\",K18,".PcbLib")</f>
        <v>Footprints\.PcbLib</v>
      </c>
      <c r="L18" t="s">
        <v>1420</v>
      </c>
      <c r="M18" t="s">
        <v>1421</v>
      </c>
      <c r="N18" t="s">
        <v>1439</v>
      </c>
    </row>
    <row r="19" spans="1:14" x14ac:dyDescent="0.3">
      <c r="A19" s="2" t="s">
        <v>1446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1446</v>
      </c>
      <c r="H19" s="2"/>
      <c r="I19" s="2"/>
      <c r="J19" s="2"/>
      <c r="K19" s="2"/>
      <c r="M19" t="s">
        <v>1463</v>
      </c>
      <c r="N19" t="s">
        <v>1464</v>
      </c>
    </row>
    <row r="20" spans="1:14" x14ac:dyDescent="0.3">
      <c r="A20" t="s">
        <v>1465</v>
      </c>
      <c r="B20" s="2" t="s">
        <v>1466</v>
      </c>
      <c r="C20" s="2" t="str">
        <f>A20</f>
        <v>SMT-NUT-M2H1.5</v>
      </c>
      <c r="D20" t="s">
        <v>995</v>
      </c>
      <c r="E20" s="2" t="s">
        <v>996</v>
      </c>
      <c r="F20" s="2" t="s">
        <v>991</v>
      </c>
      <c r="G20">
        <v>9774015243</v>
      </c>
      <c r="M20" s="23" t="s">
        <v>997</v>
      </c>
      <c r="N20" t="s">
        <v>1464</v>
      </c>
    </row>
  </sheetData>
  <hyperlinks>
    <hyperlink ref="M13" r:id="rId1" xr:uid="{A9372BC7-0198-410B-8682-8209A52124DB}"/>
    <hyperlink ref="M20" r:id="rId2" xr:uid="{D50E05F9-6993-4DBE-8ACB-FF9AE22CD74D}"/>
  </hyperlinks>
  <pageMargins left="0.7" right="0.7" top="0.75" bottom="0.75" header="0.3" footer="0.3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61"/>
  <sheetViews>
    <sheetView tabSelected="1" topLeftCell="A43" zoomScale="85" zoomScaleNormal="85" workbookViewId="0">
      <selection activeCell="F61" sqref="F61"/>
    </sheetView>
  </sheetViews>
  <sheetFormatPr defaultRowHeight="14.4" x14ac:dyDescent="0.3"/>
  <cols>
    <col min="1" max="1" width="14.77734375" customWidth="1"/>
    <col min="2" max="2" width="40.44140625" customWidth="1"/>
    <col min="3" max="3" width="13.21875" customWidth="1"/>
    <col min="4" max="4" width="45.77734375" customWidth="1"/>
    <col min="5" max="5" width="17.21875" customWidth="1"/>
    <col min="6" max="6" width="51" customWidth="1"/>
    <col min="7" max="7" width="16.77734375" customWidth="1"/>
    <col min="8" max="8" width="44.44140625" customWidth="1"/>
    <col min="9" max="9" width="23.77734375" customWidth="1"/>
    <col min="10" max="10" width="28.77734375" customWidth="1"/>
    <col min="11" max="11" width="11.77734375" customWidth="1"/>
  </cols>
  <sheetData>
    <row r="1" spans="1:1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964</v>
      </c>
      <c r="K1" s="1" t="s">
        <v>988</v>
      </c>
      <c r="L1" s="49" t="s">
        <v>1438</v>
      </c>
    </row>
    <row r="2" spans="1:12" x14ac:dyDescent="0.3">
      <c r="A2" s="2" t="s">
        <v>65</v>
      </c>
      <c r="B2" s="2" t="s">
        <v>66</v>
      </c>
      <c r="C2" s="2" t="s">
        <v>65</v>
      </c>
      <c r="D2" t="s">
        <v>347</v>
      </c>
      <c r="E2" s="2" t="s">
        <v>113</v>
      </c>
      <c r="F2" t="s">
        <v>348</v>
      </c>
      <c r="G2" s="2" t="s">
        <v>65</v>
      </c>
      <c r="K2" t="s">
        <v>989</v>
      </c>
    </row>
    <row r="3" spans="1:12" x14ac:dyDescent="0.3">
      <c r="A3" s="2" t="s">
        <v>67</v>
      </c>
      <c r="B3" s="2" t="s">
        <v>66</v>
      </c>
      <c r="C3" s="2" t="s">
        <v>67</v>
      </c>
      <c r="D3" t="s">
        <v>349</v>
      </c>
      <c r="E3" s="2" t="s">
        <v>114</v>
      </c>
      <c r="F3" t="s">
        <v>350</v>
      </c>
      <c r="G3" s="2" t="s">
        <v>67</v>
      </c>
      <c r="K3" t="s">
        <v>989</v>
      </c>
    </row>
    <row r="4" spans="1:12" x14ac:dyDescent="0.3">
      <c r="A4" t="s">
        <v>888</v>
      </c>
      <c r="B4" t="s">
        <v>110</v>
      </c>
      <c r="C4" s="2" t="s">
        <v>888</v>
      </c>
      <c r="D4" t="s">
        <v>351</v>
      </c>
      <c r="E4" s="2" t="s">
        <v>115</v>
      </c>
      <c r="F4" t="s">
        <v>958</v>
      </c>
      <c r="G4" t="s">
        <v>109</v>
      </c>
      <c r="K4" t="s">
        <v>989</v>
      </c>
      <c r="L4" t="s">
        <v>1464</v>
      </c>
    </row>
    <row r="5" spans="1:12" x14ac:dyDescent="0.3">
      <c r="A5" t="s">
        <v>111</v>
      </c>
      <c r="B5" t="s">
        <v>112</v>
      </c>
      <c r="C5" s="2" t="s">
        <v>111</v>
      </c>
      <c r="D5" t="s">
        <v>352</v>
      </c>
      <c r="E5" s="2" t="s">
        <v>116</v>
      </c>
      <c r="F5" t="s">
        <v>353</v>
      </c>
      <c r="G5" t="s">
        <v>111</v>
      </c>
      <c r="K5" t="s">
        <v>989</v>
      </c>
      <c r="L5" t="s">
        <v>1464</v>
      </c>
    </row>
    <row r="6" spans="1:12" x14ac:dyDescent="0.3">
      <c r="A6" t="s">
        <v>117</v>
      </c>
      <c r="B6" t="s">
        <v>118</v>
      </c>
      <c r="C6" s="2" t="s">
        <v>117</v>
      </c>
      <c r="D6" t="s">
        <v>354</v>
      </c>
      <c r="E6" s="2" t="s">
        <v>119</v>
      </c>
      <c r="F6" t="s">
        <v>355</v>
      </c>
      <c r="G6" t="s">
        <v>117</v>
      </c>
      <c r="H6" t="s">
        <v>360</v>
      </c>
      <c r="I6" t="s">
        <v>336</v>
      </c>
      <c r="K6" t="s">
        <v>989</v>
      </c>
    </row>
    <row r="7" spans="1:12" x14ac:dyDescent="0.3">
      <c r="A7" t="s">
        <v>852</v>
      </c>
      <c r="B7" t="s">
        <v>120</v>
      </c>
      <c r="C7" s="2" t="s">
        <v>852</v>
      </c>
      <c r="D7" t="s">
        <v>663</v>
      </c>
      <c r="E7" s="2" t="s">
        <v>661</v>
      </c>
      <c r="F7" t="s">
        <v>853</v>
      </c>
      <c r="G7" t="s">
        <v>852</v>
      </c>
      <c r="K7" t="s">
        <v>989</v>
      </c>
      <c r="L7" t="s">
        <v>1439</v>
      </c>
    </row>
    <row r="8" spans="1:12" x14ac:dyDescent="0.3">
      <c r="A8" t="s">
        <v>333</v>
      </c>
      <c r="B8" t="s">
        <v>334</v>
      </c>
      <c r="C8" s="2" t="s">
        <v>333</v>
      </c>
      <c r="D8" t="s">
        <v>356</v>
      </c>
      <c r="E8" t="s">
        <v>121</v>
      </c>
      <c r="F8" t="s">
        <v>357</v>
      </c>
      <c r="G8" t="s">
        <v>333</v>
      </c>
      <c r="H8" t="s">
        <v>370</v>
      </c>
      <c r="I8" t="s">
        <v>358</v>
      </c>
      <c r="K8" t="s">
        <v>989</v>
      </c>
    </row>
    <row r="9" spans="1:12" x14ac:dyDescent="0.3">
      <c r="A9" t="s">
        <v>335</v>
      </c>
      <c r="B9" t="s">
        <v>660</v>
      </c>
      <c r="C9" s="2" t="s">
        <v>335</v>
      </c>
      <c r="D9" t="s">
        <v>851</v>
      </c>
      <c r="E9" t="s">
        <v>850</v>
      </c>
      <c r="F9" t="s">
        <v>359</v>
      </c>
      <c r="G9" t="s">
        <v>335</v>
      </c>
      <c r="K9" t="s">
        <v>989</v>
      </c>
      <c r="L9" t="s">
        <v>1439</v>
      </c>
    </row>
    <row r="10" spans="1:12" x14ac:dyDescent="0.3">
      <c r="A10" t="s">
        <v>345</v>
      </c>
      <c r="B10" t="s">
        <v>346</v>
      </c>
      <c r="C10" s="2" t="s">
        <v>345</v>
      </c>
      <c r="D10" t="s">
        <v>356</v>
      </c>
      <c r="E10" t="s">
        <v>121</v>
      </c>
      <c r="F10" t="s">
        <v>361</v>
      </c>
      <c r="G10" t="s">
        <v>345</v>
      </c>
      <c r="K10" t="s">
        <v>989</v>
      </c>
    </row>
    <row r="11" spans="1:12" x14ac:dyDescent="0.3">
      <c r="A11" t="s">
        <v>362</v>
      </c>
      <c r="B11" t="s">
        <v>363</v>
      </c>
      <c r="C11" s="2" t="s">
        <v>362</v>
      </c>
      <c r="D11" t="s">
        <v>364</v>
      </c>
      <c r="E11" t="s">
        <v>365</v>
      </c>
      <c r="F11" t="s">
        <v>366</v>
      </c>
      <c r="G11" t="s">
        <v>362</v>
      </c>
      <c r="K11" t="s">
        <v>989</v>
      </c>
      <c r="L11" t="s">
        <v>1439</v>
      </c>
    </row>
    <row r="12" spans="1:12" x14ac:dyDescent="0.3">
      <c r="A12" t="s">
        <v>367</v>
      </c>
      <c r="B12" t="s">
        <v>368</v>
      </c>
      <c r="C12" s="2" t="s">
        <v>367</v>
      </c>
      <c r="D12" t="s">
        <v>364</v>
      </c>
      <c r="E12" t="s">
        <v>365</v>
      </c>
      <c r="F12" t="s">
        <v>369</v>
      </c>
      <c r="G12" t="s">
        <v>367</v>
      </c>
      <c r="K12" t="s">
        <v>989</v>
      </c>
      <c r="L12" t="s">
        <v>1439</v>
      </c>
    </row>
    <row r="13" spans="1:12" x14ac:dyDescent="0.3">
      <c r="A13" t="s">
        <v>658</v>
      </c>
      <c r="B13" t="s">
        <v>659</v>
      </c>
      <c r="C13" s="2"/>
      <c r="D13" t="s">
        <v>663</v>
      </c>
      <c r="E13" t="s">
        <v>661</v>
      </c>
      <c r="F13" t="s">
        <v>662</v>
      </c>
      <c r="G13" t="s">
        <v>658</v>
      </c>
      <c r="K13" t="s">
        <v>989</v>
      </c>
    </row>
    <row r="14" spans="1:12" x14ac:dyDescent="0.3">
      <c r="A14" t="s">
        <v>688</v>
      </c>
      <c r="B14" t="s">
        <v>689</v>
      </c>
      <c r="C14" s="2" t="s">
        <v>690</v>
      </c>
      <c r="D14" t="s">
        <v>691</v>
      </c>
      <c r="E14" t="s">
        <v>690</v>
      </c>
      <c r="F14" t="s">
        <v>692</v>
      </c>
      <c r="G14" t="s">
        <v>690</v>
      </c>
      <c r="K14" t="s">
        <v>989</v>
      </c>
    </row>
    <row r="15" spans="1:12" x14ac:dyDescent="0.3">
      <c r="A15" t="s">
        <v>757</v>
      </c>
      <c r="B15" t="s">
        <v>760</v>
      </c>
      <c r="C15" s="2" t="s">
        <v>757</v>
      </c>
      <c r="D15" t="s">
        <v>758</v>
      </c>
      <c r="E15" t="s">
        <v>757</v>
      </c>
      <c r="F15" t="s">
        <v>759</v>
      </c>
      <c r="G15" t="s">
        <v>757</v>
      </c>
      <c r="K15" t="s">
        <v>989</v>
      </c>
    </row>
    <row r="16" spans="1:12" x14ac:dyDescent="0.3">
      <c r="A16" t="s">
        <v>804</v>
      </c>
      <c r="B16" t="s">
        <v>812</v>
      </c>
      <c r="C16" s="2" t="s">
        <v>805</v>
      </c>
      <c r="D16" t="s">
        <v>806</v>
      </c>
      <c r="E16" t="s">
        <v>804</v>
      </c>
      <c r="F16" t="s">
        <v>807</v>
      </c>
      <c r="G16" t="s">
        <v>804</v>
      </c>
      <c r="K16" t="s">
        <v>989</v>
      </c>
      <c r="L16" t="s">
        <v>1439</v>
      </c>
    </row>
    <row r="17" spans="1:12" x14ac:dyDescent="0.3">
      <c r="A17" t="s">
        <v>808</v>
      </c>
      <c r="B17" t="s">
        <v>811</v>
      </c>
      <c r="C17" s="2" t="s">
        <v>809</v>
      </c>
      <c r="D17" t="s">
        <v>810</v>
      </c>
      <c r="E17" t="s">
        <v>808</v>
      </c>
      <c r="F17" t="s">
        <v>813</v>
      </c>
      <c r="G17" t="s">
        <v>814</v>
      </c>
      <c r="K17" t="s">
        <v>989</v>
      </c>
      <c r="L17" t="s">
        <v>1439</v>
      </c>
    </row>
    <row r="18" spans="1:12" x14ac:dyDescent="0.3">
      <c r="A18" t="s">
        <v>815</v>
      </c>
      <c r="B18" t="s">
        <v>816</v>
      </c>
      <c r="C18" s="2" t="s">
        <v>815</v>
      </c>
      <c r="D18" t="s">
        <v>347</v>
      </c>
      <c r="E18" t="s">
        <v>113</v>
      </c>
      <c r="F18" t="s">
        <v>817</v>
      </c>
      <c r="G18" t="s">
        <v>815</v>
      </c>
      <c r="K18" t="s">
        <v>989</v>
      </c>
      <c r="L18" t="s">
        <v>1439</v>
      </c>
    </row>
    <row r="19" spans="1:12" x14ac:dyDescent="0.3">
      <c r="A19" t="s">
        <v>820</v>
      </c>
      <c r="B19" t="s">
        <v>824</v>
      </c>
      <c r="C19" s="2" t="s">
        <v>821</v>
      </c>
      <c r="D19" t="s">
        <v>822</v>
      </c>
      <c r="E19" t="s">
        <v>820</v>
      </c>
      <c r="F19" t="s">
        <v>823</v>
      </c>
      <c r="G19" t="s">
        <v>820</v>
      </c>
      <c r="K19" t="s">
        <v>989</v>
      </c>
      <c r="L19" t="s">
        <v>1439</v>
      </c>
    </row>
    <row r="20" spans="1:12" x14ac:dyDescent="0.3">
      <c r="A20" t="s">
        <v>827</v>
      </c>
      <c r="B20" t="s">
        <v>811</v>
      </c>
      <c r="C20" s="2" t="s">
        <v>828</v>
      </c>
      <c r="D20" t="s">
        <v>810</v>
      </c>
      <c r="E20" t="s">
        <v>808</v>
      </c>
      <c r="F20" t="s">
        <v>826</v>
      </c>
      <c r="G20" t="s">
        <v>825</v>
      </c>
      <c r="K20" t="s">
        <v>989</v>
      </c>
      <c r="L20" t="s">
        <v>1439</v>
      </c>
    </row>
    <row r="21" spans="1:12" x14ac:dyDescent="0.3">
      <c r="A21" t="s">
        <v>830</v>
      </c>
      <c r="B21" t="s">
        <v>834</v>
      </c>
      <c r="C21" s="2" t="s">
        <v>830</v>
      </c>
      <c r="D21" t="s">
        <v>354</v>
      </c>
      <c r="E21" t="s">
        <v>119</v>
      </c>
      <c r="F21" t="s">
        <v>831</v>
      </c>
      <c r="G21" t="s">
        <v>830</v>
      </c>
      <c r="K21" t="s">
        <v>989</v>
      </c>
      <c r="L21" t="s">
        <v>1439</v>
      </c>
    </row>
    <row r="22" spans="1:12" x14ac:dyDescent="0.3">
      <c r="A22" t="s">
        <v>833</v>
      </c>
      <c r="B22" t="s">
        <v>832</v>
      </c>
      <c r="C22" s="2" t="s">
        <v>833</v>
      </c>
      <c r="D22" t="s">
        <v>351</v>
      </c>
      <c r="E22" t="s">
        <v>115</v>
      </c>
      <c r="F22" t="s">
        <v>835</v>
      </c>
      <c r="G22" t="s">
        <v>833</v>
      </c>
      <c r="K22" t="s">
        <v>989</v>
      </c>
      <c r="L22" t="s">
        <v>1439</v>
      </c>
    </row>
    <row r="23" spans="1:12" x14ac:dyDescent="0.3">
      <c r="A23" t="s">
        <v>836</v>
      </c>
      <c r="B23" t="s">
        <v>837</v>
      </c>
      <c r="C23" s="2" t="s">
        <v>836</v>
      </c>
      <c r="D23" t="s">
        <v>352</v>
      </c>
      <c r="E23" t="s">
        <v>116</v>
      </c>
      <c r="F23" t="s">
        <v>838</v>
      </c>
      <c r="G23" t="s">
        <v>836</v>
      </c>
      <c r="K23" t="s">
        <v>989</v>
      </c>
      <c r="L23" t="s">
        <v>1439</v>
      </c>
    </row>
    <row r="24" spans="1:12" x14ac:dyDescent="0.3">
      <c r="A24" t="s">
        <v>840</v>
      </c>
      <c r="B24" t="s">
        <v>839</v>
      </c>
      <c r="C24" s="2" t="s">
        <v>840</v>
      </c>
      <c r="D24" t="s">
        <v>354</v>
      </c>
      <c r="E24" t="s">
        <v>119</v>
      </c>
      <c r="F24" t="s">
        <v>843</v>
      </c>
      <c r="G24" t="s">
        <v>840</v>
      </c>
      <c r="K24" t="s">
        <v>989</v>
      </c>
      <c r="L24" t="s">
        <v>1439</v>
      </c>
    </row>
    <row r="25" spans="1:12" x14ac:dyDescent="0.3">
      <c r="A25" t="s">
        <v>846</v>
      </c>
      <c r="B25" t="s">
        <v>849</v>
      </c>
      <c r="C25" s="2" t="s">
        <v>846</v>
      </c>
      <c r="D25" t="s">
        <v>351</v>
      </c>
      <c r="E25" t="s">
        <v>115</v>
      </c>
      <c r="F25" t="s">
        <v>844</v>
      </c>
      <c r="G25" t="s">
        <v>846</v>
      </c>
      <c r="K25" t="s">
        <v>989</v>
      </c>
      <c r="L25" t="s">
        <v>1439</v>
      </c>
    </row>
    <row r="26" spans="1:12" x14ac:dyDescent="0.3">
      <c r="A26" t="s">
        <v>847</v>
      </c>
      <c r="B26" t="s">
        <v>848</v>
      </c>
      <c r="C26" s="2" t="s">
        <v>847</v>
      </c>
      <c r="D26" t="s">
        <v>841</v>
      </c>
      <c r="E26" t="s">
        <v>842</v>
      </c>
      <c r="F26" t="s">
        <v>845</v>
      </c>
      <c r="G26" t="s">
        <v>847</v>
      </c>
      <c r="K26" t="s">
        <v>989</v>
      </c>
      <c r="L26" t="s">
        <v>1439</v>
      </c>
    </row>
    <row r="27" spans="1:12" x14ac:dyDescent="0.3">
      <c r="A27" t="s">
        <v>887</v>
      </c>
      <c r="B27" t="s">
        <v>886</v>
      </c>
      <c r="C27" s="2" t="s">
        <v>887</v>
      </c>
      <c r="D27" t="s">
        <v>356</v>
      </c>
      <c r="E27" s="2" t="s">
        <v>121</v>
      </c>
      <c r="F27" t="s">
        <v>958</v>
      </c>
      <c r="G27" t="s">
        <v>885</v>
      </c>
      <c r="K27" t="s">
        <v>989</v>
      </c>
      <c r="L27" t="s">
        <v>1439</v>
      </c>
    </row>
    <row r="28" spans="1:12" x14ac:dyDescent="0.3">
      <c r="A28" t="s">
        <v>959</v>
      </c>
      <c r="B28" t="s">
        <v>966</v>
      </c>
      <c r="C28" t="s">
        <v>959</v>
      </c>
      <c r="D28" t="s">
        <v>351</v>
      </c>
      <c r="E28" s="2" t="s">
        <v>115</v>
      </c>
      <c r="F28" t="s">
        <v>960</v>
      </c>
      <c r="G28" t="s">
        <v>961</v>
      </c>
      <c r="J28" t="s">
        <v>965</v>
      </c>
      <c r="K28" t="s">
        <v>989</v>
      </c>
      <c r="L28" t="s">
        <v>1439</v>
      </c>
    </row>
    <row r="29" spans="1:12" x14ac:dyDescent="0.3">
      <c r="A29" t="s">
        <v>962</v>
      </c>
      <c r="B29" t="s">
        <v>967</v>
      </c>
      <c r="C29" t="s">
        <v>962</v>
      </c>
      <c r="D29" t="s">
        <v>356</v>
      </c>
      <c r="E29" s="2" t="s">
        <v>121</v>
      </c>
      <c r="F29" t="s">
        <v>960</v>
      </c>
      <c r="G29" t="s">
        <v>963</v>
      </c>
      <c r="J29" t="s">
        <v>965</v>
      </c>
      <c r="K29" t="s">
        <v>989</v>
      </c>
      <c r="L29" t="s">
        <v>1439</v>
      </c>
    </row>
    <row r="30" spans="1:12" x14ac:dyDescent="0.3">
      <c r="A30" t="s">
        <v>970</v>
      </c>
      <c r="B30" t="s">
        <v>969</v>
      </c>
      <c r="C30" t="str">
        <f>Таблица9[[#This Row],[Part Number]]</f>
        <v>PBS-4</v>
      </c>
      <c r="D30" t="s">
        <v>351</v>
      </c>
      <c r="E30" s="2" t="s">
        <v>115</v>
      </c>
      <c r="F30" t="s">
        <v>974</v>
      </c>
      <c r="G30" t="s">
        <v>972</v>
      </c>
      <c r="J30" t="s">
        <v>975</v>
      </c>
      <c r="K30" t="s">
        <v>989</v>
      </c>
      <c r="L30" t="s">
        <v>1439</v>
      </c>
    </row>
    <row r="31" spans="1:12" x14ac:dyDescent="0.3">
      <c r="A31" t="s">
        <v>971</v>
      </c>
      <c r="B31" t="s">
        <v>969</v>
      </c>
      <c r="C31" t="str">
        <f>Таблица9[[#This Row],[Part Number]]</f>
        <v>PBS-2</v>
      </c>
      <c r="D31" t="s">
        <v>356</v>
      </c>
      <c r="E31" s="2" t="s">
        <v>121</v>
      </c>
      <c r="F31" t="s">
        <v>974</v>
      </c>
      <c r="G31" t="s">
        <v>973</v>
      </c>
      <c r="J31" t="s">
        <v>975</v>
      </c>
      <c r="K31" t="s">
        <v>989</v>
      </c>
      <c r="L31" t="s">
        <v>1439</v>
      </c>
    </row>
    <row r="32" spans="1:12" x14ac:dyDescent="0.3">
      <c r="A32" t="s">
        <v>985</v>
      </c>
      <c r="B32" t="s">
        <v>120</v>
      </c>
      <c r="C32" t="s">
        <v>985</v>
      </c>
      <c r="D32" t="s">
        <v>356</v>
      </c>
      <c r="E32" s="2" t="s">
        <v>121</v>
      </c>
      <c r="F32" t="s">
        <v>986</v>
      </c>
      <c r="G32" t="s">
        <v>985</v>
      </c>
      <c r="J32" t="s">
        <v>987</v>
      </c>
      <c r="K32" t="s">
        <v>989</v>
      </c>
      <c r="L32" t="s">
        <v>1439</v>
      </c>
    </row>
    <row r="33" spans="1:12" x14ac:dyDescent="0.3">
      <c r="A33" t="s">
        <v>1001</v>
      </c>
      <c r="B33" t="s">
        <v>1002</v>
      </c>
      <c r="C33" t="s">
        <v>1001</v>
      </c>
      <c r="D33" t="s">
        <v>352</v>
      </c>
      <c r="E33" s="2" t="s">
        <v>116</v>
      </c>
      <c r="F33" t="s">
        <v>958</v>
      </c>
      <c r="G33" t="s">
        <v>1003</v>
      </c>
      <c r="J33" t="s">
        <v>1015</v>
      </c>
      <c r="K33" t="s">
        <v>989</v>
      </c>
      <c r="L33" t="s">
        <v>1439</v>
      </c>
    </row>
    <row r="34" spans="1:12" x14ac:dyDescent="0.3">
      <c r="A34" t="s">
        <v>1004</v>
      </c>
      <c r="B34" t="s">
        <v>1005</v>
      </c>
      <c r="C34" t="s">
        <v>1004</v>
      </c>
      <c r="D34" t="s">
        <v>1165</v>
      </c>
      <c r="E34" s="2" t="s">
        <v>1166</v>
      </c>
      <c r="F34" t="s">
        <v>1006</v>
      </c>
      <c r="G34" t="s">
        <v>1007</v>
      </c>
      <c r="J34" t="s">
        <v>975</v>
      </c>
      <c r="K34" t="s">
        <v>989</v>
      </c>
      <c r="L34" t="s">
        <v>1439</v>
      </c>
    </row>
    <row r="35" spans="1:12" x14ac:dyDescent="0.3">
      <c r="A35" t="s">
        <v>1202</v>
      </c>
      <c r="B35" t="s">
        <v>1005</v>
      </c>
      <c r="C35" t="s">
        <v>1202</v>
      </c>
      <c r="D35" t="s">
        <v>1165</v>
      </c>
      <c r="E35" s="2" t="s">
        <v>1166</v>
      </c>
      <c r="F35" t="s">
        <v>1203</v>
      </c>
      <c r="G35" t="s">
        <v>1204</v>
      </c>
      <c r="J35" s="38" t="s">
        <v>1015</v>
      </c>
      <c r="K35" t="s">
        <v>989</v>
      </c>
      <c r="L35" t="s">
        <v>1439</v>
      </c>
    </row>
    <row r="36" spans="1:12" x14ac:dyDescent="0.3">
      <c r="A36" t="s">
        <v>1008</v>
      </c>
      <c r="B36" t="s">
        <v>1009</v>
      </c>
      <c r="C36" s="2" t="s">
        <v>1010</v>
      </c>
      <c r="D36" t="s">
        <v>1011</v>
      </c>
      <c r="E36" t="s">
        <v>1012</v>
      </c>
      <c r="F36" t="s">
        <v>1013</v>
      </c>
      <c r="G36" t="s">
        <v>1008</v>
      </c>
      <c r="J36" t="s">
        <v>1014</v>
      </c>
      <c r="K36" t="s">
        <v>989</v>
      </c>
      <c r="L36" t="s">
        <v>1439</v>
      </c>
    </row>
    <row r="37" spans="1:12" x14ac:dyDescent="0.3">
      <c r="A37" t="s">
        <v>1016</v>
      </c>
      <c r="B37" t="s">
        <v>1017</v>
      </c>
      <c r="C37" s="2" t="s">
        <v>1016</v>
      </c>
      <c r="D37" t="s">
        <v>354</v>
      </c>
      <c r="E37" s="2" t="s">
        <v>119</v>
      </c>
      <c r="F37" t="s">
        <v>958</v>
      </c>
      <c r="G37" t="s">
        <v>1018</v>
      </c>
      <c r="J37" t="s">
        <v>1015</v>
      </c>
      <c r="K37" t="s">
        <v>989</v>
      </c>
      <c r="L37" t="s">
        <v>1439</v>
      </c>
    </row>
    <row r="38" spans="1:12" x14ac:dyDescent="0.3">
      <c r="A38" t="s">
        <v>1055</v>
      </c>
      <c r="B38" t="s">
        <v>1056</v>
      </c>
      <c r="C38" s="2" t="s">
        <v>1055</v>
      </c>
      <c r="D38" t="s">
        <v>1057</v>
      </c>
      <c r="E38" t="s">
        <v>1055</v>
      </c>
      <c r="F38" t="s">
        <v>1058</v>
      </c>
      <c r="G38" t="s">
        <v>1055</v>
      </c>
      <c r="K38" t="s">
        <v>989</v>
      </c>
    </row>
    <row r="39" spans="1:12" x14ac:dyDescent="0.3">
      <c r="A39" t="s">
        <v>1059</v>
      </c>
      <c r="B39" t="s">
        <v>1060</v>
      </c>
      <c r="C39" s="2" t="s">
        <v>1059</v>
      </c>
      <c r="D39" t="s">
        <v>1061</v>
      </c>
      <c r="E39" t="s">
        <v>1059</v>
      </c>
      <c r="F39" t="s">
        <v>1062</v>
      </c>
      <c r="G39" t="s">
        <v>1059</v>
      </c>
      <c r="K39" t="s">
        <v>989</v>
      </c>
    </row>
    <row r="40" spans="1:12" x14ac:dyDescent="0.3">
      <c r="A40" t="s">
        <v>1063</v>
      </c>
      <c r="B40" t="s">
        <v>1064</v>
      </c>
      <c r="C40" s="2" t="s">
        <v>1065</v>
      </c>
      <c r="D40" t="s">
        <v>1066</v>
      </c>
      <c r="E40" t="s">
        <v>1063</v>
      </c>
      <c r="F40" t="s">
        <v>1067</v>
      </c>
      <c r="G40" t="s">
        <v>1063</v>
      </c>
      <c r="K40" t="s">
        <v>989</v>
      </c>
    </row>
    <row r="41" spans="1:12" x14ac:dyDescent="0.3">
      <c r="A41" t="s">
        <v>1068</v>
      </c>
      <c r="B41" t="s">
        <v>1069</v>
      </c>
      <c r="C41" s="2" t="s">
        <v>1070</v>
      </c>
      <c r="D41" t="s">
        <v>1071</v>
      </c>
      <c r="E41" t="s">
        <v>1072</v>
      </c>
      <c r="F41" t="s">
        <v>1073</v>
      </c>
      <c r="G41" t="s">
        <v>1074</v>
      </c>
      <c r="K41" t="s">
        <v>989</v>
      </c>
    </row>
    <row r="42" spans="1:12" x14ac:dyDescent="0.3">
      <c r="A42" s="2" t="s">
        <v>1077</v>
      </c>
      <c r="B42" t="s">
        <v>1075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1078</v>
      </c>
      <c r="F42" t="str">
        <f>CONCATENATE("Footprints\Connectors\", G42, ".PcbLib")</f>
        <v>Footprints\Connectors\DF12(3.0)-32DP.PcbLib</v>
      </c>
      <c r="G42" t="s">
        <v>1077</v>
      </c>
      <c r="K42" t="s">
        <v>989</v>
      </c>
      <c r="L42" t="s">
        <v>1464</v>
      </c>
    </row>
    <row r="43" spans="1:12" x14ac:dyDescent="0.3">
      <c r="A43" s="2" t="s">
        <v>1076</v>
      </c>
      <c r="B43" t="s">
        <v>1079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1078</v>
      </c>
      <c r="F43" t="str">
        <f>CONCATENATE("Footprints\Connectors\", G43, ".PcbLib")</f>
        <v>Footprints\Connectors\DF12(3.0)-32DS.PcbLib</v>
      </c>
      <c r="G43" t="s">
        <v>1076</v>
      </c>
      <c r="K43" t="s">
        <v>989</v>
      </c>
      <c r="L43" t="s">
        <v>1464</v>
      </c>
    </row>
    <row r="44" spans="1:12" x14ac:dyDescent="0.3">
      <c r="A44" t="s">
        <v>1080</v>
      </c>
      <c r="B44" t="s">
        <v>1081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1082</v>
      </c>
      <c r="F44" t="str">
        <f t="shared" ref="F44:F46" si="2">CONCATENATE("Footprints\Connectors\", G44, ".PcbLib")</f>
        <v>Footprints\Connectors\DF40C-50DP.PcbLib</v>
      </c>
      <c r="G44" t="s">
        <v>1080</v>
      </c>
      <c r="K44" t="s">
        <v>989</v>
      </c>
      <c r="L44" t="s">
        <v>1464</v>
      </c>
    </row>
    <row r="45" spans="1:12" x14ac:dyDescent="0.3">
      <c r="A45" t="s">
        <v>1083</v>
      </c>
      <c r="B45" t="s">
        <v>1084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1082</v>
      </c>
      <c r="F45" t="str">
        <f t="shared" si="2"/>
        <v>Footprints\Connectors\DF40C-50DS.PcbLib</v>
      </c>
      <c r="G45" t="s">
        <v>1083</v>
      </c>
      <c r="K45" t="s">
        <v>989</v>
      </c>
      <c r="L45" t="s">
        <v>1464</v>
      </c>
    </row>
    <row r="46" spans="1:12" x14ac:dyDescent="0.3">
      <c r="A46" t="s">
        <v>1085</v>
      </c>
      <c r="B46" t="s">
        <v>1084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1082</v>
      </c>
      <c r="F46" t="str">
        <f t="shared" si="2"/>
        <v>Footprints\Connectors\DF40HC(4.0)-50DS.PcbLib</v>
      </c>
      <c r="G46" t="s">
        <v>1085</v>
      </c>
      <c r="K46" t="s">
        <v>989</v>
      </c>
      <c r="L46" t="s">
        <v>1464</v>
      </c>
    </row>
    <row r="47" spans="1:12" x14ac:dyDescent="0.3">
      <c r="A47" t="s">
        <v>1086</v>
      </c>
      <c r="B47" t="s">
        <v>1087</v>
      </c>
      <c r="C47" s="2" t="str">
        <f t="shared" si="0"/>
        <v>PLS-6</v>
      </c>
      <c r="D47" t="str">
        <f t="shared" si="1"/>
        <v>Schematic\Connectors\Conn_6pin.SchLib</v>
      </c>
      <c r="E47" t="s">
        <v>1088</v>
      </c>
      <c r="F47" t="s">
        <v>958</v>
      </c>
      <c r="G47" t="s">
        <v>1089</v>
      </c>
      <c r="K47" t="s">
        <v>989</v>
      </c>
      <c r="L47" t="s">
        <v>1464</v>
      </c>
    </row>
    <row r="48" spans="1:12" x14ac:dyDescent="0.3">
      <c r="A48" t="s">
        <v>1157</v>
      </c>
      <c r="B48" t="s">
        <v>1158</v>
      </c>
      <c r="C48" s="2" t="s">
        <v>1157</v>
      </c>
      <c r="D48" t="s">
        <v>354</v>
      </c>
      <c r="E48" s="2" t="s">
        <v>119</v>
      </c>
      <c r="F48" t="s">
        <v>1159</v>
      </c>
      <c r="G48" t="s">
        <v>1157</v>
      </c>
      <c r="K48" t="s">
        <v>989</v>
      </c>
      <c r="L48" t="s">
        <v>1464</v>
      </c>
    </row>
    <row r="49" spans="1:12" x14ac:dyDescent="0.3">
      <c r="A49" t="s">
        <v>1160</v>
      </c>
      <c r="B49" t="s">
        <v>1161</v>
      </c>
      <c r="C49" s="2" t="s">
        <v>1160</v>
      </c>
      <c r="D49" t="s">
        <v>663</v>
      </c>
      <c r="E49" s="2" t="s">
        <v>661</v>
      </c>
      <c r="F49" t="s">
        <v>1162</v>
      </c>
      <c r="G49" t="s">
        <v>1160</v>
      </c>
      <c r="K49" t="s">
        <v>989</v>
      </c>
      <c r="L49" t="s">
        <v>1464</v>
      </c>
    </row>
    <row r="50" spans="1:12" x14ac:dyDescent="0.3">
      <c r="A50" t="s">
        <v>1163</v>
      </c>
      <c r="B50" t="s">
        <v>1164</v>
      </c>
      <c r="C50" s="2" t="s">
        <v>1163</v>
      </c>
      <c r="D50" t="s">
        <v>1165</v>
      </c>
      <c r="E50" s="2" t="s">
        <v>1166</v>
      </c>
      <c r="F50" t="s">
        <v>1167</v>
      </c>
      <c r="G50" t="s">
        <v>1163</v>
      </c>
      <c r="K50" t="s">
        <v>989</v>
      </c>
      <c r="L50" t="s">
        <v>1464</v>
      </c>
    </row>
    <row r="51" spans="1:12" x14ac:dyDescent="0.3">
      <c r="A51" t="s">
        <v>1169</v>
      </c>
      <c r="B51" t="s">
        <v>1170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1166</v>
      </c>
      <c r="F51" t="str">
        <f t="shared" ref="F51:F54" si="5">CONCATENATE("Footprints\Connectors\", G51, ".PcbLib")</f>
        <v>Footprints\Connectors\DF40C-40DP.PcbLib</v>
      </c>
      <c r="G51" t="s">
        <v>1169</v>
      </c>
      <c r="K51" t="s">
        <v>989</v>
      </c>
      <c r="L51" t="s">
        <v>1464</v>
      </c>
    </row>
    <row r="52" spans="1:12" x14ac:dyDescent="0.3">
      <c r="A52" t="s">
        <v>1171</v>
      </c>
      <c r="B52" t="s">
        <v>1172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1166</v>
      </c>
      <c r="F52" t="str">
        <f t="shared" si="5"/>
        <v>Footprints\Connectors\DF40C-40DS.PcbLib</v>
      </c>
      <c r="G52" t="s">
        <v>1171</v>
      </c>
      <c r="K52" t="s">
        <v>989</v>
      </c>
      <c r="L52" t="s">
        <v>1464</v>
      </c>
    </row>
    <row r="53" spans="1:12" x14ac:dyDescent="0.3">
      <c r="A53" t="s">
        <v>1191</v>
      </c>
      <c r="B53" t="s">
        <v>1192</v>
      </c>
      <c r="C53" s="2" t="s">
        <v>1191</v>
      </c>
      <c r="D53" t="str">
        <f t="shared" si="4"/>
        <v>Schematic\Connectors\Conn_10pin.SchLib</v>
      </c>
      <c r="E53" s="2" t="s">
        <v>113</v>
      </c>
      <c r="F53" t="str">
        <f t="shared" si="5"/>
        <v>Footprints\Connectors\M80-4001042.PcbLib</v>
      </c>
      <c r="G53" t="s">
        <v>1191</v>
      </c>
      <c r="J53" t="s">
        <v>1193</v>
      </c>
      <c r="K53" t="s">
        <v>989</v>
      </c>
      <c r="L53" t="s">
        <v>1439</v>
      </c>
    </row>
    <row r="54" spans="1:12" x14ac:dyDescent="0.3">
      <c r="A54" t="s">
        <v>1195</v>
      </c>
      <c r="B54" t="s">
        <v>1194</v>
      </c>
      <c r="C54" t="s">
        <v>1191</v>
      </c>
      <c r="D54" t="str">
        <f t="shared" si="4"/>
        <v>Schematic\Connectors\Conn_10pin.SchLib</v>
      </c>
      <c r="E54" s="2" t="s">
        <v>113</v>
      </c>
      <c r="F54" t="str">
        <f t="shared" si="5"/>
        <v>Footprints\Connectors\M80-4001042_govnodelie.PcbLib</v>
      </c>
      <c r="G54" t="s">
        <v>1196</v>
      </c>
      <c r="J54" t="s">
        <v>1193</v>
      </c>
      <c r="K54" t="s">
        <v>989</v>
      </c>
      <c r="L54" t="s">
        <v>1439</v>
      </c>
    </row>
    <row r="55" spans="1:12" x14ac:dyDescent="0.3">
      <c r="A55" s="33" t="s">
        <v>1393</v>
      </c>
      <c r="B55" s="34" t="s">
        <v>1394</v>
      </c>
      <c r="C55" s="34" t="s">
        <v>1393</v>
      </c>
      <c r="D55" s="34" t="s">
        <v>995</v>
      </c>
      <c r="E55" s="34" t="s">
        <v>996</v>
      </c>
      <c r="F55" s="34" t="s">
        <v>1395</v>
      </c>
      <c r="G55" s="34" t="s">
        <v>1396</v>
      </c>
      <c r="H55" s="34"/>
      <c r="I55" s="34"/>
      <c r="J55" s="34"/>
      <c r="K55" s="40" t="s">
        <v>989</v>
      </c>
    </row>
    <row r="56" spans="1:12" x14ac:dyDescent="0.3">
      <c r="A56" t="s">
        <v>1397</v>
      </c>
      <c r="B56" t="s">
        <v>1398</v>
      </c>
      <c r="C56" s="2" t="s">
        <v>1397</v>
      </c>
      <c r="D56" s="34" t="s">
        <v>1399</v>
      </c>
      <c r="E56" t="s">
        <v>1397</v>
      </c>
      <c r="F56" s="34" t="s">
        <v>1401</v>
      </c>
      <c r="G56" t="s">
        <v>1402</v>
      </c>
      <c r="J56" t="s">
        <v>1400</v>
      </c>
      <c r="K56" s="40" t="s">
        <v>989</v>
      </c>
      <c r="L56" t="s">
        <v>1439</v>
      </c>
    </row>
    <row r="57" spans="1:12" x14ac:dyDescent="0.3">
      <c r="A57" t="s">
        <v>1410</v>
      </c>
      <c r="B57" t="s">
        <v>1411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1412</v>
      </c>
      <c r="F57" t="str">
        <f t="shared" ref="F57:F58" si="8">CONCATENATE("Footprints\Connectors\", G57, ".PcbLib")</f>
        <v>Footprints\Connectors\DIN41612_48_3row_straight_female.PcbLib</v>
      </c>
      <c r="G57" t="s">
        <v>1410</v>
      </c>
      <c r="J57" s="38" t="s">
        <v>1413</v>
      </c>
      <c r="K57" t="s">
        <v>989</v>
      </c>
      <c r="L57" t="s">
        <v>1464</v>
      </c>
    </row>
    <row r="58" spans="1:12" x14ac:dyDescent="0.3">
      <c r="A58" t="s">
        <v>1414</v>
      </c>
      <c r="B58" t="s">
        <v>1415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1412</v>
      </c>
      <c r="F58" t="str">
        <f t="shared" si="8"/>
        <v>Footprints\Connectors\DIN41612_48_3row_right_angle_male.PcbLib</v>
      </c>
      <c r="G58" t="s">
        <v>1414</v>
      </c>
      <c r="J58" s="38" t="s">
        <v>1413</v>
      </c>
      <c r="K58" s="41" t="s">
        <v>989</v>
      </c>
      <c r="L58" t="s">
        <v>1464</v>
      </c>
    </row>
    <row r="59" spans="1:12" x14ac:dyDescent="0.3">
      <c r="A59">
        <v>430450200</v>
      </c>
      <c r="B59" t="s">
        <v>1447</v>
      </c>
      <c r="C59">
        <v>430450200</v>
      </c>
      <c r="D59" t="s">
        <v>356</v>
      </c>
      <c r="E59" t="s">
        <v>121</v>
      </c>
      <c r="F59" t="s">
        <v>1448</v>
      </c>
      <c r="G59" t="s">
        <v>1449</v>
      </c>
      <c r="J59" t="s">
        <v>1450</v>
      </c>
      <c r="K59" t="s">
        <v>989</v>
      </c>
      <c r="L59" t="s">
        <v>1439</v>
      </c>
    </row>
    <row r="60" spans="1:12" x14ac:dyDescent="0.3">
      <c r="A60" t="s">
        <v>1451</v>
      </c>
      <c r="B60" t="s">
        <v>1452</v>
      </c>
      <c r="C60" t="s">
        <v>1451</v>
      </c>
      <c r="D60" t="s">
        <v>1453</v>
      </c>
      <c r="E60" t="s">
        <v>1451</v>
      </c>
      <c r="F60" t="s">
        <v>1454</v>
      </c>
      <c r="G60" t="s">
        <v>1451</v>
      </c>
      <c r="J60" t="s">
        <v>1455</v>
      </c>
      <c r="L60" t="s">
        <v>1439</v>
      </c>
    </row>
    <row r="61" spans="1:12" x14ac:dyDescent="0.3">
      <c r="A61" t="s">
        <v>1467</v>
      </c>
      <c r="B61" t="s">
        <v>1468</v>
      </c>
      <c r="C61" s="2" t="s">
        <v>1469</v>
      </c>
      <c r="D61" t="str">
        <f t="shared" ref="D61" si="9">CONCATENATE("Schematic\Connectors\", E61, ".SchLib")</f>
        <v>Schematic\Connectors\RJ45-8p8c.SchLib</v>
      </c>
      <c r="E61" t="s">
        <v>1470</v>
      </c>
      <c r="F61" t="str">
        <f t="shared" ref="F61" si="10">CONCATENATE("Footprints\Connectors\", G61, ".PcbLib")</f>
        <v>Footprints\Connectors\1-406541-5.PcbLib</v>
      </c>
      <c r="G61" t="s">
        <v>1469</v>
      </c>
      <c r="J61" s="38" t="s">
        <v>1471</v>
      </c>
      <c r="K61" t="s">
        <v>989</v>
      </c>
      <c r="L61" t="s">
        <v>1464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</hyperlinks>
  <pageMargins left="0.7" right="0.7" top="0.75" bottom="0.75" header="0.3" footer="0.3"/>
  <pageSetup paperSize="9" orientation="portrait" r:id="rId6"/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2025-10-11T07:32:21Z</dcterms:modified>
</cp:coreProperties>
</file>