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C49E2C49-8C1B-47B4-8C82-1CD20155D049}" xr6:coauthVersionLast="47" xr6:coauthVersionMax="47" xr10:uidLastSave="{00000000-0000-0000-0000-000000000000}"/>
  <bookViews>
    <workbookView xWindow="-110" yWindow="-110" windowWidth="25820" windowHeight="15500" tabRatio="701" firstSheet="5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11" l="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<sst xmlns="http://schemas.openxmlformats.org/spreadsheetml/2006/main" count="3580" uniqueCount="1463">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</sst>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3">
      <xmlColumnPr mapId="84" xpath="/Rectifier_diodes/Part/RepetitivePeakReverseVoltage" xmlDataType="string"/>
    </tableColumn>
    <tableColumn id="9" xr3:uid="{EB5ACFA6-079B-4694-9B63-C1A08D4A6545}" uniqueName="Current" name="Current (A)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 (A)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Напряжение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19" tableType="xml" totalsRowShown="0" headerRowDxfId="19" dataDxfId="18" connectionId="11">
  <autoFilter ref="A1:N19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0" tableType="xml" totalsRowShown="0" headerRowDxfId="3" connectionId="7">
  <autoFilter ref="A1:L60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2" zoomScale="55" zoomScaleNormal="55" workbookViewId="0">
      <selection activeCell="M53" sqref="M53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  <col min="12" max="12" width="13.17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5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5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5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5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5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5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5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5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5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5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5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5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5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5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5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5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5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5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5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5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5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5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5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5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5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5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5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5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5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5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5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5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5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5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5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5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5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F16" sqref="F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18" customWidth="1"/>
    <col min="10" max="10" width="13.179687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1" x14ac:dyDescent="0.35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1" x14ac:dyDescent="0.35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5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5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5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5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5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1" x14ac:dyDescent="0.35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1" x14ac:dyDescent="0.35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5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7" sqref="B7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81640625" customWidth="1"/>
    <col min="13" max="13" width="15.179687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" customHeight="1" x14ac:dyDescent="0.35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5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5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5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5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B17" sqref="B17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  <col min="12" max="12" width="13.17968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3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3" x14ac:dyDescent="0.35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3" x14ac:dyDescent="0.35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5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5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5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5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5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  <row r="12" spans="1:13" x14ac:dyDescent="0.35">
      <c r="A12" t="s">
        <v>1445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80</v>
      </c>
      <c r="F12" t="str">
        <f t="shared" ref="F12" si="9">CONCATENATE("Footprints\",G12,".PcbLib")</f>
        <v>Footprints\SMB.PcbLib</v>
      </c>
      <c r="G12" t="s">
        <v>340</v>
      </c>
      <c r="H12">
        <v>16</v>
      </c>
      <c r="I12">
        <v>600</v>
      </c>
      <c r="J12" t="str">
        <f t="shared" ref="J12" si="10" xml:space="preserve"> CONCATENATE(H12," В")</f>
        <v>16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70" zoomScaleNormal="70" workbookViewId="0">
      <selection activeCell="M9" sqref="M9"/>
    </sheetView>
  </sheetViews>
  <sheetFormatPr defaultRowHeight="14.5" x14ac:dyDescent="0.35"/>
  <cols>
    <col min="1" max="1" width="14.81640625" customWidth="1"/>
    <col min="2" max="2" width="93.1796875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  <col min="12" max="12" width="13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5" x14ac:dyDescent="0.35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5" x14ac:dyDescent="0.35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5" x14ac:dyDescent="0.35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5" x14ac:dyDescent="0.35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5" x14ac:dyDescent="0.35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5" x14ac:dyDescent="0.35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5" x14ac:dyDescent="0.35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abSelected="1" topLeftCell="F155" zoomScaleNormal="100" workbookViewId="0">
      <selection activeCell="O188" sqref="O188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41.1796875" customWidth="1"/>
    <col min="11" max="11" width="18.1796875" customWidth="1"/>
    <col min="12" max="12" width="41.179687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5" x14ac:dyDescent="0.35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5" x14ac:dyDescent="0.35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5" x14ac:dyDescent="0.35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5" x14ac:dyDescent="0.35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5" x14ac:dyDescent="0.35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5" x14ac:dyDescent="0.35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5" x14ac:dyDescent="0.35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5" x14ac:dyDescent="0.35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5" x14ac:dyDescent="0.35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5" x14ac:dyDescent="0.35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5" x14ac:dyDescent="0.35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5" x14ac:dyDescent="0.35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5" x14ac:dyDescent="0.35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5" x14ac:dyDescent="0.35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5" x14ac:dyDescent="0.35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5" x14ac:dyDescent="0.35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5" x14ac:dyDescent="0.35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5" x14ac:dyDescent="0.35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5" x14ac:dyDescent="0.35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5" x14ac:dyDescent="0.35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5" x14ac:dyDescent="0.35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5" x14ac:dyDescent="0.35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5" x14ac:dyDescent="0.35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5" x14ac:dyDescent="0.35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5" x14ac:dyDescent="0.35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5" x14ac:dyDescent="0.35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5" x14ac:dyDescent="0.35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5" x14ac:dyDescent="0.35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5" x14ac:dyDescent="0.35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5" x14ac:dyDescent="0.35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5" x14ac:dyDescent="0.35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5" x14ac:dyDescent="0.35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5" x14ac:dyDescent="0.35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5" x14ac:dyDescent="0.35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5" x14ac:dyDescent="0.35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5" x14ac:dyDescent="0.35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5" x14ac:dyDescent="0.35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5" x14ac:dyDescent="0.35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5" x14ac:dyDescent="0.35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5" x14ac:dyDescent="0.35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5" x14ac:dyDescent="0.35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5" x14ac:dyDescent="0.35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5" x14ac:dyDescent="0.35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5" x14ac:dyDescent="0.35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5" x14ac:dyDescent="0.35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5" x14ac:dyDescent="0.35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5" x14ac:dyDescent="0.35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5" x14ac:dyDescent="0.35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5" x14ac:dyDescent="0.35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5" x14ac:dyDescent="0.35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5" x14ac:dyDescent="0.35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5" x14ac:dyDescent="0.35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5" x14ac:dyDescent="0.35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5" x14ac:dyDescent="0.35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5" x14ac:dyDescent="0.35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5" x14ac:dyDescent="0.35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5" x14ac:dyDescent="0.35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5" x14ac:dyDescent="0.35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5" x14ac:dyDescent="0.35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5" x14ac:dyDescent="0.35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5" x14ac:dyDescent="0.35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5" x14ac:dyDescent="0.35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5" x14ac:dyDescent="0.35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5" x14ac:dyDescent="0.35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5" x14ac:dyDescent="0.35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5" x14ac:dyDescent="0.35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5" x14ac:dyDescent="0.35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5" x14ac:dyDescent="0.35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5" x14ac:dyDescent="0.35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5" x14ac:dyDescent="0.35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5" x14ac:dyDescent="0.35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5" x14ac:dyDescent="0.35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5" x14ac:dyDescent="0.35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5" x14ac:dyDescent="0.35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5" x14ac:dyDescent="0.35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5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5" x14ac:dyDescent="0.35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5" x14ac:dyDescent="0.35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5" x14ac:dyDescent="0.35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5" x14ac:dyDescent="0.35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5" x14ac:dyDescent="0.35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5" x14ac:dyDescent="0.35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5" x14ac:dyDescent="0.35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5" x14ac:dyDescent="0.35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5" x14ac:dyDescent="0.35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5" x14ac:dyDescent="0.35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5" x14ac:dyDescent="0.35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5" x14ac:dyDescent="0.35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5" x14ac:dyDescent="0.35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5" x14ac:dyDescent="0.35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5" x14ac:dyDescent="0.35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5" x14ac:dyDescent="0.35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5" x14ac:dyDescent="0.35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5" x14ac:dyDescent="0.35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5" x14ac:dyDescent="0.35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5" x14ac:dyDescent="0.35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5" x14ac:dyDescent="0.35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5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5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5" x14ac:dyDescent="0.35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5" x14ac:dyDescent="0.35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5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5" x14ac:dyDescent="0.35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5" x14ac:dyDescent="0.35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5" x14ac:dyDescent="0.35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5" x14ac:dyDescent="0.35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5" x14ac:dyDescent="0.35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5" x14ac:dyDescent="0.35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5" x14ac:dyDescent="0.35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5" x14ac:dyDescent="0.35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5" x14ac:dyDescent="0.35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5" x14ac:dyDescent="0.35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5" x14ac:dyDescent="0.35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5" x14ac:dyDescent="0.35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5" x14ac:dyDescent="0.35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5" x14ac:dyDescent="0.35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5" x14ac:dyDescent="0.35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5" x14ac:dyDescent="0.35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5" x14ac:dyDescent="0.35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5" x14ac:dyDescent="0.35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5" x14ac:dyDescent="0.35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5" x14ac:dyDescent="0.35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5" x14ac:dyDescent="0.35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5" x14ac:dyDescent="0.35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5" x14ac:dyDescent="0.35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5" x14ac:dyDescent="0.35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5" x14ac:dyDescent="0.35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5" x14ac:dyDescent="0.35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5" x14ac:dyDescent="0.35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5" x14ac:dyDescent="0.35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5" x14ac:dyDescent="0.35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5" x14ac:dyDescent="0.35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5" x14ac:dyDescent="0.35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5" x14ac:dyDescent="0.35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5" x14ac:dyDescent="0.35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5" x14ac:dyDescent="0.35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5" x14ac:dyDescent="0.35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5" x14ac:dyDescent="0.35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5" x14ac:dyDescent="0.35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5" x14ac:dyDescent="0.35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5" x14ac:dyDescent="0.35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5" x14ac:dyDescent="0.35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5" x14ac:dyDescent="0.35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5" x14ac:dyDescent="0.35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5" x14ac:dyDescent="0.35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5" x14ac:dyDescent="0.35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5" x14ac:dyDescent="0.35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5" x14ac:dyDescent="0.35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5" x14ac:dyDescent="0.35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5" x14ac:dyDescent="0.35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5" x14ac:dyDescent="0.35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5" x14ac:dyDescent="0.35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5" x14ac:dyDescent="0.35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5" x14ac:dyDescent="0.35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5" x14ac:dyDescent="0.35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5" x14ac:dyDescent="0.35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5" x14ac:dyDescent="0.35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5" x14ac:dyDescent="0.35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5" x14ac:dyDescent="0.35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5" x14ac:dyDescent="0.35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5" x14ac:dyDescent="0.35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5" x14ac:dyDescent="0.35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5" x14ac:dyDescent="0.35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5" x14ac:dyDescent="0.35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5" x14ac:dyDescent="0.35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5" x14ac:dyDescent="0.35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5" x14ac:dyDescent="0.35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5" x14ac:dyDescent="0.35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5" x14ac:dyDescent="0.35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5" x14ac:dyDescent="0.35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5" x14ac:dyDescent="0.35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5" x14ac:dyDescent="0.35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5" x14ac:dyDescent="0.35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5" x14ac:dyDescent="0.35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5" x14ac:dyDescent="0.35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5" x14ac:dyDescent="0.35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5" x14ac:dyDescent="0.35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5" x14ac:dyDescent="0.35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5" x14ac:dyDescent="0.35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5" x14ac:dyDescent="0.35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5" x14ac:dyDescent="0.35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.5" x14ac:dyDescent="0.35">
      <c r="A183" s="3" t="s">
        <v>1459</v>
      </c>
      <c r="B183" s="3" t="s">
        <v>1280</v>
      </c>
      <c r="C183" s="3" t="s">
        <v>26</v>
      </c>
      <c r="D183" s="3" t="s">
        <v>29</v>
      </c>
      <c r="E183" s="3" t="s">
        <v>26</v>
      </c>
      <c r="F183" s="3" t="s">
        <v>428</v>
      </c>
      <c r="G183" s="4">
        <v>0.01</v>
      </c>
      <c r="H183" s="3" t="s">
        <v>1460</v>
      </c>
      <c r="I183" s="3" t="s">
        <v>1461</v>
      </c>
      <c r="J183" s="3"/>
      <c r="K183" s="1"/>
      <c r="L183" s="1"/>
      <c r="M183" s="1"/>
      <c r="N183" s="51"/>
      <c r="O183" s="1" t="s">
        <v>1439</v>
      </c>
    </row>
    <row r="184" spans="1:15" ht="15" customHeight="1" x14ac:dyDescent="0.35">
      <c r="A184" s="3" t="s">
        <v>1462</v>
      </c>
      <c r="B184" s="3" t="s">
        <v>1297</v>
      </c>
      <c r="C184" s="3" t="s">
        <v>26</v>
      </c>
      <c r="D184" s="3" t="s">
        <v>29</v>
      </c>
      <c r="E184" s="3" t="s">
        <v>26</v>
      </c>
      <c r="F184" s="3" t="s">
        <v>436</v>
      </c>
      <c r="G184" s="4">
        <v>0.01</v>
      </c>
      <c r="H184" s="3" t="s">
        <v>1460</v>
      </c>
      <c r="I184" s="3" t="s">
        <v>1461</v>
      </c>
      <c r="J184" s="1"/>
      <c r="K184" s="1"/>
      <c r="L184" s="1"/>
      <c r="M184" s="1"/>
      <c r="N184" s="50"/>
      <c r="O184" s="1" t="s">
        <v>1439</v>
      </c>
    </row>
    <row r="185" spans="1:15" ht="15.5" x14ac:dyDescent="0.35">
      <c r="A185" s="3"/>
      <c r="B185" s="3"/>
      <c r="C185" s="3"/>
      <c r="D185" s="3"/>
      <c r="E185" s="3"/>
      <c r="F185" s="3"/>
      <c r="G185" s="4"/>
      <c r="H185" s="3"/>
      <c r="I185" s="3"/>
      <c r="J185" s="3"/>
      <c r="K185" s="1"/>
      <c r="L185" s="1"/>
      <c r="M185" s="1"/>
      <c r="N185" s="24"/>
      <c r="O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5" x14ac:dyDescent="0.35"/>
  <cols>
    <col min="1" max="1" width="14.453125" customWidth="1"/>
    <col min="2" max="2" width="40.81640625" customWidth="1"/>
    <col min="3" max="3" width="12.81640625" customWidth="1"/>
    <col min="4" max="4" width="28.54296875" customWidth="1"/>
    <col min="5" max="5" width="14.81640625" customWidth="1"/>
    <col min="6" max="6" width="20.81640625" customWidth="1"/>
    <col min="7" max="7" width="14.1796875" customWidth="1"/>
    <col min="8" max="8" width="35" customWidth="1"/>
    <col min="9" max="10" width="13.1796875" customWidth="1"/>
    <col min="11" max="11" width="12.1796875" customWidth="1"/>
  </cols>
  <sheetData>
    <row r="1" spans="1:12" ht="15.5" x14ac:dyDescent="0.35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923</v>
      </c>
      <c r="I1" s="42" t="s">
        <v>84</v>
      </c>
      <c r="J1" s="42" t="s">
        <v>71</v>
      </c>
      <c r="K1" s="42" t="s">
        <v>964</v>
      </c>
      <c r="L1" s="1" t="s">
        <v>1438</v>
      </c>
    </row>
    <row r="2" spans="1:12" x14ac:dyDescent="0.35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t="s">
        <v>1439</v>
      </c>
    </row>
    <row r="3" spans="1:12" x14ac:dyDescent="0.35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  <col min="21" max="21" width="14.179687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A8" zoomScale="85" zoomScaleNormal="85" workbookViewId="0">
      <selection activeCell="E51" sqref="E51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1796875" customWidth="1"/>
    <col min="6" max="6" width="14.453125" customWidth="1"/>
    <col min="7" max="7" width="9.81640625" customWidth="1"/>
    <col min="8" max="8" width="12.54296875" style="2" customWidth="1"/>
    <col min="9" max="9" width="14.453125" customWidth="1"/>
    <col min="10" max="10" width="12" customWidth="1"/>
    <col min="11" max="11" width="25.81640625" customWidth="1"/>
    <col min="12" max="12" width="15.54296875" customWidth="1"/>
    <col min="13" max="13" width="14.81640625" customWidth="1"/>
    <col min="14" max="14" width="12.179687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5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5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5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5">
      <c r="A5" s="43" t="s">
        <v>1109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1110</v>
      </c>
      <c r="G5" s="46" t="s">
        <v>1207</v>
      </c>
      <c r="H5" s="45">
        <v>50</v>
      </c>
      <c r="I5" s="45" t="s">
        <v>602</v>
      </c>
      <c r="J5" s="45" t="s">
        <v>603</v>
      </c>
      <c r="K5" s="45" t="s">
        <v>37</v>
      </c>
      <c r="L5" s="45" t="s">
        <v>1111</v>
      </c>
      <c r="M5" s="47"/>
      <c r="N5" s="48"/>
    </row>
    <row r="6" spans="1:14" x14ac:dyDescent="0.35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5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5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5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5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5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5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5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5">
      <c r="A48" s="2" t="s">
        <v>1416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5">
      <c r="A49" s="2" t="s">
        <v>1429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2" t="s">
        <v>1425</v>
      </c>
      <c r="G49" s="37" t="s">
        <v>1426</v>
      </c>
      <c r="H49" s="2" t="s">
        <v>1427</v>
      </c>
      <c r="I49" s="2" t="s">
        <v>1428</v>
      </c>
      <c r="J49" s="2" t="s">
        <v>603</v>
      </c>
      <c r="K49" s="2" t="s">
        <v>37</v>
      </c>
      <c r="L49" s="2" t="s">
        <v>1430</v>
      </c>
      <c r="M49" s="2" t="s">
        <v>1431</v>
      </c>
      <c r="N49" s="2" t="s">
        <v>1439</v>
      </c>
    </row>
    <row r="50" spans="1:14" x14ac:dyDescent="0.35">
      <c r="A50" s="2" t="s">
        <v>1458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1207</v>
      </c>
      <c r="H50" s="2" t="s">
        <v>387</v>
      </c>
      <c r="I50" s="2" t="s">
        <v>602</v>
      </c>
      <c r="J50" s="2" t="s">
        <v>1457</v>
      </c>
      <c r="K50" s="2" t="s">
        <v>1456</v>
      </c>
      <c r="L50" s="2">
        <v>100</v>
      </c>
      <c r="M50" s="2"/>
      <c r="N50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  <col min="15" max="15" width="13.1796875" customWidth="1"/>
  </cols>
  <sheetData>
    <row r="1" spans="1:16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5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5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5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5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5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5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5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5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5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5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5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5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5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5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5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5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5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5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5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5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5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5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5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5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5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5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  <row r="28" spans="1:16" x14ac:dyDescent="0.35">
      <c r="A28" t="s">
        <v>1442</v>
      </c>
      <c r="B28" t="s">
        <v>1443</v>
      </c>
      <c r="D28" t="s">
        <v>631</v>
      </c>
      <c r="E28" t="s">
        <v>39</v>
      </c>
      <c r="F28" t="s">
        <v>646</v>
      </c>
      <c r="G28">
        <v>20</v>
      </c>
      <c r="H28">
        <v>16</v>
      </c>
      <c r="I28" t="s">
        <v>905</v>
      </c>
      <c r="J28" t="s">
        <v>1149</v>
      </c>
      <c r="K28" t="s">
        <v>1150</v>
      </c>
      <c r="L28">
        <v>470</v>
      </c>
      <c r="O28" t="s">
        <v>1444</v>
      </c>
      <c r="P28" t="s">
        <v>1439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5" x14ac:dyDescent="0.35"/>
  <cols>
    <col min="1" max="1" width="14.81640625" customWidth="1"/>
    <col min="2" max="2" width="77.81640625" customWidth="1"/>
    <col min="3" max="3" width="12" customWidth="1"/>
    <col min="4" max="4" width="27.1796875" customWidth="1"/>
    <col min="5" max="5" width="12.81640625" customWidth="1"/>
    <col min="6" max="6" width="36.179687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18" bestFit="1" customWidth="1"/>
    <col min="15" max="15" width="13.54296875" bestFit="1" customWidth="1"/>
    <col min="16" max="16" width="8.54296875" bestFit="1" customWidth="1"/>
    <col min="17" max="17" width="12.179687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49" t="s">
        <v>1438</v>
      </c>
    </row>
    <row r="2" spans="1:18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5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5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5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5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5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5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5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5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5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5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5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5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5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5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5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5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5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5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1796875" customWidth="1"/>
    <col min="5" max="5" width="20.54296875" customWidth="1"/>
    <col min="6" max="6" width="21.81640625" customWidth="1"/>
    <col min="7" max="7" width="17.81640625" customWidth="1"/>
    <col min="8" max="8" width="22.81640625" customWidth="1"/>
    <col min="9" max="9" width="18.453125" customWidth="1"/>
    <col min="10" max="10" width="16.81640625" customWidth="1"/>
    <col min="11" max="11" width="12.453125" customWidth="1"/>
    <col min="12" max="12" width="13.17968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49" t="s">
        <v>1438</v>
      </c>
      <c r="N1" s="17"/>
      <c r="O1" s="1"/>
      <c r="P1" s="1"/>
      <c r="Q1" s="1"/>
    </row>
    <row r="2" spans="1:17" ht="15.5" x14ac:dyDescent="0.35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5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9"/>
  <sheetViews>
    <sheetView topLeftCell="C1" zoomScale="70" zoomScaleNormal="70" workbookViewId="0">
      <selection activeCell="G19" sqref="G19"/>
    </sheetView>
  </sheetViews>
  <sheetFormatPr defaultRowHeight="14.5" x14ac:dyDescent="0.35"/>
  <cols>
    <col min="1" max="1" width="14.816406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81640625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453125" bestFit="1" customWidth="1"/>
    <col min="12" max="12" width="11.1796875" customWidth="1"/>
    <col min="13" max="13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964</v>
      </c>
      <c r="N1" s="49" t="s">
        <v>1438</v>
      </c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</row>
    <row r="6" spans="1:20" x14ac:dyDescent="0.35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N6" t="s">
        <v>1439</v>
      </c>
    </row>
    <row r="7" spans="1:20" x14ac:dyDescent="0.35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1439</v>
      </c>
    </row>
    <row r="8" spans="1:20" x14ac:dyDescent="0.35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1439</v>
      </c>
    </row>
    <row r="9" spans="1:20" x14ac:dyDescent="0.35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N9" t="s">
        <v>1439</v>
      </c>
    </row>
    <row r="10" spans="1:20" x14ac:dyDescent="0.35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N10" t="s">
        <v>1439</v>
      </c>
    </row>
    <row r="11" spans="1:20" x14ac:dyDescent="0.35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N11" t="s">
        <v>1439</v>
      </c>
    </row>
    <row r="12" spans="1:20" x14ac:dyDescent="0.35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N12" t="s">
        <v>1439</v>
      </c>
    </row>
    <row r="13" spans="1:20" x14ac:dyDescent="0.35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t="s">
        <v>1439</v>
      </c>
    </row>
    <row r="14" spans="1:20" x14ac:dyDescent="0.35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N14" t="s">
        <v>1439</v>
      </c>
    </row>
    <row r="15" spans="1:20" x14ac:dyDescent="0.35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N15" t="s">
        <v>1439</v>
      </c>
    </row>
    <row r="16" spans="1:20" x14ac:dyDescent="0.35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</row>
    <row r="17" spans="1:14" x14ac:dyDescent="0.35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</row>
    <row r="18" spans="1:14" x14ac:dyDescent="0.35">
      <c r="A18" t="s">
        <v>1422</v>
      </c>
      <c r="B18" t="s">
        <v>1423</v>
      </c>
      <c r="C18" t="str">
        <f>A18</f>
        <v>X322525MOB4SI</v>
      </c>
      <c r="D18" t="str">
        <f>CONCATENATE("Schematic\",E18,".SchLib")</f>
        <v>Schematic\XTAL_1-3_GND.SchLib</v>
      </c>
      <c r="E18" t="s">
        <v>1419</v>
      </c>
      <c r="F18" t="s">
        <v>1424</v>
      </c>
      <c r="G18" t="s">
        <v>1422</v>
      </c>
      <c r="J18" t="str">
        <f>CONCATENATE("Footprints\",K18,".PcbLib")</f>
        <v>Footprints\.PcbLib</v>
      </c>
      <c r="L18" t="s">
        <v>1420</v>
      </c>
      <c r="M18" t="s">
        <v>1421</v>
      </c>
      <c r="N18" t="s">
        <v>1439</v>
      </c>
    </row>
    <row r="19" spans="1:14" x14ac:dyDescent="0.35">
      <c r="A19" s="2" t="s">
        <v>1446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1446</v>
      </c>
      <c r="H19" s="2"/>
      <c r="I19" s="2"/>
      <c r="J19" s="2"/>
      <c r="K19" s="2"/>
    </row>
  </sheetData>
  <hyperlinks>
    <hyperlink ref="M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0"/>
  <sheetViews>
    <sheetView topLeftCell="A20" zoomScale="85" zoomScaleNormal="85" workbookViewId="0">
      <selection activeCell="H63" sqref="H63"/>
    </sheetView>
  </sheetViews>
  <sheetFormatPr defaultRowHeight="14.5" x14ac:dyDescent="0.35"/>
  <cols>
    <col min="1" max="1" width="14.81640625" customWidth="1"/>
    <col min="2" max="2" width="40.453125" customWidth="1"/>
    <col min="3" max="3" width="13.1796875" customWidth="1"/>
    <col min="4" max="4" width="45.81640625" customWidth="1"/>
    <col min="5" max="5" width="17.1796875" customWidth="1"/>
    <col min="6" max="6" width="51" customWidth="1"/>
    <col min="7" max="7" width="16.81640625" customWidth="1"/>
    <col min="8" max="8" width="44.453125" customWidth="1"/>
    <col min="9" max="9" width="23.81640625" customWidth="1"/>
    <col min="10" max="10" width="28.81640625" customWidth="1"/>
    <col min="11" max="11" width="11.8164062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49" t="s">
        <v>1438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5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2" x14ac:dyDescent="0.35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2" x14ac:dyDescent="0.35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5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5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5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5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5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5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5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5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5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5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5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5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5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5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5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5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5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5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5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5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5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5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5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5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5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5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5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5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5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5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5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5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5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5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5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5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2" x14ac:dyDescent="0.35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2" x14ac:dyDescent="0.35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2" x14ac:dyDescent="0.35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2" x14ac:dyDescent="0.35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2" x14ac:dyDescent="0.35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2" x14ac:dyDescent="0.35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2" x14ac:dyDescent="0.35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2" x14ac:dyDescent="0.35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2" x14ac:dyDescent="0.35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2" x14ac:dyDescent="0.35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2" x14ac:dyDescent="0.35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5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5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5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5">
      <c r="A57" t="s">
        <v>1410</v>
      </c>
      <c r="B57" t="s">
        <v>1411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1412</v>
      </c>
      <c r="F57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t="s">
        <v>989</v>
      </c>
    </row>
    <row r="58" spans="1:12" x14ac:dyDescent="0.35">
      <c r="A58" t="s">
        <v>1414</v>
      </c>
      <c r="B58" t="s">
        <v>1415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1412</v>
      </c>
      <c r="F58" t="str">
        <f t="shared" si="8"/>
        <v>Footprints\Connectors\DIN41612_48_3row_right_angle_male.PcbLib</v>
      </c>
      <c r="G58" t="s">
        <v>1414</v>
      </c>
      <c r="J58" t="s">
        <v>1413</v>
      </c>
      <c r="K58" s="41" t="s">
        <v>989</v>
      </c>
    </row>
    <row r="59" spans="1:12" x14ac:dyDescent="0.35">
      <c r="A59">
        <v>430450200</v>
      </c>
      <c r="B59" t="s">
        <v>1447</v>
      </c>
      <c r="C59">
        <v>430450200</v>
      </c>
      <c r="D59" t="s">
        <v>356</v>
      </c>
      <c r="E59" t="s">
        <v>121</v>
      </c>
      <c r="F59" t="s">
        <v>1448</v>
      </c>
      <c r="G59" t="s">
        <v>1449</v>
      </c>
      <c r="J59" t="s">
        <v>1450</v>
      </c>
      <c r="K59" t="s">
        <v>989</v>
      </c>
      <c r="L59" t="s">
        <v>1439</v>
      </c>
    </row>
    <row r="60" spans="1:12" x14ac:dyDescent="0.35">
      <c r="A60" t="s">
        <v>1451</v>
      </c>
      <c r="B60" t="s">
        <v>1452</v>
      </c>
      <c r="C60" t="s">
        <v>1451</v>
      </c>
      <c r="D60" t="s">
        <v>1453</v>
      </c>
      <c r="E60" t="s">
        <v>1451</v>
      </c>
      <c r="F60" t="s">
        <v>1454</v>
      </c>
      <c r="G60" t="s">
        <v>1451</v>
      </c>
      <c r="J60" t="s">
        <v>1455</v>
      </c>
      <c r="L60" t="s">
        <v>1439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2025-10-06T12:50:54Z</dcterms:modified>
</cp:coreProperties>
</file>