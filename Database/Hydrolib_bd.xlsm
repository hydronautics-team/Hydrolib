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filterPrivacy="1" codeName="ЭтаКнига"/>
  <xr:revisionPtr revIDLastSave="0" documentId="13_ncr:1_{6770DB4D-FE52-4EC1-97CF-F5D0321BF8D4}" xr6:coauthVersionLast="47" xr6:coauthVersionMax="47" xr10:uidLastSave="{00000000-0000-0000-0000-000000000000}"/>
  <bookViews>
    <workbookView xWindow="-108" yWindow="-108" windowWidth="23256" windowHeight="12576" firstSheet="9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</workbook>
</file>

<file path=xl/calcChain.xml><?xml version="1.0" encoding="utf-8"?>
<calcChain xmlns="http://schemas.openxmlformats.org/spreadsheetml/2006/main">
  <c r="C42" i="6" l="1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<sst xmlns="http://schemas.openxmlformats.org/spreadsheetml/2006/main" count="3058" uniqueCount="1258">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</sst>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2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3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8" connectionId="16">
  <autoFilter ref="A1:L9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5" connectionId="15">
  <autoFilter ref="A1:L10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5" tableType="xml" totalsRowShown="0" headerRowDxfId="98" dataDxfId="97" connectionId="13">
  <autoFilter ref="A1:M175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5" tableType="xml" totalsRowShown="0" headerRowDxfId="17" dataDxfId="16" connectionId="11">
  <autoFilter ref="A1:L15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2" tableType="xml" totalsRowShown="0" headerRowDxfId="3" connectionId="7">
  <autoFilter ref="A1:K42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2"/>
  <sheetViews>
    <sheetView topLeftCell="A14" zoomScale="107" zoomScaleNormal="145" workbookViewId="0">
      <selection activeCell="B45" sqref="B45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">
      <c r="A38" t="s">
        <v>1215</v>
      </c>
      <c r="B38" t="s">
        <v>1216</v>
      </c>
      <c r="C38" s="2" t="str">
        <f t="shared" ref="C38" si="15">A38</f>
        <v>USB2514BM2</v>
      </c>
      <c r="D38" t="str">
        <f>CONCATENATE("Schematic\",[1]!Таблица1[[#This Row],[Library Ref]],".SchLib")</f>
        <v>Schematic\USB2514BM2.SchLib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">
      <c r="A42" t="s">
        <v>1224</v>
      </c>
      <c r="B42" t="s">
        <v>1225</v>
      </c>
      <c r="C42" s="2"/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2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3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3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3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3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3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3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3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3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3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4" x14ac:dyDescent="0.3"/>
  <cols>
    <col min="1" max="1" width="14.88671875" customWidth="1"/>
    <col min="2" max="2" width="22" bestFit="1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6" x14ac:dyDescent="0.3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6" x14ac:dyDescent="0.3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39" zoomScale="70" zoomScaleNormal="70" workbookViewId="0">
      <selection activeCell="J48" sqref="J48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6" x14ac:dyDescent="0.3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6" x14ac:dyDescent="0.3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6" x14ac:dyDescent="0.3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6" x14ac:dyDescent="0.3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6" x14ac:dyDescent="0.3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6" x14ac:dyDescent="0.3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6" x14ac:dyDescent="0.3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6" x14ac:dyDescent="0.3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6" x14ac:dyDescent="0.3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6" x14ac:dyDescent="0.3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6" x14ac:dyDescent="0.3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6" x14ac:dyDescent="0.3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6" x14ac:dyDescent="0.3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6" x14ac:dyDescent="0.3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6" x14ac:dyDescent="0.3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6" x14ac:dyDescent="0.3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6" x14ac:dyDescent="0.3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6" x14ac:dyDescent="0.3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6" x14ac:dyDescent="0.3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6" x14ac:dyDescent="0.3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6" x14ac:dyDescent="0.3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6" x14ac:dyDescent="0.3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6" x14ac:dyDescent="0.3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6" x14ac:dyDescent="0.3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6" x14ac:dyDescent="0.3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6" x14ac:dyDescent="0.3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6" x14ac:dyDescent="0.3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6" x14ac:dyDescent="0.3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6" x14ac:dyDescent="0.3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6" x14ac:dyDescent="0.3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6" x14ac:dyDescent="0.3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6" x14ac:dyDescent="0.3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6" x14ac:dyDescent="0.3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6" x14ac:dyDescent="0.3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6" x14ac:dyDescent="0.3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6" x14ac:dyDescent="0.3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6" x14ac:dyDescent="0.3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6" x14ac:dyDescent="0.3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6" x14ac:dyDescent="0.3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6" x14ac:dyDescent="0.3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6" x14ac:dyDescent="0.3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6" x14ac:dyDescent="0.3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6" x14ac:dyDescent="0.3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6" x14ac:dyDescent="0.3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6" x14ac:dyDescent="0.3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6" x14ac:dyDescent="0.3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6" x14ac:dyDescent="0.3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6" x14ac:dyDescent="0.3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6" x14ac:dyDescent="0.3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6" x14ac:dyDescent="0.3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6" x14ac:dyDescent="0.3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6" x14ac:dyDescent="0.3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6" x14ac:dyDescent="0.3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6" x14ac:dyDescent="0.3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6" x14ac:dyDescent="0.3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6" x14ac:dyDescent="0.3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6" x14ac:dyDescent="0.3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6" x14ac:dyDescent="0.3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6" x14ac:dyDescent="0.3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6" x14ac:dyDescent="0.3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6" x14ac:dyDescent="0.3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6" x14ac:dyDescent="0.3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6" x14ac:dyDescent="0.3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6" x14ac:dyDescent="0.3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6" x14ac:dyDescent="0.3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6" x14ac:dyDescent="0.3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6" x14ac:dyDescent="0.3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6" x14ac:dyDescent="0.3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6" x14ac:dyDescent="0.3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6" x14ac:dyDescent="0.3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6" x14ac:dyDescent="0.3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6" x14ac:dyDescent="0.3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6" x14ac:dyDescent="0.3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6" x14ac:dyDescent="0.3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6" x14ac:dyDescent="0.3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6" x14ac:dyDescent="0.3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6" x14ac:dyDescent="0.3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6" x14ac:dyDescent="0.3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6" x14ac:dyDescent="0.3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6" x14ac:dyDescent="0.3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6" x14ac:dyDescent="0.3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6" x14ac:dyDescent="0.3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6" x14ac:dyDescent="0.3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6" x14ac:dyDescent="0.3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6" x14ac:dyDescent="0.3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6" x14ac:dyDescent="0.3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6" x14ac:dyDescent="0.3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6" x14ac:dyDescent="0.3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6" x14ac:dyDescent="0.3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6" x14ac:dyDescent="0.3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6" x14ac:dyDescent="0.3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6" x14ac:dyDescent="0.3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6" x14ac:dyDescent="0.3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6" x14ac:dyDescent="0.3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6" x14ac:dyDescent="0.3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6" x14ac:dyDescent="0.3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6" x14ac:dyDescent="0.3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6" x14ac:dyDescent="0.3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6" x14ac:dyDescent="0.3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6" x14ac:dyDescent="0.3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6" x14ac:dyDescent="0.3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6" x14ac:dyDescent="0.3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6" x14ac:dyDescent="0.3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6" x14ac:dyDescent="0.3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6" x14ac:dyDescent="0.3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6" x14ac:dyDescent="0.3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6" x14ac:dyDescent="0.3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6" x14ac:dyDescent="0.3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6" x14ac:dyDescent="0.3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6" x14ac:dyDescent="0.3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6" x14ac:dyDescent="0.3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6" x14ac:dyDescent="0.3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6" x14ac:dyDescent="0.3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6" x14ac:dyDescent="0.3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6" x14ac:dyDescent="0.3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6" x14ac:dyDescent="0.3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6" x14ac:dyDescent="0.3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6" x14ac:dyDescent="0.3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6" x14ac:dyDescent="0.3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6" x14ac:dyDescent="0.3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6" x14ac:dyDescent="0.3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6" x14ac:dyDescent="0.3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6" x14ac:dyDescent="0.3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6" x14ac:dyDescent="0.3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6" x14ac:dyDescent="0.3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6" x14ac:dyDescent="0.3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6" x14ac:dyDescent="0.3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6" x14ac:dyDescent="0.3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6" x14ac:dyDescent="0.3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6" x14ac:dyDescent="0.3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6" x14ac:dyDescent="0.3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6" x14ac:dyDescent="0.3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6" x14ac:dyDescent="0.3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6" x14ac:dyDescent="0.3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6" x14ac:dyDescent="0.3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6" x14ac:dyDescent="0.3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6" x14ac:dyDescent="0.3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6" x14ac:dyDescent="0.3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6" x14ac:dyDescent="0.3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6" x14ac:dyDescent="0.3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6" x14ac:dyDescent="0.3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6" x14ac:dyDescent="0.3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6" x14ac:dyDescent="0.3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6" x14ac:dyDescent="0.3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6" x14ac:dyDescent="0.3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6" x14ac:dyDescent="0.3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6" x14ac:dyDescent="0.3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6" x14ac:dyDescent="0.3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6" x14ac:dyDescent="0.3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6" x14ac:dyDescent="0.3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6" x14ac:dyDescent="0.3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6" x14ac:dyDescent="0.3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6" x14ac:dyDescent="0.3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6" x14ac:dyDescent="0.3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6" x14ac:dyDescent="0.3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6" x14ac:dyDescent="0.3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6" x14ac:dyDescent="0.3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6" x14ac:dyDescent="0.3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6" x14ac:dyDescent="0.3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6" x14ac:dyDescent="0.3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6" x14ac:dyDescent="0.3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6" x14ac:dyDescent="0.3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6" x14ac:dyDescent="0.3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6" x14ac:dyDescent="0.3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6" x14ac:dyDescent="0.3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6" x14ac:dyDescent="0.3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6" x14ac:dyDescent="0.3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6" x14ac:dyDescent="0.3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6" x14ac:dyDescent="0.3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6" x14ac:dyDescent="0.3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6" x14ac:dyDescent="0.3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6" x14ac:dyDescent="0.3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6" x14ac:dyDescent="0.3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6" x14ac:dyDescent="0.3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6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6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3">
      <c r="B3" s="2"/>
      <c r="D3" s="2"/>
      <c r="E3" s="2"/>
      <c r="F3" s="2"/>
      <c r="H3" s="2"/>
      <c r="I3" s="2"/>
      <c r="J3" s="2"/>
      <c r="K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17.664062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3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3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3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3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3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3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3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3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3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3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3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3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3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3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3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3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3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3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3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3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3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3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3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3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3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3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3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3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3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3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3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3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3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3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3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3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3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3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3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3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4.4" x14ac:dyDescent="0.3"/>
  <cols>
    <col min="1" max="1" width="14.88671875" customWidth="1"/>
    <col min="2" max="2" width="22.109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9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3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3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3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3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3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3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3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6" x14ac:dyDescent="0.3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3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B18" sqref="B18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3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">
      <c r="A16" s="2" t="s">
        <v>1227</v>
      </c>
      <c r="B16" s="2" t="s">
        <v>1228</v>
      </c>
      <c r="C16" s="2" t="s">
        <v>1229</v>
      </c>
      <c r="D16" s="2" t="str">
        <f t="shared" ref="D16" si="6">CONCATENATE("Schematic\",A16,".SchLib")</f>
        <v>Schematic\4WayDIP.SchLib</v>
      </c>
      <c r="E16" s="2" t="s">
        <v>1230</v>
      </c>
      <c r="F16" t="s">
        <v>1231</v>
      </c>
      <c r="G16" s="2" t="s">
        <v>1232</v>
      </c>
      <c r="H16" s="2"/>
      <c r="I16" s="2"/>
      <c r="J16" s="2"/>
      <c r="K16" s="2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2"/>
  <sheetViews>
    <sheetView tabSelected="1" topLeftCell="A31" zoomScale="115" zoomScaleNormal="115" workbookViewId="0">
      <selection activeCell="C43" sqref="C43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">
      <c r="A32" t="s">
        <v>1161</v>
      </c>
      <c r="B32" t="s">
        <v>120</v>
      </c>
      <c r="C32" s="31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">
      <c r="A33" t="s">
        <v>1177</v>
      </c>
      <c r="B33" t="s">
        <v>1178</v>
      </c>
      <c r="C33" s="31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">
      <c r="A34" t="s">
        <v>1180</v>
      </c>
      <c r="B34" t="s">
        <v>1181</v>
      </c>
      <c r="C34" s="31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">
      <c r="A35" t="s">
        <v>1186</v>
      </c>
      <c r="B35" t="s">
        <v>1187</v>
      </c>
      <c r="C35" s="31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">
      <c r="A36" t="s">
        <v>1194</v>
      </c>
      <c r="B36" t="s">
        <v>1195</v>
      </c>
      <c r="C36" s="31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">
      <c r="A37" t="s">
        <v>1233</v>
      </c>
      <c r="B37" t="s">
        <v>1234</v>
      </c>
      <c r="C37" s="31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">
      <c r="A38" t="s">
        <v>1237</v>
      </c>
      <c r="B38" t="s">
        <v>1238</v>
      </c>
      <c r="C38" s="31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">
      <c r="A39" t="s">
        <v>1241</v>
      </c>
      <c r="B39" t="s">
        <v>1242</v>
      </c>
      <c r="C39" s="31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">
      <c r="A40" t="s">
        <v>1246</v>
      </c>
      <c r="B40" t="s">
        <v>1247</v>
      </c>
      <c r="C40" s="31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2025-07-16T10:48:29Z</dcterms:modified>
</cp:coreProperties>
</file>