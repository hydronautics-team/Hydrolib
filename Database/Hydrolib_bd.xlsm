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1866CFE8-2484-468E-B759-4FB519199CC0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<sst xmlns="http://schemas.openxmlformats.org/spreadsheetml/2006/main" count="3195" uniqueCount="1315">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</sst>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3" tableType="xml" totalsRowShown="0" headerRowDxfId="126" connectionId="6">
  <autoFilter ref="A1:L43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2" tableType="xml" totalsRowShown="0" headerRowDxfId="108" connectionId="15">
  <autoFilter ref="A1:L12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abSelected="1" topLeftCell="C23" zoomScale="107" zoomScaleNormal="145" workbookViewId="0">
      <selection activeCell="H46" sqref="H46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s">
        <v>1313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1314</v>
      </c>
    </row>
    <row r="44" spans="1:7" x14ac:dyDescent="0.35">
      <c r="C44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2"/>
  <sheetViews>
    <sheetView topLeftCell="B1" zoomScale="85" zoomScaleNormal="85" workbookViewId="0">
      <selection activeCell="F21" sqref="F21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1273</v>
      </c>
      <c r="B11" s="1" t="s">
        <v>1274</v>
      </c>
      <c r="C11" s="2" t="str">
        <f>A11</f>
        <v>SIR426DP-T1-GE3</v>
      </c>
      <c r="D11" s="3" t="s">
        <v>1275</v>
      </c>
      <c r="E11" s="1" t="s">
        <v>1273</v>
      </c>
      <c r="F11" t="str">
        <f>CONCATENATE("Footprints\",G11,".PcbLib")</f>
        <v>Footprints\PowerPAK_SO-8.PcbLib</v>
      </c>
      <c r="G11" s="1" t="s">
        <v>1311</v>
      </c>
      <c r="J11" t="s">
        <v>1276</v>
      </c>
    </row>
    <row r="12" spans="1:19" ht="15.5" x14ac:dyDescent="0.35">
      <c r="A12" s="38" t="s">
        <v>1305</v>
      </c>
      <c r="B12" s="1" t="s">
        <v>1306</v>
      </c>
      <c r="C12" s="2" t="str">
        <f>A12</f>
        <v>PDTC114ET</v>
      </c>
      <c r="D12" s="3" t="s">
        <v>1307</v>
      </c>
      <c r="E12" s="1" t="s">
        <v>1305</v>
      </c>
      <c r="F12" t="str">
        <f>CONCATENATE("Footprints\",G12,".PcbLib")</f>
        <v>Footprints\SOT23-3.PcbLib</v>
      </c>
      <c r="G12" s="3" t="s">
        <v>18</v>
      </c>
      <c r="J12" t="s">
        <v>1309</v>
      </c>
      <c r="K12" t="s">
        <v>1308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1285</v>
      </c>
      <c r="B77" s="3" t="s">
        <v>1286</v>
      </c>
      <c r="C77" s="3" t="s">
        <v>26</v>
      </c>
      <c r="D77" s="3" t="s">
        <v>29</v>
      </c>
      <c r="E77" s="3" t="s">
        <v>26</v>
      </c>
      <c r="F77" s="3" t="s">
        <v>1287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1282</v>
      </c>
      <c r="B100" s="3" t="s">
        <v>1283</v>
      </c>
      <c r="C100" s="3" t="s">
        <v>26</v>
      </c>
      <c r="D100" s="3" t="s">
        <v>29</v>
      </c>
      <c r="E100" s="3" t="s">
        <v>26</v>
      </c>
      <c r="F100" s="3" t="s">
        <v>1284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1288</v>
      </c>
      <c r="B103" s="3" t="s">
        <v>1289</v>
      </c>
      <c r="C103" s="3" t="s">
        <v>26</v>
      </c>
      <c r="D103" s="3" t="s">
        <v>29</v>
      </c>
      <c r="E103" s="3" t="s">
        <v>26</v>
      </c>
      <c r="F103" s="3" t="s">
        <v>1290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1270</v>
      </c>
      <c r="B179" s="1" t="s">
        <v>1271</v>
      </c>
      <c r="C179" s="1" t="s">
        <v>26</v>
      </c>
      <c r="D179" s="3" t="s">
        <v>29</v>
      </c>
      <c r="E179" s="3" t="s">
        <v>26</v>
      </c>
      <c r="F179" s="3" t="s">
        <v>1272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" t="s">
        <v>1300</v>
      </c>
      <c r="B180" s="3" t="s">
        <v>1301</v>
      </c>
      <c r="C180" s="3" t="s">
        <v>26</v>
      </c>
      <c r="D180" s="3" t="s">
        <v>29</v>
      </c>
      <c r="E180" s="3" t="s">
        <v>26</v>
      </c>
      <c r="F180" s="3" t="s">
        <v>1302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E14" sqref="E14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A3" t="s">
        <v>1277</v>
      </c>
      <c r="B3" s="2" t="s">
        <v>1278</v>
      </c>
      <c r="C3" t="s">
        <v>1277</v>
      </c>
      <c r="D3" s="21" t="s">
        <v>1101</v>
      </c>
      <c r="E3" s="21" t="s">
        <v>1100</v>
      </c>
      <c r="F3" t="s">
        <v>1279</v>
      </c>
      <c r="G3" t="s">
        <v>130</v>
      </c>
      <c r="H3" s="2" t="s">
        <v>414</v>
      </c>
      <c r="I3" s="2" t="s">
        <v>1310</v>
      </c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2" t="s">
        <v>1294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1295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1296</v>
      </c>
      <c r="N2" s="35"/>
    </row>
    <row r="3" spans="1:14" x14ac:dyDescent="0.35">
      <c r="A3" s="20" t="s">
        <v>1297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1298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1299</v>
      </c>
      <c r="N3" s="31"/>
    </row>
    <row r="4" spans="1:14" x14ac:dyDescent="0.35">
      <c r="A4" s="20" t="s">
        <v>1291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1292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1293</v>
      </c>
      <c r="N4" s="31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1303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1304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opLeftCell="D1" zoomScaleNormal="100" workbookViewId="0">
      <selection activeCell="H21" sqref="H21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1280</v>
      </c>
      <c r="B15" t="s">
        <v>1281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1312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2025-08-06T09:18:46Z</dcterms:modified>
</cp:coreProperties>
</file>