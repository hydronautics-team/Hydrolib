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EFBB334-F2C9-44A0-AD4C-427178C2EC67}" xr6:coauthVersionLast="47" xr6:coauthVersionMax="47" xr10:uidLastSave="{00000000-0000-0000-0000-000000000000}"/>
  <bookViews>
    <workbookView xWindow="11840" yWindow="5450" windowWidth="17280" windowHeight="8880" firstSheet="7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5" l="1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<sst xmlns="http://schemas.openxmlformats.org/spreadsheetml/2006/main" count="2574" uniqueCount="1032">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</sst>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28" tableType="xml" totalsRowShown="0" headerRowDxfId="92" connectionId="6">
  <autoFilter ref="A1:I28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1" tableType="xml" totalsRowShown="0" headerRowDxfId="14" dataDxfId="13" connectionId="10">
  <autoFilter ref="A1:I11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8"/>
  <sheetViews>
    <sheetView topLeftCell="C16" zoomScale="85" zoomScaleNormal="85" workbookViewId="0">
      <selection activeCell="H9" sqref="H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981</v>
      </c>
      <c r="I8" t="s">
        <v>980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7" x14ac:dyDescent="0.35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7" x14ac:dyDescent="0.35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7" x14ac:dyDescent="0.35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7" x14ac:dyDescent="0.35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7" x14ac:dyDescent="0.35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7" x14ac:dyDescent="0.35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7" x14ac:dyDescent="0.35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7" x14ac:dyDescent="0.35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7" x14ac:dyDescent="0.35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7" x14ac:dyDescent="0.35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35">
      <c r="A28" t="s">
        <v>976</v>
      </c>
      <c r="B28" t="s">
        <v>977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979</v>
      </c>
      <c r="G28" t="s">
        <v>978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4.5" x14ac:dyDescent="0.35"/>
  <cols>
    <col min="1" max="1" width="13.6328125" customWidth="1"/>
    <col min="2" max="2" width="31.816406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s="15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870</v>
      </c>
      <c r="B3" s="15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393</v>
      </c>
      <c r="I3" s="2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>
        <v>45</v>
      </c>
      <c r="I5" s="2">
        <v>10</v>
      </c>
    </row>
    <row r="6" spans="1:9" x14ac:dyDescent="0.35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961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>
        <v>40</v>
      </c>
      <c r="I7" s="2" t="s">
        <v>962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35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919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342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936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342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5" x14ac:dyDescent="0.35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5" x14ac:dyDescent="0.35">
      <c r="A10" s="1" t="s">
        <v>972</v>
      </c>
      <c r="B10" s="1" t="s">
        <v>975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973</v>
      </c>
      <c r="K10" t="s">
        <v>974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5" x14ac:dyDescent="0.35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5" x14ac:dyDescent="0.35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5" x14ac:dyDescent="0.35">
      <c r="A173" s="16" t="s">
        <v>963</v>
      </c>
      <c r="B173" s="1" t="s">
        <v>964</v>
      </c>
      <c r="C173" s="1" t="s">
        <v>963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5" x14ac:dyDescent="0.35">
      <c r="A174" s="16" t="s">
        <v>967</v>
      </c>
      <c r="B174" s="1" t="s">
        <v>968</v>
      </c>
      <c r="C174" s="1" t="s">
        <v>967</v>
      </c>
      <c r="D174" s="3" t="s">
        <v>897</v>
      </c>
      <c r="E174" s="1" t="s">
        <v>896</v>
      </c>
      <c r="F174" s="1" t="s">
        <v>969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8" workbookViewId="0">
      <selection activeCell="J42" sqref="J42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35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35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35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35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35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35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35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35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35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35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35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35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35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35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35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35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35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35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35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35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35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35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35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35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35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35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35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35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35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35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35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35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35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35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35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35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35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35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35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35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35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35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35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35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35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35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35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35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35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35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35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35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35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35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35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35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35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35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35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35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970</v>
      </c>
      <c r="N21" t="s">
        <v>971</v>
      </c>
    </row>
    <row r="22" spans="1:14" x14ac:dyDescent="0.35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  <row r="7" spans="1:16" x14ac:dyDescent="0.35">
      <c r="A7" t="s">
        <v>957</v>
      </c>
      <c r="B7" t="s">
        <v>958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959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960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1"/>
  <sheetViews>
    <sheetView workbookViewId="0">
      <selection activeCell="G18" sqref="G1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122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375</v>
      </c>
      <c r="B6" t="s">
        <v>377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376</v>
      </c>
      <c r="H6" t="str">
        <f t="shared" si="0"/>
        <v>Footprints\1206SB.PcbLib</v>
      </c>
      <c r="I6" t="s">
        <v>1007</v>
      </c>
    </row>
    <row r="7" spans="1:20" x14ac:dyDescent="0.35">
      <c r="A7" s="15" t="s">
        <v>882</v>
      </c>
      <c r="B7" s="15" t="s">
        <v>883</v>
      </c>
      <c r="C7" s="15" t="str">
        <f t="shared" ref="C7" si="1">A7</f>
        <v>CBM432AST23</v>
      </c>
      <c r="D7" s="15" t="str">
        <f>CONCATENATE("Schematic\precision_shunt_regulator",".SchLib")</f>
        <v>Schematic\precision_shunt_regulator.SchLib</v>
      </c>
      <c r="E7" s="15" t="s">
        <v>884</v>
      </c>
      <c r="F7" s="15" t="str">
        <f t="shared" si="0"/>
        <v>Footprints\SOT23-3.PcbLib</v>
      </c>
      <c r="G7" s="15" t="s">
        <v>18</v>
      </c>
      <c r="H7" s="15"/>
      <c r="I7" s="15"/>
    </row>
    <row r="8" spans="1:20" x14ac:dyDescent="0.35">
      <c r="A8" s="15" t="s">
        <v>906</v>
      </c>
      <c r="B8" s="15" t="s">
        <v>905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884</v>
      </c>
      <c r="F8" s="15" t="str">
        <f t="shared" si="0"/>
        <v>Footprints\SOT23-3.PcbLib</v>
      </c>
      <c r="G8" s="15" t="s">
        <v>18</v>
      </c>
      <c r="H8" s="15"/>
      <c r="I8" s="15"/>
    </row>
    <row r="9" spans="1:20" x14ac:dyDescent="0.35">
      <c r="A9" s="15" t="s">
        <v>918</v>
      </c>
      <c r="B9" s="15" t="s">
        <v>916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917</v>
      </c>
      <c r="F9" s="15" t="str">
        <f t="shared" si="0"/>
        <v>Footprints\fuse_20x5_on_clips_FC-M.PcbLib</v>
      </c>
      <c r="G9" s="15" t="s">
        <v>915</v>
      </c>
      <c r="H9" s="15"/>
      <c r="I9" s="15"/>
    </row>
    <row r="10" spans="1:20" x14ac:dyDescent="0.35">
      <c r="A10" s="15" t="s">
        <v>965</v>
      </c>
      <c r="B10" s="15" t="s">
        <v>966</v>
      </c>
      <c r="C10" s="15" t="str">
        <f>A10</f>
        <v>DHT22</v>
      </c>
      <c r="D10" s="15" t="str">
        <f>CONCATENATE("Schematic\",A10,".SchLib")</f>
        <v>Schematic\DHT22.SchLib</v>
      </c>
      <c r="E10" s="15" t="str">
        <f>A10</f>
        <v>DHT22</v>
      </c>
      <c r="F10" s="15" t="str">
        <f t="shared" si="0"/>
        <v>Footprints\DHT22.PcbLib</v>
      </c>
      <c r="G10" s="15" t="s">
        <v>965</v>
      </c>
      <c r="H10" s="15"/>
      <c r="I10" s="15"/>
    </row>
    <row r="11" spans="1:20" x14ac:dyDescent="0.35">
      <c r="A11" s="15" t="s">
        <v>996</v>
      </c>
      <c r="B11" s="15" t="s">
        <v>997</v>
      </c>
      <c r="C11" s="15" t="str">
        <f>A11</f>
        <v>cooler4040</v>
      </c>
      <c r="D11" s="15" t="str">
        <f>CONCATENATE("Schematic\",A11,".SchLib")</f>
        <v>Schematic\cooler4040.SchLib</v>
      </c>
      <c r="E11" s="15" t="str">
        <f>A11</f>
        <v>cooler4040</v>
      </c>
      <c r="F11" s="15" t="str">
        <f t="shared" si="0"/>
        <v>Footprints\cooler4040.PcbLib</v>
      </c>
      <c r="G11" s="15" t="s">
        <v>996</v>
      </c>
      <c r="H11" s="15"/>
      <c r="I11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abSelected="1" topLeftCell="A22" zoomScale="145" zoomScaleNormal="145" workbookViewId="0">
      <selection activeCell="D25" sqref="D25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45.8164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35">
      <c r="A7" t="s">
        <v>1030</v>
      </c>
      <c r="B7" t="s">
        <v>120</v>
      </c>
      <c r="C7" s="2" t="s">
        <v>1030</v>
      </c>
      <c r="D7" t="s">
        <v>837</v>
      </c>
      <c r="E7" s="2" t="s">
        <v>835</v>
      </c>
      <c r="F7" t="s">
        <v>1031</v>
      </c>
      <c r="G7" t="s">
        <v>1030</v>
      </c>
    </row>
    <row r="8" spans="1:9" x14ac:dyDescent="0.35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35">
      <c r="A9" t="s">
        <v>337</v>
      </c>
      <c r="B9" t="s">
        <v>834</v>
      </c>
      <c r="C9" s="2" t="s">
        <v>337</v>
      </c>
      <c r="D9" t="s">
        <v>1029</v>
      </c>
      <c r="E9" t="s">
        <v>1028</v>
      </c>
      <c r="F9" t="s">
        <v>363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35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35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35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35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35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35">
      <c r="A16" t="s">
        <v>982</v>
      </c>
      <c r="B16" t="s">
        <v>990</v>
      </c>
      <c r="C16" s="2" t="s">
        <v>983</v>
      </c>
      <c r="D16" t="s">
        <v>984</v>
      </c>
      <c r="E16" t="s">
        <v>982</v>
      </c>
      <c r="F16" t="s">
        <v>985</v>
      </c>
      <c r="G16" t="s">
        <v>982</v>
      </c>
    </row>
    <row r="17" spans="1:7" x14ac:dyDescent="0.35">
      <c r="A17" t="s">
        <v>986</v>
      </c>
      <c r="B17" t="s">
        <v>989</v>
      </c>
      <c r="C17" s="2" t="s">
        <v>987</v>
      </c>
      <c r="D17" t="s">
        <v>988</v>
      </c>
      <c r="E17" t="s">
        <v>986</v>
      </c>
      <c r="F17" t="s">
        <v>991</v>
      </c>
      <c r="G17" t="s">
        <v>992</v>
      </c>
    </row>
    <row r="18" spans="1:7" x14ac:dyDescent="0.35">
      <c r="A18" t="s">
        <v>993</v>
      </c>
      <c r="B18" t="s">
        <v>994</v>
      </c>
      <c r="C18" s="2" t="s">
        <v>993</v>
      </c>
      <c r="D18" t="s">
        <v>350</v>
      </c>
      <c r="E18" t="s">
        <v>113</v>
      </c>
      <c r="F18" t="s">
        <v>995</v>
      </c>
      <c r="G18" t="s">
        <v>993</v>
      </c>
    </row>
    <row r="19" spans="1:7" x14ac:dyDescent="0.35">
      <c r="A19" t="s">
        <v>998</v>
      </c>
      <c r="B19" t="s">
        <v>1002</v>
      </c>
      <c r="C19" s="2" t="s">
        <v>999</v>
      </c>
      <c r="D19" t="s">
        <v>1000</v>
      </c>
      <c r="E19" t="s">
        <v>998</v>
      </c>
      <c r="F19" t="s">
        <v>1001</v>
      </c>
      <c r="G19" t="s">
        <v>998</v>
      </c>
    </row>
    <row r="20" spans="1:7" x14ac:dyDescent="0.35">
      <c r="A20" t="s">
        <v>1005</v>
      </c>
      <c r="B20" t="s">
        <v>989</v>
      </c>
      <c r="C20" s="2" t="s">
        <v>1006</v>
      </c>
      <c r="D20" s="15" t="s">
        <v>988</v>
      </c>
      <c r="E20" t="s">
        <v>986</v>
      </c>
      <c r="F20" s="15" t="s">
        <v>1004</v>
      </c>
      <c r="G20" t="s">
        <v>1003</v>
      </c>
    </row>
    <row r="21" spans="1:7" x14ac:dyDescent="0.35">
      <c r="A21" t="s">
        <v>1008</v>
      </c>
      <c r="B21" t="s">
        <v>1012</v>
      </c>
      <c r="C21" s="2" t="s">
        <v>1008</v>
      </c>
      <c r="D21" s="15" t="s">
        <v>358</v>
      </c>
      <c r="E21" t="s">
        <v>119</v>
      </c>
      <c r="F21" s="15" t="s">
        <v>1009</v>
      </c>
      <c r="G21" t="s">
        <v>1008</v>
      </c>
    </row>
    <row r="22" spans="1:7" x14ac:dyDescent="0.35">
      <c r="A22" t="s">
        <v>1011</v>
      </c>
      <c r="B22" t="s">
        <v>1010</v>
      </c>
      <c r="C22" s="2" t="s">
        <v>1011</v>
      </c>
      <c r="D22" s="15" t="s">
        <v>354</v>
      </c>
      <c r="E22" t="s">
        <v>115</v>
      </c>
      <c r="F22" s="15" t="s">
        <v>1013</v>
      </c>
      <c r="G22" t="s">
        <v>1011</v>
      </c>
    </row>
    <row r="23" spans="1:7" x14ac:dyDescent="0.35">
      <c r="A23" t="s">
        <v>1014</v>
      </c>
      <c r="B23" t="s">
        <v>1015</v>
      </c>
      <c r="C23" s="2" t="s">
        <v>1014</v>
      </c>
      <c r="D23" s="15" t="s">
        <v>356</v>
      </c>
      <c r="E23" t="s">
        <v>116</v>
      </c>
      <c r="F23" s="15" t="s">
        <v>1016</v>
      </c>
      <c r="G23" t="s">
        <v>1014</v>
      </c>
    </row>
    <row r="24" spans="1:7" x14ac:dyDescent="0.35">
      <c r="A24" t="s">
        <v>1018</v>
      </c>
      <c r="B24" t="s">
        <v>1017</v>
      </c>
      <c r="C24" s="2" t="s">
        <v>1018</v>
      </c>
      <c r="D24" s="15" t="s">
        <v>358</v>
      </c>
      <c r="E24" t="s">
        <v>119</v>
      </c>
      <c r="F24" s="15" t="s">
        <v>1021</v>
      </c>
      <c r="G24" t="s">
        <v>1018</v>
      </c>
    </row>
    <row r="25" spans="1:7" x14ac:dyDescent="0.35">
      <c r="A25" t="s">
        <v>1024</v>
      </c>
      <c r="B25" t="s">
        <v>1027</v>
      </c>
      <c r="C25" s="2" t="s">
        <v>1024</v>
      </c>
      <c r="D25" s="15" t="s">
        <v>354</v>
      </c>
      <c r="E25" t="s">
        <v>115</v>
      </c>
      <c r="F25" s="15" t="s">
        <v>1022</v>
      </c>
      <c r="G25" t="s">
        <v>1024</v>
      </c>
    </row>
    <row r="26" spans="1:7" x14ac:dyDescent="0.35">
      <c r="A26" t="s">
        <v>1025</v>
      </c>
      <c r="B26" t="s">
        <v>1026</v>
      </c>
      <c r="C26" s="2" t="s">
        <v>1025</v>
      </c>
      <c r="D26" s="15" t="s">
        <v>1019</v>
      </c>
      <c r="E26" t="s">
        <v>1020</v>
      </c>
      <c r="F26" s="15" t="s">
        <v>1023</v>
      </c>
      <c r="G26" t="s">
        <v>1025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2025-01-20T20:39:41Z</dcterms:modified>
</cp:coreProperties>
</file>