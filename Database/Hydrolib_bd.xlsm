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5A8A8B59-3925-41C7-BA94-6899F2DA98DC}" xr6:coauthVersionLast="47" xr6:coauthVersionMax="47" xr10:uidLastSave="{00000000-0000-0000-0000-000000000000}"/>
  <bookViews>
    <workbookView xWindow="-108" yWindow="-108" windowWidth="23256" windowHeight="12456" tabRatio="896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0" l="1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<sst xmlns="http://schemas.openxmlformats.org/spreadsheetml/2006/main" count="3692" uniqueCount="1509">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</sst>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7" tableType="xml" totalsRowShown="0" headerRowDxfId="125" connectionId="18">
  <autoFilter ref="A1:M17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1" tableType="xml" totalsRowShown="0" headerRowDxfId="44" connectionId="9">
  <autoFilter ref="A1:R2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D15" zoomScale="70" zoomScaleNormal="70" workbookViewId="0">
      <selection activeCell="M45" sqref="M4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3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3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3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3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3">
      <c r="A51" t="s">
        <v>1382</v>
      </c>
      <c r="B51" t="s">
        <v>1383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2.664062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3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05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3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D11" sqref="D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2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3">
      <c r="A12" t="s">
        <v>1436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78</v>
      </c>
      <c r="F12" t="str">
        <f t="shared" ref="F12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1455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7"/>
  <sheetViews>
    <sheetView topLeftCell="B1" zoomScale="70" zoomScaleNormal="70" workbookViewId="0">
      <selection activeCell="E22" sqref="E22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6" x14ac:dyDescent="0.3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 t="shared" ref="F11:F17" si="4">CONCATENATE("Footprints\",G11,".PcbLib")</f>
        <v>Footprints\PowerPAK_SO-8.PcbLib</v>
      </c>
      <c r="G11" s="1" t="s">
        <v>1120</v>
      </c>
      <c r="J11" t="s">
        <v>1088</v>
      </c>
    </row>
    <row r="12" spans="1:19" ht="15.6" x14ac:dyDescent="0.3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 t="shared" si="4"/>
        <v>Footprints\SOT23-3.PcbLib</v>
      </c>
      <c r="G12" s="3" t="s">
        <v>18</v>
      </c>
      <c r="J12" t="s">
        <v>1118</v>
      </c>
      <c r="K12" t="s">
        <v>1117</v>
      </c>
    </row>
    <row r="13" spans="1:19" ht="15.6" x14ac:dyDescent="0.3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 t="shared" si="4"/>
        <v>Footprints\PQFN_5x6.PcbLib</v>
      </c>
      <c r="G13" s="1" t="s">
        <v>1136</v>
      </c>
      <c r="J13" t="s">
        <v>1088</v>
      </c>
      <c r="K13" t="s">
        <v>1137</v>
      </c>
    </row>
    <row r="14" spans="1:19" ht="15.6" x14ac:dyDescent="0.3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 t="shared" si="4"/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6" x14ac:dyDescent="0.3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  <row r="16" spans="1:19" ht="15.6" x14ac:dyDescent="0.3">
      <c r="A16" s="1" t="s">
        <v>1494</v>
      </c>
      <c r="B16" s="1" t="s">
        <v>1495</v>
      </c>
      <c r="C16" s="2" t="str">
        <f>A16</f>
        <v>BC857BS</v>
      </c>
      <c r="D16" s="3" t="s">
        <v>1496</v>
      </c>
      <c r="E16" s="1" t="s">
        <v>1497</v>
      </c>
      <c r="F16" t="str">
        <f t="shared" si="4"/>
        <v>Footprints\SOT-363.PcbLib</v>
      </c>
      <c r="G16" s="1" t="s">
        <v>1498</v>
      </c>
      <c r="H16" t="str">
        <f>CONCATENATE("Footprints\",I16,".PcbLib")</f>
        <v>Footprints\SOT-363_35um.PcbLib</v>
      </c>
      <c r="I16" t="s">
        <v>1502</v>
      </c>
      <c r="J16" t="s">
        <v>769</v>
      </c>
      <c r="K16" t="s">
        <v>1165</v>
      </c>
      <c r="M16" t="s">
        <v>1455</v>
      </c>
    </row>
    <row r="17" spans="1:13" ht="15.6" x14ac:dyDescent="0.3">
      <c r="A17" s="1" t="s">
        <v>1499</v>
      </c>
      <c r="B17" s="3" t="s">
        <v>1500</v>
      </c>
      <c r="C17" s="2" t="str">
        <f>A17</f>
        <v>IRF9310TR</v>
      </c>
      <c r="D17" s="3" t="s">
        <v>665</v>
      </c>
      <c r="E17" s="3" t="s">
        <v>666</v>
      </c>
      <c r="F17" t="str">
        <f t="shared" si="4"/>
        <v>Footprints\SOIC-8.PcbLib</v>
      </c>
      <c r="G17" s="1" t="s">
        <v>76</v>
      </c>
      <c r="J17" t="s">
        <v>771</v>
      </c>
      <c r="K17" t="s">
        <v>1501</v>
      </c>
      <c r="M17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6" x14ac:dyDescent="0.3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6" x14ac:dyDescent="0.3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6" x14ac:dyDescent="0.3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3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13.10937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3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3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3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3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3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3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3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3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3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3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1"/>
  <sheetViews>
    <sheetView tabSelected="1" topLeftCell="B3" zoomScale="70" zoomScaleNormal="70" workbookViewId="0">
      <selection activeCell="Q23" sqref="Q23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3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3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3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3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3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3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  <row r="21" spans="1:18" x14ac:dyDescent="0.3">
      <c r="A21" t="s">
        <v>1503</v>
      </c>
      <c r="B21" t="s">
        <v>1504</v>
      </c>
      <c r="C21" t="str">
        <f>A21</f>
        <v>GP2426SR</v>
      </c>
      <c r="D21" s="2" t="s">
        <v>1505</v>
      </c>
      <c r="E21" s="2" t="s">
        <v>1506</v>
      </c>
      <c r="F21" s="2" t="str">
        <f>CONCATENATE("Footprints\Inductance\",G21,".PcbLib")</f>
        <v>Footprints\Inductance\GP2426SR.PcbLib</v>
      </c>
      <c r="G21" t="s">
        <v>1503</v>
      </c>
      <c r="H21" s="2" t="str">
        <f>CONCATENATE("Footprints\Inductance\",I21,".PcbLib")</f>
        <v>Footprints\Inductance\.PcbLib</v>
      </c>
      <c r="I21" s="2"/>
      <c r="J21" s="2" t="str">
        <f>CONCATENATE("Footprints\Inductance\",K21,".PcbLib")</f>
        <v>Footprints\Inductance\.PcbLib</v>
      </c>
      <c r="K21" s="2"/>
      <c r="L21" s="2" t="str">
        <f>CONCATENATE("Footprints\Inductance\",M21,".PcbLib")</f>
        <v>Footprints\Inductance\.PcbLib</v>
      </c>
      <c r="M21" s="2"/>
      <c r="N21" s="18">
        <v>0</v>
      </c>
      <c r="O21" s="52" t="s">
        <v>1507</v>
      </c>
      <c r="P21" s="52" t="s">
        <v>1508</v>
      </c>
      <c r="R21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3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3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3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D47" zoomScaleNormal="100" workbookViewId="0">
      <selection activeCell="D62" sqref="D62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3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3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H40" t="s">
        <v>1488</v>
      </c>
      <c r="I40" t="s">
        <v>1487</v>
      </c>
      <c r="K40" t="s">
        <v>980</v>
      </c>
    </row>
    <row r="41" spans="1:12" x14ac:dyDescent="0.3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3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3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3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3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3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3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3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3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3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3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3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3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3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3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3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3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3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3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3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3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  <row r="62" spans="1:12" x14ac:dyDescent="0.3">
      <c r="A62" t="s">
        <v>1489</v>
      </c>
      <c r="B62" t="s">
        <v>1490</v>
      </c>
      <c r="C62" t="s">
        <v>1489</v>
      </c>
      <c r="D62" s="34" t="s">
        <v>1491</v>
      </c>
      <c r="E62" t="s">
        <v>1489</v>
      </c>
      <c r="F62" s="34" t="s">
        <v>1492</v>
      </c>
      <c r="G62" t="s">
        <v>1489</v>
      </c>
      <c r="J62" s="38" t="s">
        <v>1493</v>
      </c>
      <c r="K62" s="40" t="s">
        <v>980</v>
      </c>
      <c r="L62" t="s">
        <v>1430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2025-10-24T18:21:43Z</dcterms:modified>
</cp:coreProperties>
</file>