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B1BDEC70-0054-4307-AB9E-8C98145234C4}" xr6:coauthVersionLast="47" xr6:coauthVersionMax="47" xr10:uidLastSave="{00000000-0000-0000-0000-000000000000}"/>
  <bookViews>
    <workbookView xWindow="3257" yWindow="3257" windowWidth="29220" windowHeight="13252" firstSheet="5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5" l="1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<sst xmlns="http://schemas.openxmlformats.org/spreadsheetml/2006/main" count="2994" uniqueCount="1215">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</sst>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0" fillId="3" borderId="1" xfId="0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  <xf numFmtId="0" fontId="0" fillId="3" borderId="4" xfId="0" applyFon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  <xf numFmtId="0" fontId="4" fillId="3" borderId="4" xfId="0" applyFont="1" applyFill="1" applyBorder="1"/>
    <xf numFmtId="0" fontId="4" fillId="0" borderId="4" xfId="0" applyFont="1" applyBorder="1"/>
  </cellXfs>
  <cellStyles count="2">
    <cellStyle name="Гиперссылка" xfId="1" builtinId="8"/>
    <cellStyle name="Обычный" xfId="0" builtinId="0"/>
  </cellStyles>
  <dxfs count="1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3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1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0">
      <xmlColumnPr mapId="30" xpath="/Schottky/Part/VoltageNominal_V" xmlDataType="string"/>
    </tableColumn>
    <tableColumn id="9" xr3:uid="{431126AD-34DC-40A1-9CB6-D627B7878BEA}" uniqueName="Current_A" name="Current (A)" dataDxfId="119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8" connectionId="16">
  <autoFilter ref="A1:L9" xr:uid="{35EAFB53-5120-48E8-B7CF-F527619EF3EB}"/>
  <tableColumns count="12">
    <tableColumn id="1" xr3:uid="{8FF51BCB-1CBC-41C4-B0E3-6994AEB249EF}" uniqueName="PartNumber" name="Part Number" dataDxfId="117">
      <xmlColumnPr mapId="6" xpath="/TVS/Part/PartNumber" xmlDataType="string"/>
    </tableColumn>
    <tableColumn id="2" xr3:uid="{254709FF-71DC-4C18-A11E-3F482A74905F}" uniqueName="Description" name="Description" dataDxfId="11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3">
      <xmlColumnPr mapId="6" xpath="/TVS/Part/LibraryRef" xmlDataType="string"/>
    </tableColumn>
    <tableColumn id="6" xr3:uid="{C5C7E783-B9B8-469C-B255-FC24F12E71DC}" uniqueName="FootprintPath1" name="Footprint Path 1" dataDxfId="11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1">
      <xmlColumnPr mapId="6" xpath="/TVS/Part/FootprintRef1" xmlDataType="string"/>
    </tableColumn>
    <tableColumn id="8" xr3:uid="{16B3AEE3-BEA7-4870-9494-F8A0EC5E9CCD}" uniqueName="VoltageNominal" name="Voltage nominal (V)" dataDxfId="110">
      <xmlColumnPr mapId="6" xpath="/TVS/Part/VoltageNominal" xmlDataType="string"/>
    </tableColumn>
    <tableColumn id="9" xr3:uid="{7DDE345A-D145-4A55-B781-91F88095B1FE}" uniqueName="Power" name="Power (W)" dataDxfId="109">
      <xmlColumnPr mapId="6" xpath="/TVS/Part/Power" xmlDataType="string"/>
    </tableColumn>
    <tableColumn id="10" xr3:uid="{EBB777BC-3BC6-4EF4-AC63-F94C7CFCFC0E}" uniqueName="Value" name="Value" dataDxfId="10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7">
      <xmlColumnPr mapId="6" xpath="/TVS/Part/Inteface" xmlDataType="string"/>
    </tableColumn>
    <tableColumn id="12" xr3:uid="{2FC69434-3445-47B6-BAFF-5BDCB5CA78D9}" uniqueName="12" name="Datasheet" dataDxfId="1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5" connectionId="15">
  <autoFilter ref="A1:L10" xr:uid="{11DAD5D3-6841-4BFD-8583-65DE6E00D680}"/>
  <tableColumns count="12">
    <tableColumn id="1" xr3:uid="{59488B22-9EFD-4960-9418-72616CC8F6CC}" uniqueName="PartNumber" name="Part Number" dataDxfId="104">
      <xmlColumnPr mapId="8" xpath="/Transistors/Part/PartNumber" xmlDataType="string"/>
    </tableColumn>
    <tableColumn id="2" xr3:uid="{B6051881-2BC5-4D5F-9AEE-A86DF4412A4C}" uniqueName="Description" name="Description" dataDxfId="103">
      <xmlColumnPr mapId="8" xpath="/Transistors/Part/Description" xmlDataType="string"/>
    </tableColumn>
    <tableColumn id="3" xr3:uid="{377CEA9C-B3A1-4F57-920A-BA1AC9164370}" uniqueName="Comment" name="Comment" dataDxfId="10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1">
      <xmlColumnPr mapId="8" xpath="/Transistors/Part/LibraryPath" xmlDataType="string"/>
    </tableColumn>
    <tableColumn id="5" xr3:uid="{02693066-D721-4B47-BEE5-D678B96A10FB}" uniqueName="LibraryRef" name="Library Ref" dataDxfId="10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M175" tableType="xml" totalsRowShown="0" headerRowDxfId="98" dataDxfId="97" connectionId="13">
  <autoFilter ref="A1:M175" xr:uid="{02061886-A591-4FD8-8C5B-3D1D2DB1F417}"/>
  <tableColumns count="13">
    <tableColumn id="1" xr3:uid="{1DE1C76C-B7F9-47FB-9EB0-156A2D87FD9E}" uniqueName="PartNumber" name="Part Number" dataDxfId="96">
      <xmlColumnPr mapId="38" xpath="/Resistors/Part/PartNumber" xmlDataType="string"/>
    </tableColumn>
    <tableColumn id="2" xr3:uid="{64E60790-EB9B-4A0D-B52C-7CB5A6F82DE8}" uniqueName="Description" name="Description" dataDxfId="95">
      <xmlColumnPr mapId="38" xpath="/Resistors/Part/Description" xmlDataType="string"/>
    </tableColumn>
    <tableColumn id="3" xr3:uid="{497E7478-3EE2-4F8D-A572-C738B7321387}" uniqueName="Comment" name="Comment" dataDxfId="94">
      <xmlColumnPr mapId="38" xpath="/Resistors/Part/Comment" xmlDataType="string"/>
    </tableColumn>
    <tableColumn id="4" xr3:uid="{255B034D-70D9-458C-8FA7-FEB8317A497F}" uniqueName="LibraryPath" name="Library Path" dataDxfId="93">
      <xmlColumnPr mapId="38" xpath="/Resistors/Part/LibraryPath" xmlDataType="string"/>
    </tableColumn>
    <tableColumn id="5" xr3:uid="{A3865419-9EA5-4AAA-B07F-FF52D437DC02}" uniqueName="LibraryRef" name="Library Ref" dataDxfId="92">
      <xmlColumnPr mapId="38" xpath="/Resistors/Part/LibraryRef" xmlDataType="string"/>
    </tableColumn>
    <tableColumn id="6" xr3:uid="{CE64E0F7-2F9E-477F-8D1B-040D90CB5685}" uniqueName="Value" name="Value" dataDxfId="91">
      <xmlColumnPr mapId="38" xpath="/Resistors/Part/Value" xmlDataType="string"/>
    </tableColumn>
    <tableColumn id="7" xr3:uid="{41F7703B-5A2D-47F6-B9C9-B9D386FC3CF8}" uniqueName="Tolerance" name="Tolerance" dataDxfId="90">
      <xmlColumnPr mapId="38" xpath="/Resistors/Part/Tolerance" xmlDataType="double"/>
    </tableColumn>
    <tableColumn id="8" xr3:uid="{429E7452-DB30-417B-B5E7-8F2AA238A5A4}" uniqueName="FootprintPath1" name="Footprint Path 1" dataDxfId="89">
      <xmlColumnPr mapId="38" xpath="/Resistors/Part/FootprintPath1" xmlDataType="string"/>
    </tableColumn>
    <tableColumn id="9" xr3:uid="{298A4272-57F5-45C2-AFCD-965909B2DD40}" uniqueName="FootprintRef1" name="Footprint Ref 1" dataDxfId="88">
      <xmlColumnPr mapId="38" xpath="/Resistors/Part/FootprintRef1" xmlDataType="string"/>
    </tableColumn>
    <tableColumn id="10" xr3:uid="{0DFE9A6B-806A-476A-90DD-58A133FB25CD}" uniqueName="10" name="Footprint Path 2" dataDxfId="87"/>
    <tableColumn id="11" xr3:uid="{5972F9B7-4E29-40F8-85A0-ADFB6C3B63D0}" uniqueName="11" name="Footprint Ref 2" dataDxfId="86"/>
    <tableColumn id="12" xr3:uid="{2BA89A40-2C66-4CDA-B275-A463CA193B24}" uniqueName="12" name="Footprint Path 3" dataDxfId="85"/>
    <tableColumn id="13" xr3:uid="{EB6CB4D4-35E1-4CE3-A4E3-74A449E2B85B}" uniqueName="13" name="Footprint Ref 3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3" dataDxfId="82" connectionId="1">
  <autoFilter ref="A1:U3" xr:uid="{1041C5C1-00FD-47DC-8B7C-9DEBE212D9D4}"/>
  <tableColumns count="21">
    <tableColumn id="1" xr3:uid="{55BDD111-6381-449E-BF2B-3FEC8107762D}" uniqueName="PartNumber" name="Part Number" dataDxfId="81">
      <xmlColumnPr mapId="18" xpath="/Capacitors/Part/PartNumber" xmlDataType="string"/>
    </tableColumn>
    <tableColumn id="2" xr3:uid="{0D3E1F2C-B0CC-4A36-A41B-2F2DAEC98E3B}" uniqueName="Description" name="Description" dataDxfId="80">
      <xmlColumnPr mapId="18" xpath="/Capacitors/Part/Description" xmlDataType="string"/>
    </tableColumn>
    <tableColumn id="3" xr3:uid="{16739D52-8082-4E8D-B1E1-B82F60766E2A}" uniqueName="Comment" name="Comment" dataDxfId="79">
      <xmlColumnPr mapId="18" xpath="/Capacitors/Part/Comment" xmlDataType="string"/>
    </tableColumn>
    <tableColumn id="4" xr3:uid="{AC1F3F2E-0C78-451D-9178-0A9D15C49726}" uniqueName="LibraryPath" name="Library Path" dataDxfId="78">
      <xmlColumnPr mapId="18" xpath="/Capacitors/Part/LibraryPath" xmlDataType="string"/>
    </tableColumn>
    <tableColumn id="5" xr3:uid="{9169ABA3-E41E-40E0-B785-3D3B749D70BB}" uniqueName="LibraryRef" name="Library Ref" dataDxfId="77">
      <xmlColumnPr mapId="18" xpath="/Capacitors/Part/LibraryRef" xmlDataType="string"/>
    </tableColumn>
    <tableColumn id="6" xr3:uid="{01EADD2D-36E6-41EE-B894-B537CCE6649E}" uniqueName="Value" name="Value" dataDxfId="76">
      <xmlColumnPr mapId="18" xpath="/Capacitors/Part/Value" xmlDataType="string"/>
    </tableColumn>
    <tableColumn id="7" xr3:uid="{EC779EF2-47DD-4E8F-A8D2-159E83C79180}" uniqueName="FootprintPath1" name="Footprint Path 1" dataDxfId="75">
      <xmlColumnPr mapId="18" xpath="/Capacitors/Part/FootprintPath1" xmlDataType="string"/>
    </tableColumn>
    <tableColumn id="8" xr3:uid="{C244A49A-3E6F-4B22-983D-FFA97DB3DFF6}" uniqueName="FootprintRef1" name="Footprint Ref 1" dataDxfId="74">
      <xmlColumnPr mapId="18" xpath="/Capacitors/Part/FootprintRef1" xmlDataType="string"/>
    </tableColumn>
    <tableColumn id="9" xr3:uid="{85136BD9-A68F-40E0-9A6F-E71ECA929F04}" uniqueName="FootprintPath2" name="Footprint Path 2" dataDxfId="73">
      <xmlColumnPr mapId="18" xpath="/Capacitors/Part/FootprintPath2" xmlDataType="string"/>
    </tableColumn>
    <tableColumn id="10" xr3:uid="{9FB3A5B2-04CB-44F8-A289-C2FB25F43941}" uniqueName="FootprintRef2" name="Footprint Ref 2" dataDxfId="72">
      <xmlColumnPr mapId="18" xpath="/Capacitors/Part/FootprintRef2" xmlDataType="string"/>
    </tableColumn>
    <tableColumn id="11" xr3:uid="{50FA7750-FC9E-444C-8D52-C6B51BBD63C1}" uniqueName="FootprintPath3" name="Footprint Path 3" dataDxfId="71">
      <xmlColumnPr mapId="18" xpath="/Capacitors/Part/FootprintPath3" xmlDataType="string"/>
    </tableColumn>
    <tableColumn id="12" xr3:uid="{CB4B7F73-4E19-42EF-9940-4C2907529981}" uniqueName="FootprintRef3" name="Footprint Ref 3" dataDxfId="70">
      <xmlColumnPr mapId="18" xpath="/Capacitors/Part/FootprintRef3" xmlDataType="string"/>
    </tableColumn>
    <tableColumn id="13" xr3:uid="{6B23463C-82AA-426D-ACBC-49A19C1D46FA}" uniqueName="FootprintPath4" name="Footprint Path 4" dataDxfId="69">
      <xmlColumnPr mapId="18" xpath="/Capacitors/Part/FootprintPath4" xmlDataType="string"/>
    </tableColumn>
    <tableColumn id="14" xr3:uid="{AD691620-AB1F-42E2-B1E4-053F5C2B80E9}" uniqueName="FootprintRef4" name="Footprint Ref 4" dataDxfId="68">
      <xmlColumnPr mapId="18" xpath="/Capacitors/Part/FootprintRef4" xmlDataType="string"/>
    </tableColumn>
    <tableColumn id="15" xr3:uid="{FD0F620C-73A8-49FB-B6E9-F06F81ED3185}" uniqueName="FootprintPath5" name="Footprint Path 5" dataDxfId="67">
      <xmlColumnPr mapId="18" xpath="/Capacitors/Part/FootprintPath5" xmlDataType="string"/>
    </tableColumn>
    <tableColumn id="16" xr3:uid="{F3B1D3FD-D16A-41B6-BA7D-FAFB3CCAEEC4}" uniqueName="FootprintRef5" name="Footprint Ref 5" dataDxfId="66">
      <xmlColumnPr mapId="18" xpath="/Capacitors/Part/FootprintRef5" xmlDataType="string"/>
    </tableColumn>
    <tableColumn id="17" xr3:uid="{130B1CD3-35EC-447E-93DF-ED8F8DC7A59A}" uniqueName="FootprintPath6" name="Footprint Path 6" dataDxfId="65">
      <xmlColumnPr mapId="18" xpath="/Capacitors/Part/FootprintPath6" xmlDataType="string"/>
    </tableColumn>
    <tableColumn id="18" xr3:uid="{77AF5D99-AE0B-40E5-8972-14E04BB93BB4}" uniqueName="FootprintRef6" name="Footprint Ref 6" dataDxfId="64">
      <xmlColumnPr mapId="18" xpath="/Capacitors/Part/FootprintRef6" xmlDataType="string"/>
    </tableColumn>
    <tableColumn id="19" xr3:uid="{6809872D-01AC-4EF6-B33F-6B8DA2D054C9}" uniqueName="FootprintPath7" name="Footprint Path 7" dataDxfId="63">
      <xmlColumnPr mapId="18" xpath="/Capacitors/Part/FootprintPath7" xmlDataType="string"/>
    </tableColumn>
    <tableColumn id="20" xr3:uid="{352E5BAE-89D3-4F1C-AA92-CDC22EDD2B11}" uniqueName="FootprintRef7" name="Footprint Ref 7" dataDxfId="62">
      <xmlColumnPr mapId="18" xpath="/Capacitors/Part/FootprintRef7" xmlDataType="string"/>
    </tableColumn>
    <tableColumn id="21" xr3:uid="{A4B57C00-6D54-4DAD-902D-06A5DE02018A}" uniqueName="21" name="Datasheet" dataDxfId="6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60" headerRowBorderDxfId="59" tableBorderDxfId="58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7">
      <xmlColumnPr mapId="43" xpath="/Capacitors_ceramic/Part/LibraryPath" xmlDataType="string"/>
    </tableColumn>
    <tableColumn id="5" xr3:uid="{140603B1-BC32-4AD5-86F2-E6EF9CFD08BC}" uniqueName="LibraryRef" name="Comment" dataDxfId="56">
      <xmlColumnPr mapId="43" xpath="/Capacitors_ceramic/Part/LibraryRef" xmlDataType="string"/>
    </tableColumn>
    <tableColumn id="6" xr3:uid="{BE700CC2-03BD-4386-A2EC-27DBA3DED288}" uniqueName="Value" name="Library Path2" dataDxfId="55">
      <xmlColumnPr mapId="43" xpath="/Capacitors_ceramic/Part/Value" xmlDataType="string"/>
    </tableColumn>
    <tableColumn id="7" xr3:uid="{825A321C-E6A0-4EAF-AEC4-F451D6437D35}" uniqueName="Tolerance" name="Library Ref" dataDxfId="54">
      <xmlColumnPr mapId="43" xpath="/Capacitors_ceramic/Part/Tolerance" xmlDataType="double"/>
    </tableColumn>
    <tableColumn id="8" xr3:uid="{6BBE44D9-FFC5-457D-8041-DAABC8C7BA50}" uniqueName="Voltage" name="Value" dataDxfId="53">
      <xmlColumnPr mapId="43" xpath="/Capacitors_ceramic/Part/Voltage" xmlDataType="integer"/>
    </tableColumn>
    <tableColumn id="9" xr3:uid="{40615D5C-FAC6-4DE7-AD52-985B05512BA6}" uniqueName="Dielectric" name="Tolerance" dataDxfId="52">
      <xmlColumnPr mapId="43" xpath="/Capacitors_ceramic/Part/Dielectric" xmlDataType="string"/>
    </tableColumn>
    <tableColumn id="10" xr3:uid="{A0E5BE7F-C8F6-4C6F-887E-2AC1E17340A3}" uniqueName="FootprintPath1" name="Voltage (V)" dataDxfId="51">
      <xmlColumnPr mapId="43" xpath="/Capacitors_ceramic/Part/FootprintPath1" xmlDataType="string"/>
    </tableColumn>
    <tableColumn id="11" xr3:uid="{1125B898-8A5A-4932-9E6A-70BE1D0B17C2}" uniqueName="FootprintRef1" name="Dielectric" dataDxfId="50">
      <xmlColumnPr mapId="43" xpath="/Capacitors_ceramic/Part/FootprintRef1" xmlDataType="string"/>
    </tableColumn>
    <tableColumn id="12" xr3:uid="{A0B20E33-F9DE-4128-B3C1-A5F5EF419A6A}" uniqueName="Capacity" name="Footprint Path 1" dataDxfId="49">
      <xmlColumnPr mapId="43" xpath="/Capacitors_ceramic/Part/Capacity" xmlDataType="double"/>
    </tableColumn>
    <tableColumn id="3" xr3:uid="{3CA4A3C4-175F-4D31-8C1D-DB8BDFEC6751}" uniqueName="3" name="Footprint Ref 1" dataDxfId="48"/>
    <tableColumn id="13" xr3:uid="{AC6DF023-DF8E-4431-956C-EF5B1E686C64}" uniqueName="13" name="Capacity (nF)" dataDxfId="47"/>
    <tableColumn id="14" xr3:uid="{F581E0EF-A6A3-43F4-9E9D-EE0565B490AB}" uniqueName="14" name="Datasheet" dataDxfId="4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5" headerRowBorderDxfId="44" tableBorderDxfId="43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2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1"/>
    <tableColumn id="7" xr3:uid="{49B409CD-94AC-4F2C-BC5E-E8FF519C8D6F}" uniqueName="FootprintRef1" name="Library Ref" dataDxfId="40"/>
    <tableColumn id="8" xr3:uid="{71017A8D-C83B-4D64-80AC-6C5EC84419D6}" uniqueName="FootprintPath1" name="Footprint Path 1" dataDxfId="39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8">
      <xmlColumnPr mapId="66" xpath="/Inductance/Part/FootprintRef1" xmlDataType="string"/>
    </tableColumn>
    <tableColumn id="10" xr3:uid="{14D45471-DB98-4B30-AE3F-A5F2151147AD}" uniqueName="FootprintPath2" name="Footprint Path 2" dataDxfId="37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6">
      <xmlColumnPr mapId="66" xpath="/Inductance/Part/FootprintRef2" xmlDataType="string"/>
    </tableColumn>
    <tableColumn id="12" xr3:uid="{32F2E3FF-9422-4CF5-B324-9B3A82F8F97B}" uniqueName="FootprintPath3" name="Footprint Path 3" dataDxfId="35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4">
      <xmlColumnPr mapId="66" xpath="/Inductance/Part/FootprintRef3" xmlDataType="string"/>
    </tableColumn>
    <tableColumn id="14" xr3:uid="{182C547A-FB6B-4C10-86F9-E53125E130E2}" uniqueName="FootprintPath4" name="Footprint Path 4" dataDxfId="33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2">
      <xmlColumnPr mapId="66" xpath="/Inductance/Part/FootprintRef4" xmlDataType="string"/>
    </tableColumn>
    <tableColumn id="4" xr3:uid="{CA7AF69B-83D2-4752-8493-BAD0C62EE720}" uniqueName="Inductance" name="Inductance (μH)" dataDxfId="31">
      <xmlColumnPr mapId="66" xpath="/Inductance/Part/Inductance" xmlDataType="string"/>
    </tableColumn>
    <tableColumn id="5" xr3:uid="{C2963412-5B9C-4A2F-B88B-CC5D53C10CE2}" uniqueName="Current" name="Current (A)" dataDxfId="30">
      <xmlColumnPr mapId="66" xpath="/Inductance/Part/Current" xmlDataType="string"/>
    </tableColumn>
    <tableColumn id="16" xr3:uid="{CFC80C7F-7597-4120-91B5-A73734ECE731}" uniqueName="Value" name="Value" dataDxfId="29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8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7"/>
    <tableColumn id="7" xr3:uid="{80B3F569-C3F5-47F7-8D7B-28E201DA2617}" name="Library Ref" dataDxfId="26"/>
    <tableColumn id="8" xr3:uid="{89EB4D75-A298-4A70-95A0-C55A38516DD5}" name="Footprint Path 1" dataDxfId="25">
      <calculatedColumnFormula>CONCATENATE("Footprints\",G2,".PcbLib")</calculatedColumnFormula>
    </tableColumn>
    <tableColumn id="9" xr3:uid="{439415E8-61F6-45EF-9A19-926E9A6CD888}" name="Footprint Ref 1" dataDxfId="24"/>
    <tableColumn id="10" xr3:uid="{9EE91FEA-9669-439B-8C30-DE7C5C8EDEAC}" name="Footprint Path 2" dataDxfId="23">
      <calculatedColumnFormula>CONCATENATE("Footprints\Inductance\",I2,".PcbLib")</calculatedColumnFormula>
    </tableColumn>
    <tableColumn id="11" xr3:uid="{A35CF89F-5150-4EF4-B739-74350667EADC}" name="Footprint Ref 2" dataDxfId="22"/>
    <tableColumn id="12" xr3:uid="{FBA8999D-4F5F-4375-B94D-80D73962B6E9}" name="Напряжение" dataDxfId="21">
      <calculatedColumnFormula>CONCATENATE("Footprints\Inductance\",K2,".PcbLib")</calculatedColumnFormula>
    </tableColumn>
    <tableColumn id="13" xr3:uid="{0950CE86-337E-4242-A1A5-09226B830B8C}" name="Ток макс" dataDxfId="20"/>
    <tableColumn id="14" xr3:uid="{DB8175AF-F0C6-47C1-8F0E-9BE83B53E316}" name="Datasheet" dataDxfId="19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5" tableType="xml" totalsRowShown="0" headerRowDxfId="18" dataDxfId="17" connectionId="11">
  <autoFilter ref="A1:L15" xr:uid="{071F457A-0F82-4CD6-80C4-65E86DBEF353}"/>
  <tableColumns count="12">
    <tableColumn id="1" xr3:uid="{AE9DCB61-0A9B-41D9-AC76-56D9ED6F9D71}" uniqueName="PartNumber" name="Part Number" dataDxfId="16">
      <xmlColumnPr mapId="73" xpath="/Other/Part/PartNumber" xmlDataType="string"/>
    </tableColumn>
    <tableColumn id="2" xr3:uid="{8662C04B-9C7C-48A2-ACC7-0FAAF1F41588}" uniqueName="Description" name="Description" dataDxfId="15">
      <xmlColumnPr mapId="73" xpath="/Other/Part/Description" xmlDataType="string"/>
    </tableColumn>
    <tableColumn id="3" xr3:uid="{7CF3CA75-1923-4F19-999C-14E1807BD3F5}" uniqueName="Comment" name="Comment" dataDxfId="14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3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2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1">
      <xmlColumnPr mapId="73" xpath="/Other/Part/FootprintPath1" xmlDataType="string"/>
    </tableColumn>
    <tableColumn id="7" xr3:uid="{78484622-732C-4ACF-9F43-B1AC2CDD73FA}" uniqueName="FootprintRef1" name="Footprint Ref 1" dataDxfId="10">
      <xmlColumnPr mapId="73" xpath="/Other/Part/FootprintRef1" xmlDataType="string"/>
    </tableColumn>
    <tableColumn id="8" xr3:uid="{9B1D9BE1-3884-44C5-88CA-6A2CCE154C24}" uniqueName="FootprintPath2" name="Footprint Path 2" dataDxfId="9">
      <xmlColumnPr mapId="73" xpath="/Other/Part/FootprintPath2" xmlDataType="string"/>
    </tableColumn>
    <tableColumn id="9" xr3:uid="{41DD9B28-B52E-42E2-980C-18F4A1B9EC96}" uniqueName="FootprintRef2" name="Footprint Ref 2" dataDxfId="8">
      <xmlColumnPr mapId="73" xpath="/Other/Part/FootprintRef2" xmlDataType="string"/>
    </tableColumn>
    <tableColumn id="10" xr3:uid="{93223D18-9C09-4B7B-8F23-E7B288A9B36F}" uniqueName="FootprintPath3" name="Footprint Path 3" dataDxfId="7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6">
      <xmlColumnPr mapId="73" xpath="/Other/Part/FootprintRef3" xmlDataType="string"/>
    </tableColumn>
    <tableColumn id="12" xr3:uid="{7C7EE8D3-0879-4E51-BE9D-9FFCF5159E00}" uniqueName="12" name="Datasheet" dataDxfId="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36" tableType="xml" totalsRowShown="0" headerRowDxfId="4" connectionId="7">
  <autoFilter ref="A1:K3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3">
      <xmlColumnPr mapId="12" xpath="/Connectors/Part/Comment" xmlDataType="string"/>
    </tableColumn>
    <tableColumn id="4" xr3:uid="{380EC291-D984-459A-9EA9-43539735BE21}" uniqueName="LibraryPath" name="Library Path" dataDxfId="2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7"/>
  <sheetViews>
    <sheetView zoomScale="85" zoomScaleNormal="85" workbookViewId="0">
      <selection activeCell="C42" sqref="C42"/>
    </sheetView>
  </sheetViews>
  <sheetFormatPr defaultRowHeight="14.6" x14ac:dyDescent="0.4"/>
  <cols>
    <col min="1" max="1" width="21.3828125" bestFit="1" customWidth="1"/>
    <col min="2" max="2" width="103.15234375" bestFit="1" customWidth="1"/>
    <col min="3" max="3" width="21.3828125" bestFit="1" customWidth="1"/>
    <col min="4" max="4" width="38" bestFit="1" customWidth="1"/>
    <col min="5" max="5" width="21.3828125" bestFit="1" customWidth="1"/>
    <col min="6" max="6" width="38.15234375" bestFit="1" customWidth="1"/>
    <col min="7" max="7" width="21.3828125" bestFit="1" customWidth="1"/>
    <col min="8" max="8" width="22.84375" bestFit="1" customWidth="1"/>
    <col min="9" max="9" width="18.15234375" bestFit="1" customWidth="1"/>
    <col min="10" max="10" width="16.3828125" customWidth="1"/>
    <col min="11" max="11" width="14.53515625" customWidth="1"/>
    <col min="12" max="12" width="13.1523437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4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4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4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4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4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4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4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4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4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4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4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4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4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4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4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4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4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4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4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4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4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4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4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4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4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4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4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4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4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4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4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4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4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4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4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6" x14ac:dyDescent="0.4"/>
  <cols>
    <col min="1" max="1" width="13.53515625" customWidth="1"/>
    <col min="2" max="2" width="33.53515625" bestFit="1" customWidth="1"/>
    <col min="3" max="3" width="11.15234375" customWidth="1"/>
    <col min="4" max="4" width="31.15234375" bestFit="1" customWidth="1"/>
    <col min="5" max="5" width="14.84375" bestFit="1" customWidth="1"/>
    <col min="6" max="6" width="25.15234375" bestFit="1" customWidth="1"/>
    <col min="7" max="7" width="16.53515625" bestFit="1" customWidth="1"/>
    <col min="8" max="8" width="19.53515625" customWidth="1"/>
    <col min="9" max="9" width="12.15234375" style="2" customWidth="1"/>
    <col min="10" max="10" width="13.15234375" customWidth="1"/>
  </cols>
  <sheetData>
    <row r="1" spans="1:10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4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4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4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4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4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4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4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4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4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4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6" x14ac:dyDescent="0.4"/>
  <cols>
    <col min="1" max="1" width="13.84375" bestFit="1" customWidth="1"/>
    <col min="2" max="2" width="46.84375" bestFit="1" customWidth="1"/>
    <col min="3" max="3" width="11.3828125" bestFit="1" customWidth="1"/>
    <col min="4" max="4" width="20.53515625" bestFit="1" customWidth="1"/>
    <col min="5" max="5" width="12" bestFit="1" customWidth="1"/>
    <col min="6" max="6" width="23.3828125" bestFit="1" customWidth="1"/>
    <col min="7" max="7" width="15.84375" bestFit="1" customWidth="1"/>
    <col min="8" max="8" width="19.84375" bestFit="1" customWidth="1"/>
    <col min="9" max="9" width="21.53515625" bestFit="1" customWidth="1"/>
    <col min="10" max="10" width="12" bestFit="1" customWidth="1"/>
    <col min="11" max="11" width="7.84375" bestFit="1" customWidth="1"/>
    <col min="12" max="12" width="10.69140625" customWidth="1"/>
    <col min="13" max="13" width="15.15234375" customWidth="1"/>
  </cols>
  <sheetData>
    <row r="1" spans="1:13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3" customHeight="1" x14ac:dyDescent="0.4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4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4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4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4">
      <c r="H6" s="2"/>
      <c r="I6" s="2"/>
      <c r="J6" s="2"/>
      <c r="K6" s="2"/>
    </row>
    <row r="7" spans="1:13" x14ac:dyDescent="0.4">
      <c r="H7" s="2"/>
      <c r="I7" s="2"/>
      <c r="J7" s="2"/>
      <c r="K7" s="2"/>
    </row>
    <row r="8" spans="1:13" x14ac:dyDescent="0.4">
      <c r="H8" s="2"/>
      <c r="I8" s="2"/>
      <c r="J8" s="2"/>
      <c r="K8" s="2"/>
    </row>
    <row r="9" spans="1:13" x14ac:dyDescent="0.4">
      <c r="H9" s="2"/>
      <c r="I9" s="2"/>
      <c r="J9" s="2"/>
      <c r="K9" s="2"/>
    </row>
    <row r="10" spans="1:13" x14ac:dyDescent="0.4">
      <c r="H10" s="2"/>
      <c r="I10" s="2"/>
      <c r="J10" s="2"/>
      <c r="K10" s="2"/>
    </row>
    <row r="11" spans="1:13" x14ac:dyDescent="0.4">
      <c r="H11" s="2"/>
      <c r="I11" s="2"/>
      <c r="J11" s="2"/>
      <c r="K11" s="2"/>
    </row>
    <row r="12" spans="1:13" x14ac:dyDescent="0.4">
      <c r="H12" s="2"/>
      <c r="I12" s="2"/>
      <c r="J12" s="2"/>
      <c r="K12" s="2"/>
    </row>
    <row r="13" spans="1:13" x14ac:dyDescent="0.4">
      <c r="H13" s="2"/>
      <c r="I13" s="2"/>
      <c r="J13" s="2"/>
      <c r="K13" s="2"/>
    </row>
    <row r="14" spans="1:13" x14ac:dyDescent="0.4">
      <c r="H14" s="2"/>
      <c r="I14" s="2"/>
      <c r="J14" s="2"/>
      <c r="K14" s="2"/>
    </row>
    <row r="15" spans="1:13" x14ac:dyDescent="0.4">
      <c r="H15" s="2"/>
      <c r="I15" s="2"/>
      <c r="J15" s="2"/>
      <c r="K15" s="2"/>
    </row>
    <row r="16" spans="1:13" x14ac:dyDescent="0.4">
      <c r="H16" s="2"/>
      <c r="I16" s="2"/>
      <c r="J16" s="2"/>
      <c r="K16" s="2"/>
    </row>
    <row r="17" spans="8:11" x14ac:dyDescent="0.4">
      <c r="H17" s="2"/>
      <c r="I17" s="2"/>
      <c r="J17" s="2"/>
      <c r="K17" s="2"/>
    </row>
    <row r="18" spans="8:11" x14ac:dyDescent="0.4">
      <c r="H18" s="2"/>
      <c r="I18" s="2"/>
      <c r="J18" s="2"/>
      <c r="K18" s="2"/>
    </row>
    <row r="19" spans="8:11" x14ac:dyDescent="0.4">
      <c r="H19" s="2"/>
      <c r="I19" s="2"/>
      <c r="J19" s="2"/>
      <c r="K19" s="2"/>
    </row>
    <row r="20" spans="8:11" x14ac:dyDescent="0.4">
      <c r="H20" s="2"/>
      <c r="I20" s="2"/>
      <c r="J20" s="2"/>
      <c r="K20" s="2"/>
    </row>
    <row r="21" spans="8:11" x14ac:dyDescent="0.4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6" x14ac:dyDescent="0.4"/>
  <cols>
    <col min="1" max="1" width="20.3828125" customWidth="1"/>
    <col min="2" max="2" width="49.53515625" customWidth="1"/>
    <col min="3" max="3" width="15.84375" customWidth="1"/>
    <col min="4" max="4" width="26.3828125" customWidth="1"/>
    <col min="5" max="5" width="11.84375" customWidth="1"/>
    <col min="6" max="6" width="16.3828125" customWidth="1"/>
    <col min="7" max="7" width="15.3828125" customWidth="1"/>
    <col min="8" max="8" width="19.53515625" customWidth="1"/>
    <col min="9" max="9" width="11.84375" customWidth="1"/>
    <col min="10" max="10" width="8" bestFit="1" customWidth="1"/>
    <col min="11" max="11" width="10.3828125" customWidth="1"/>
    <col min="12" max="12" width="13.152343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4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  <c r="L2" s="18"/>
    </row>
    <row r="3" spans="1:12" x14ac:dyDescent="0.4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  <c r="L3" s="18"/>
    </row>
    <row r="4" spans="1:12" x14ac:dyDescent="0.4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  <c r="L4" s="18"/>
    </row>
    <row r="5" spans="1:12" x14ac:dyDescent="0.4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  <c r="L5" s="18"/>
    </row>
    <row r="6" spans="1:12" x14ac:dyDescent="0.4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  <c r="L6" s="18"/>
    </row>
    <row r="7" spans="1:12" x14ac:dyDescent="0.4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  <c r="L7" s="18"/>
    </row>
    <row r="8" spans="1:12" x14ac:dyDescent="0.4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  <c r="L8" s="18"/>
    </row>
    <row r="9" spans="1:12" x14ac:dyDescent="0.4">
      <c r="A9" s="18" t="s">
        <v>1095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  <c r="L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4.6" x14ac:dyDescent="0.4"/>
  <cols>
    <col min="1" max="1" width="14.84375" customWidth="1"/>
    <col min="2" max="2" width="22" bestFit="1" customWidth="1"/>
    <col min="3" max="3" width="12.3828125" bestFit="1" customWidth="1"/>
    <col min="4" max="4" width="35.84375" bestFit="1" customWidth="1"/>
    <col min="5" max="5" width="24.3828125" bestFit="1" customWidth="1"/>
    <col min="6" max="6" width="23.15234375" bestFit="1" customWidth="1"/>
    <col min="7" max="7" width="16.84375" customWidth="1"/>
    <col min="8" max="8" width="29.84375" bestFit="1" customWidth="1"/>
    <col min="9" max="9" width="16.84375" customWidth="1"/>
    <col min="12" max="12" width="13.84375" customWidth="1"/>
  </cols>
  <sheetData>
    <row r="1" spans="1:19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9" x14ac:dyDescent="0.4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9" x14ac:dyDescent="0.4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9" x14ac:dyDescent="0.4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9" x14ac:dyDescent="0.4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9" x14ac:dyDescent="0.4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9" x14ac:dyDescent="0.4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9" x14ac:dyDescent="0.4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9" x14ac:dyDescent="0.4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9" x14ac:dyDescent="0.4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abSelected="1" topLeftCell="A37" zoomScale="70" zoomScaleNormal="70" workbookViewId="0">
      <selection activeCell="J48" sqref="J48"/>
    </sheetView>
  </sheetViews>
  <sheetFormatPr defaultRowHeight="14.6" x14ac:dyDescent="0.4"/>
  <cols>
    <col min="1" max="1" width="21.53515625" bestFit="1" customWidth="1"/>
    <col min="2" max="2" width="44.53515625" bestFit="1" customWidth="1"/>
    <col min="3" max="3" width="12.15234375" bestFit="1" customWidth="1"/>
    <col min="4" max="4" width="24.3828125" bestFit="1" customWidth="1"/>
    <col min="5" max="5" width="13" bestFit="1" customWidth="1"/>
    <col min="6" max="6" width="8.15234375" bestFit="1" customWidth="1"/>
    <col min="7" max="7" width="12.15234375" bestFit="1" customWidth="1"/>
    <col min="8" max="8" width="32" bestFit="1" customWidth="1"/>
    <col min="9" max="9" width="16.84375" bestFit="1" customWidth="1"/>
    <col min="10" max="10" width="41.23046875" customWidth="1"/>
    <col min="11" max="11" width="18.15234375" customWidth="1"/>
    <col min="12" max="12" width="41.15234375" customWidth="1"/>
    <col min="13" max="13" width="18.15234375" customWidth="1"/>
    <col min="14" max="14" width="16.84375" customWidth="1"/>
  </cols>
  <sheetData>
    <row r="1" spans="1:15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9" t="s">
        <v>1140</v>
      </c>
      <c r="O1" s="1"/>
    </row>
    <row r="2" spans="1:15" ht="15.9" x14ac:dyDescent="0.4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30"/>
    </row>
    <row r="3" spans="1:15" ht="15.9" x14ac:dyDescent="0.4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31"/>
    </row>
    <row r="4" spans="1:15" ht="15.9" x14ac:dyDescent="0.4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30"/>
    </row>
    <row r="5" spans="1:15" ht="15.9" x14ac:dyDescent="0.4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31"/>
    </row>
    <row r="6" spans="1:15" ht="15.9" x14ac:dyDescent="0.4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30"/>
    </row>
    <row r="7" spans="1:15" ht="15.9" x14ac:dyDescent="0.4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31"/>
    </row>
    <row r="8" spans="1:15" ht="15.9" x14ac:dyDescent="0.4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30"/>
    </row>
    <row r="9" spans="1:15" ht="15.9" x14ac:dyDescent="0.4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31"/>
    </row>
    <row r="10" spans="1:15" ht="15.9" x14ac:dyDescent="0.4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30"/>
    </row>
    <row r="11" spans="1:15" ht="15.9" x14ac:dyDescent="0.4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31"/>
    </row>
    <row r="12" spans="1:15" ht="15.9" x14ac:dyDescent="0.4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30"/>
    </row>
    <row r="13" spans="1:15" ht="15.9" x14ac:dyDescent="0.4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31"/>
    </row>
    <row r="14" spans="1:15" ht="15.9" x14ac:dyDescent="0.4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30"/>
    </row>
    <row r="15" spans="1:15" ht="15.9" x14ac:dyDescent="0.4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31"/>
    </row>
    <row r="16" spans="1:15" ht="15.9" x14ac:dyDescent="0.4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30"/>
    </row>
    <row r="17" spans="1:14" ht="15.9" x14ac:dyDescent="0.4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31"/>
    </row>
    <row r="18" spans="1:14" ht="15.9" x14ac:dyDescent="0.4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30"/>
    </row>
    <row r="19" spans="1:14" ht="15.9" x14ac:dyDescent="0.4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31"/>
    </row>
    <row r="20" spans="1:14" ht="15.9" x14ac:dyDescent="0.4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30"/>
    </row>
    <row r="21" spans="1:14" ht="15.9" x14ac:dyDescent="0.4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31"/>
    </row>
    <row r="22" spans="1:14" ht="15.9" x14ac:dyDescent="0.4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30"/>
    </row>
    <row r="23" spans="1:14" ht="15.9" x14ac:dyDescent="0.4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31"/>
    </row>
    <row r="24" spans="1:14" ht="15.9" x14ac:dyDescent="0.4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30"/>
    </row>
    <row r="25" spans="1:14" ht="15.9" x14ac:dyDescent="0.4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31"/>
    </row>
    <row r="26" spans="1:14" ht="15.9" x14ac:dyDescent="0.4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30"/>
    </row>
    <row r="27" spans="1:14" ht="15.9" x14ac:dyDescent="0.4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31"/>
    </row>
    <row r="28" spans="1:14" ht="15.9" x14ac:dyDescent="0.4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30"/>
    </row>
    <row r="29" spans="1:14" ht="15.9" x14ac:dyDescent="0.4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31"/>
    </row>
    <row r="30" spans="1:14" ht="15.9" x14ac:dyDescent="0.4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30"/>
    </row>
    <row r="31" spans="1:14" ht="15.9" x14ac:dyDescent="0.4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31"/>
    </row>
    <row r="32" spans="1:14" ht="15.9" x14ac:dyDescent="0.4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30"/>
    </row>
    <row r="33" spans="1:14" ht="15.9" x14ac:dyDescent="0.4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31"/>
    </row>
    <row r="34" spans="1:14" ht="15.9" x14ac:dyDescent="0.4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30"/>
    </row>
    <row r="35" spans="1:14" ht="15.9" x14ac:dyDescent="0.4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31"/>
    </row>
    <row r="36" spans="1:14" ht="15.9" x14ac:dyDescent="0.4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30"/>
    </row>
    <row r="37" spans="1:14" ht="15.9" x14ac:dyDescent="0.4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31"/>
    </row>
    <row r="38" spans="1:14" ht="15.9" x14ac:dyDescent="0.4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30"/>
    </row>
    <row r="39" spans="1:14" ht="15.9" x14ac:dyDescent="0.4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31"/>
    </row>
    <row r="40" spans="1:14" ht="15.9" x14ac:dyDescent="0.4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30"/>
    </row>
    <row r="41" spans="1:14" ht="15.9" x14ac:dyDescent="0.4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31"/>
    </row>
    <row r="42" spans="1:14" ht="15.9" x14ac:dyDescent="0.4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30"/>
    </row>
    <row r="43" spans="1:14" ht="15.9" x14ac:dyDescent="0.4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31"/>
    </row>
    <row r="44" spans="1:14" ht="15.9" x14ac:dyDescent="0.4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30"/>
    </row>
    <row r="45" spans="1:14" ht="15.9" x14ac:dyDescent="0.4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31"/>
    </row>
    <row r="46" spans="1:14" ht="15.9" x14ac:dyDescent="0.4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30"/>
    </row>
    <row r="47" spans="1:14" ht="15.9" x14ac:dyDescent="0.4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31"/>
    </row>
    <row r="48" spans="1:14" ht="15.9" x14ac:dyDescent="0.4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30"/>
    </row>
    <row r="49" spans="1:14" ht="15.9" x14ac:dyDescent="0.4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31"/>
    </row>
    <row r="50" spans="1:14" ht="15.9" x14ac:dyDescent="0.4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30"/>
    </row>
    <row r="51" spans="1:14" ht="15.9" x14ac:dyDescent="0.4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31"/>
    </row>
    <row r="52" spans="1:14" ht="15.9" x14ac:dyDescent="0.4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30"/>
    </row>
    <row r="53" spans="1:14" ht="15.9" x14ac:dyDescent="0.4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31"/>
    </row>
    <row r="54" spans="1:14" ht="15.9" x14ac:dyDescent="0.4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30"/>
    </row>
    <row r="55" spans="1:14" ht="15.9" x14ac:dyDescent="0.4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31"/>
    </row>
    <row r="56" spans="1:14" ht="15.9" x14ac:dyDescent="0.4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30"/>
    </row>
    <row r="57" spans="1:14" ht="15.9" x14ac:dyDescent="0.4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31"/>
    </row>
    <row r="58" spans="1:14" ht="15.9" x14ac:dyDescent="0.4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30"/>
    </row>
    <row r="59" spans="1:14" ht="15.9" x14ac:dyDescent="0.4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31"/>
    </row>
    <row r="60" spans="1:14" ht="15.9" x14ac:dyDescent="0.4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30"/>
    </row>
    <row r="61" spans="1:14" ht="15.9" x14ac:dyDescent="0.4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31"/>
    </row>
    <row r="62" spans="1:14" ht="15.9" x14ac:dyDescent="0.4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30"/>
    </row>
    <row r="63" spans="1:14" ht="15.9" x14ac:dyDescent="0.4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31"/>
    </row>
    <row r="64" spans="1:14" ht="15.9" x14ac:dyDescent="0.4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30"/>
    </row>
    <row r="65" spans="1:14" ht="15.9" x14ac:dyDescent="0.4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31"/>
    </row>
    <row r="66" spans="1:14" ht="15.9" x14ac:dyDescent="0.4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30"/>
    </row>
    <row r="67" spans="1:14" ht="15.9" x14ac:dyDescent="0.4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31"/>
    </row>
    <row r="68" spans="1:14" ht="15.9" x14ac:dyDescent="0.4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30"/>
    </row>
    <row r="69" spans="1:14" ht="15.9" x14ac:dyDescent="0.4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31"/>
    </row>
    <row r="70" spans="1:14" ht="15.9" x14ac:dyDescent="0.4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30"/>
    </row>
    <row r="71" spans="1:14" ht="15.9" x14ac:dyDescent="0.4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31"/>
    </row>
    <row r="72" spans="1:14" ht="15.9" x14ac:dyDescent="0.4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30"/>
    </row>
    <row r="73" spans="1:14" ht="15.9" x14ac:dyDescent="0.4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31"/>
    </row>
    <row r="74" spans="1:14" ht="15.9" x14ac:dyDescent="0.4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30"/>
    </row>
    <row r="75" spans="1:14" ht="15.9" x14ac:dyDescent="0.4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31"/>
    </row>
    <row r="76" spans="1:14" ht="15.9" x14ac:dyDescent="0.4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30"/>
    </row>
    <row r="77" spans="1:14" ht="15.9" x14ac:dyDescent="0.4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31"/>
    </row>
    <row r="78" spans="1:14" ht="15.9" x14ac:dyDescent="0.4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30"/>
    </row>
    <row r="79" spans="1:14" ht="15.9" x14ac:dyDescent="0.4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  <c r="M79" s="1"/>
      <c r="N79" s="31"/>
    </row>
    <row r="80" spans="1:14" ht="15.9" x14ac:dyDescent="0.4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  <c r="M80" s="1"/>
      <c r="N80" s="30"/>
    </row>
    <row r="81" spans="1:14" ht="15.9" x14ac:dyDescent="0.4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 t="s">
        <v>1204</v>
      </c>
      <c r="K81" s="1" t="s">
        <v>1206</v>
      </c>
      <c r="L81" s="1"/>
      <c r="M81" s="1"/>
      <c r="N81" s="31"/>
    </row>
    <row r="82" spans="1:14" ht="15.9" x14ac:dyDescent="0.4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  <c r="M82" s="1"/>
      <c r="N82" s="30"/>
    </row>
    <row r="83" spans="1:14" ht="15.9" x14ac:dyDescent="0.4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31"/>
    </row>
    <row r="84" spans="1:14" ht="15.9" x14ac:dyDescent="0.4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30"/>
    </row>
    <row r="85" spans="1:14" ht="15.9" x14ac:dyDescent="0.4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  <c r="M85" s="1"/>
      <c r="N85" s="31"/>
    </row>
    <row r="86" spans="1:14" ht="15.9" x14ac:dyDescent="0.4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  <c r="M86" s="1"/>
      <c r="N86" s="30"/>
    </row>
    <row r="87" spans="1:14" ht="15.9" x14ac:dyDescent="0.4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  <c r="M87" s="1"/>
      <c r="N87" s="31"/>
    </row>
    <row r="88" spans="1:14" ht="15.9" x14ac:dyDescent="0.4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30"/>
    </row>
    <row r="89" spans="1:14" ht="15.9" x14ac:dyDescent="0.4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31"/>
    </row>
    <row r="90" spans="1:14" ht="15.9" x14ac:dyDescent="0.4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 t="s">
        <v>1204</v>
      </c>
      <c r="K90" s="1" t="s">
        <v>1207</v>
      </c>
      <c r="L90" s="1"/>
      <c r="M90" s="1"/>
      <c r="N90" s="30"/>
    </row>
    <row r="91" spans="1:14" ht="15.9" x14ac:dyDescent="0.4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  <c r="M91" s="1"/>
      <c r="N91" s="31"/>
    </row>
    <row r="92" spans="1:14" ht="15.9" x14ac:dyDescent="0.4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30"/>
    </row>
    <row r="93" spans="1:14" ht="15.9" x14ac:dyDescent="0.4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31"/>
    </row>
    <row r="94" spans="1:14" ht="15.9" x14ac:dyDescent="0.4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30"/>
    </row>
    <row r="95" spans="1:14" ht="15.9" x14ac:dyDescent="0.4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31"/>
    </row>
    <row r="96" spans="1:14" ht="15.9" x14ac:dyDescent="0.4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30"/>
    </row>
    <row r="97" spans="1:14" ht="15.9" x14ac:dyDescent="0.4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31"/>
    </row>
    <row r="98" spans="1:14" ht="15.9" x14ac:dyDescent="0.4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 t="s">
        <v>1204</v>
      </c>
      <c r="M98" s="1" t="s">
        <v>1208</v>
      </c>
      <c r="N98" s="30"/>
    </row>
    <row r="99" spans="1:14" ht="15.9" x14ac:dyDescent="0.4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  <c r="M99" s="1"/>
      <c r="N99" s="31"/>
    </row>
    <row r="100" spans="1:14" ht="15.9" x14ac:dyDescent="0.4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30"/>
    </row>
    <row r="101" spans="1:14" ht="15.9" x14ac:dyDescent="0.4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31"/>
    </row>
    <row r="102" spans="1:14" ht="15.9" x14ac:dyDescent="0.4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30"/>
    </row>
    <row r="103" spans="1:14" ht="15.9" x14ac:dyDescent="0.4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31"/>
    </row>
    <row r="104" spans="1:14" ht="15.9" x14ac:dyDescent="0.4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30"/>
    </row>
    <row r="105" spans="1:14" ht="15.9" x14ac:dyDescent="0.4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 t="s">
        <v>1204</v>
      </c>
      <c r="K105" s="1" t="s">
        <v>1209</v>
      </c>
      <c r="L105" s="1"/>
      <c r="M105" s="1"/>
      <c r="N105" s="31"/>
    </row>
    <row r="106" spans="1:14" ht="15.9" x14ac:dyDescent="0.4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 t="s">
        <v>1204</v>
      </c>
      <c r="K106" s="1" t="s">
        <v>1210</v>
      </c>
      <c r="L106" s="1"/>
      <c r="M106" s="1"/>
      <c r="N106" s="30"/>
    </row>
    <row r="107" spans="1:14" ht="15.9" x14ac:dyDescent="0.4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31"/>
    </row>
    <row r="108" spans="1:14" ht="15.9" x14ac:dyDescent="0.4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  <c r="M108" s="1"/>
      <c r="N108" s="30"/>
    </row>
    <row r="109" spans="1:14" ht="15.9" x14ac:dyDescent="0.4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  <c r="M109" s="1"/>
      <c r="N109" s="31"/>
    </row>
    <row r="110" spans="1:14" ht="15.9" x14ac:dyDescent="0.4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30"/>
    </row>
    <row r="111" spans="1:14" ht="15.9" x14ac:dyDescent="0.4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31"/>
    </row>
    <row r="112" spans="1:14" ht="15.9" x14ac:dyDescent="0.4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30"/>
    </row>
    <row r="113" spans="1:14" ht="15.9" x14ac:dyDescent="0.4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31"/>
    </row>
    <row r="114" spans="1:14" ht="15.9" x14ac:dyDescent="0.4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30"/>
    </row>
    <row r="115" spans="1:14" ht="15.9" x14ac:dyDescent="0.4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31"/>
    </row>
    <row r="116" spans="1:14" ht="15.9" x14ac:dyDescent="0.4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30"/>
    </row>
    <row r="117" spans="1:14" ht="15.9" x14ac:dyDescent="0.4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31"/>
    </row>
    <row r="118" spans="1:14" ht="15.9" x14ac:dyDescent="0.4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30"/>
    </row>
    <row r="119" spans="1:14" ht="15.9" x14ac:dyDescent="0.4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31"/>
    </row>
    <row r="120" spans="1:14" ht="15.9" x14ac:dyDescent="0.4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30"/>
    </row>
    <row r="121" spans="1:14" ht="15.9" x14ac:dyDescent="0.4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31"/>
    </row>
    <row r="122" spans="1:14" ht="15.9" x14ac:dyDescent="0.4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30"/>
    </row>
    <row r="123" spans="1:14" ht="15.9" x14ac:dyDescent="0.4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 t="s">
        <v>1204</v>
      </c>
      <c r="K123" s="1" t="s">
        <v>1211</v>
      </c>
      <c r="L123" s="1"/>
      <c r="M123" s="1"/>
      <c r="N123" s="31"/>
    </row>
    <row r="124" spans="1:14" ht="15.9" x14ac:dyDescent="0.4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30"/>
    </row>
    <row r="125" spans="1:14" ht="15.9" x14ac:dyDescent="0.4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31"/>
    </row>
    <row r="126" spans="1:14" ht="15.9" x14ac:dyDescent="0.4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  <c r="M126" s="1"/>
      <c r="N126" s="30"/>
    </row>
    <row r="127" spans="1:14" ht="15.9" x14ac:dyDescent="0.4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31"/>
    </row>
    <row r="128" spans="1:14" ht="15.9" x14ac:dyDescent="0.4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30"/>
    </row>
    <row r="129" spans="1:14" ht="15.9" x14ac:dyDescent="0.4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31"/>
    </row>
    <row r="130" spans="1:14" ht="15.9" x14ac:dyDescent="0.4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30"/>
    </row>
    <row r="131" spans="1:14" ht="15.9" x14ac:dyDescent="0.4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31"/>
    </row>
    <row r="132" spans="1:14" ht="15.9" x14ac:dyDescent="0.4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30"/>
    </row>
    <row r="133" spans="1:14" ht="15.9" x14ac:dyDescent="0.4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31"/>
    </row>
    <row r="134" spans="1:14" ht="15.9" x14ac:dyDescent="0.4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30"/>
    </row>
    <row r="135" spans="1:14" ht="15.9" x14ac:dyDescent="0.4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31"/>
    </row>
    <row r="136" spans="1:14" ht="15.9" x14ac:dyDescent="0.4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30"/>
    </row>
    <row r="137" spans="1:14" ht="15.9" x14ac:dyDescent="0.4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31"/>
    </row>
    <row r="138" spans="1:14" ht="15.9" x14ac:dyDescent="0.4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30"/>
    </row>
    <row r="139" spans="1:14" ht="15.9" x14ac:dyDescent="0.4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31"/>
    </row>
    <row r="140" spans="1:14" ht="15.9" x14ac:dyDescent="0.4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30"/>
    </row>
    <row r="141" spans="1:14" ht="15.9" x14ac:dyDescent="0.4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31"/>
    </row>
    <row r="142" spans="1:14" ht="15.9" x14ac:dyDescent="0.4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30"/>
    </row>
    <row r="143" spans="1:14" ht="15.9" x14ac:dyDescent="0.4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31"/>
    </row>
    <row r="144" spans="1:14" ht="15.9" x14ac:dyDescent="0.4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30"/>
    </row>
    <row r="145" spans="1:14" ht="15.9" x14ac:dyDescent="0.4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31"/>
    </row>
    <row r="146" spans="1:14" ht="15.9" x14ac:dyDescent="0.4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30"/>
    </row>
    <row r="147" spans="1:14" ht="15.9" x14ac:dyDescent="0.4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31"/>
    </row>
    <row r="148" spans="1:14" ht="15.9" x14ac:dyDescent="0.4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30"/>
    </row>
    <row r="149" spans="1:14" ht="15.9" x14ac:dyDescent="0.4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31"/>
    </row>
    <row r="150" spans="1:14" ht="15.9" x14ac:dyDescent="0.4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30"/>
    </row>
    <row r="151" spans="1:14" ht="15.9" x14ac:dyDescent="0.4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31"/>
    </row>
    <row r="152" spans="1:14" ht="15.9" x14ac:dyDescent="0.4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30"/>
    </row>
    <row r="153" spans="1:14" ht="15.9" x14ac:dyDescent="0.4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31"/>
    </row>
    <row r="154" spans="1:14" ht="15.9" x14ac:dyDescent="0.4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30"/>
    </row>
    <row r="155" spans="1:14" ht="15.9" x14ac:dyDescent="0.4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31"/>
    </row>
    <row r="156" spans="1:14" ht="15.9" x14ac:dyDescent="0.4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30"/>
    </row>
    <row r="157" spans="1:14" ht="15.9" x14ac:dyDescent="0.4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31"/>
    </row>
    <row r="158" spans="1:14" ht="15.9" x14ac:dyDescent="0.4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30"/>
    </row>
    <row r="159" spans="1:14" ht="15.9" x14ac:dyDescent="0.4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31"/>
    </row>
    <row r="160" spans="1:14" ht="15.9" x14ac:dyDescent="0.4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30"/>
    </row>
    <row r="161" spans="1:14" ht="15.9" x14ac:dyDescent="0.4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31"/>
    </row>
    <row r="162" spans="1:14" ht="15.9" x14ac:dyDescent="0.4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30"/>
    </row>
    <row r="163" spans="1:14" ht="15.9" x14ac:dyDescent="0.4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31"/>
    </row>
    <row r="164" spans="1:14" ht="15.9" x14ac:dyDescent="0.4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30"/>
    </row>
    <row r="165" spans="1:14" ht="15.9" x14ac:dyDescent="0.4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31"/>
    </row>
    <row r="166" spans="1:14" ht="15.9" x14ac:dyDescent="0.4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30"/>
    </row>
    <row r="167" spans="1:14" ht="15.9" x14ac:dyDescent="0.4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31"/>
    </row>
    <row r="168" spans="1:14" ht="15.9" x14ac:dyDescent="0.4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30"/>
    </row>
    <row r="169" spans="1:14" ht="15.9" x14ac:dyDescent="0.4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31"/>
    </row>
    <row r="170" spans="1:14" ht="15.9" x14ac:dyDescent="0.4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30"/>
    </row>
    <row r="171" spans="1:14" ht="15.9" x14ac:dyDescent="0.4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31"/>
    </row>
    <row r="172" spans="1:14" ht="15.9" x14ac:dyDescent="0.4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  <c r="M172" s="1"/>
      <c r="N172" s="30"/>
    </row>
    <row r="173" spans="1:14" ht="15.9" x14ac:dyDescent="0.4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  <c r="M173" s="1"/>
      <c r="N173" s="31"/>
    </row>
    <row r="174" spans="1:14" ht="15.9" x14ac:dyDescent="0.4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  <c r="M174" s="1"/>
      <c r="N174" s="30"/>
    </row>
    <row r="175" spans="1:14" ht="15.9" x14ac:dyDescent="0.4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  <c r="M175" s="1"/>
      <c r="N175" s="31"/>
    </row>
    <row r="176" spans="1:14" ht="15.9" x14ac:dyDescent="0.4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9" x14ac:dyDescent="0.4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6" x14ac:dyDescent="0.4"/>
  <cols>
    <col min="1" max="1" width="14.3828125" customWidth="1"/>
    <col min="2" max="2" width="40.69140625" customWidth="1"/>
    <col min="3" max="3" width="12.69140625" customWidth="1"/>
    <col min="4" max="4" width="28.53515625" customWidth="1"/>
    <col min="5" max="5" width="14.84375" customWidth="1"/>
    <col min="6" max="6" width="20.84375" customWidth="1"/>
    <col min="7" max="7" width="14.15234375" customWidth="1"/>
    <col min="8" max="8" width="35" customWidth="1"/>
    <col min="9" max="10" width="13.15234375" customWidth="1"/>
    <col min="11" max="11" width="12.30468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4">
      <c r="A2" s="22" t="s">
        <v>1102</v>
      </c>
      <c r="B2" s="21" t="str">
        <f>CONCATENATE("Выпрямительный диод на ", H2," В, ном. ток ", I2," А")</f>
        <v>Выпрямительный диод на 1000 В, ном. ток 2 А</v>
      </c>
      <c r="C2" s="23" t="str">
        <f t="shared" ref="C2" si="0">A2</f>
        <v>S2M</v>
      </c>
      <c r="D2" s="23" t="s">
        <v>1101</v>
      </c>
      <c r="E2" s="23" t="s">
        <v>1100</v>
      </c>
      <c r="F2" s="23" t="str">
        <f t="shared" ref="F2" si="1">CONCATENATE("Footprints\",G2,".PcbLib")</f>
        <v>Footprints\SMB.PcbLib</v>
      </c>
      <c r="G2" s="23" t="s">
        <v>341</v>
      </c>
      <c r="H2" s="24">
        <v>1000</v>
      </c>
      <c r="I2" s="25">
        <v>2</v>
      </c>
      <c r="J2" s="2"/>
      <c r="K2" s="2"/>
      <c r="L2" s="11"/>
    </row>
    <row r="3" spans="1:12" x14ac:dyDescent="0.4">
      <c r="B3" s="2"/>
      <c r="D3" s="2"/>
      <c r="E3" s="2"/>
      <c r="F3" s="2"/>
      <c r="H3" s="2"/>
      <c r="I3" s="2"/>
      <c r="J3" s="2"/>
      <c r="K3" s="2"/>
      <c r="L3" s="11"/>
    </row>
    <row r="4" spans="1:12" x14ac:dyDescent="0.4">
      <c r="B4" s="2"/>
      <c r="D4" s="2"/>
      <c r="F4" s="2"/>
      <c r="H4" s="2"/>
      <c r="I4" s="2"/>
      <c r="J4" s="2"/>
      <c r="K4" s="2"/>
      <c r="L4" s="11"/>
    </row>
    <row r="5" spans="1:12" x14ac:dyDescent="0.4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6" x14ac:dyDescent="0.4"/>
  <cols>
    <col min="1" max="1" width="15.3828125" bestFit="1" customWidth="1"/>
    <col min="2" max="2" width="23.15234375" bestFit="1" customWidth="1"/>
    <col min="3" max="3" width="15.3828125" bestFit="1" customWidth="1"/>
    <col min="4" max="4" width="32" bestFit="1" customWidth="1"/>
    <col min="5" max="5" width="15.3828125" bestFit="1" customWidth="1"/>
    <col min="6" max="6" width="8.84375" bestFit="1" customWidth="1"/>
    <col min="7" max="7" width="33.53515625" bestFit="1" customWidth="1"/>
    <col min="8" max="8" width="17.15234375" bestFit="1" customWidth="1"/>
    <col min="9" max="9" width="33.53515625" bestFit="1" customWidth="1"/>
    <col min="10" max="10" width="17.15234375" bestFit="1" customWidth="1"/>
    <col min="11" max="11" width="33.53515625" bestFit="1" customWidth="1"/>
    <col min="12" max="12" width="17.15234375" bestFit="1" customWidth="1"/>
    <col min="13" max="13" width="32.84375" bestFit="1" customWidth="1"/>
    <col min="14" max="14" width="17.15234375" bestFit="1" customWidth="1"/>
    <col min="15" max="15" width="32.3828125" bestFit="1" customWidth="1"/>
    <col min="16" max="16" width="17.15234375" bestFit="1" customWidth="1"/>
    <col min="17" max="17" width="42.15234375" bestFit="1" customWidth="1"/>
    <col min="18" max="18" width="17.15234375" bestFit="1" customWidth="1"/>
    <col min="19" max="19" width="42.3828125" bestFit="1" customWidth="1"/>
    <col min="20" max="20" width="17.15234375" bestFit="1" customWidth="1"/>
    <col min="21" max="21" width="14.3046875" customWidth="1"/>
  </cols>
  <sheetData>
    <row r="1" spans="1:2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9" x14ac:dyDescent="0.4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  <c r="U2" s="18"/>
    </row>
    <row r="3" spans="1:21" ht="15.9" x14ac:dyDescent="0.4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  <c r="U3" s="18"/>
    </row>
    <row r="4" spans="1:21" ht="15.9" x14ac:dyDescent="0.4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6" x14ac:dyDescent="0.4"/>
  <cols>
    <col min="1" max="1" width="32" bestFit="1" customWidth="1"/>
    <col min="2" max="2" width="13.53515625" bestFit="1" customWidth="1"/>
    <col min="3" max="3" width="26.53515625" customWidth="1"/>
    <col min="4" max="4" width="13.15234375" customWidth="1"/>
    <col min="5" max="5" width="25.15234375" customWidth="1"/>
    <col min="6" max="6" width="14.3828125" customWidth="1"/>
    <col min="7" max="7" width="9.84375" customWidth="1"/>
    <col min="8" max="8" width="12.53515625" customWidth="1"/>
    <col min="9" max="9" width="14.3828125" customWidth="1"/>
    <col min="10" max="10" width="12" customWidth="1"/>
    <col min="11" max="11" width="17.69140625" customWidth="1"/>
    <col min="12" max="12" width="15.53515625" customWidth="1"/>
    <col min="13" max="13" width="14.69140625" customWidth="1"/>
    <col min="14" max="14" width="12.15234375" customWidth="1"/>
  </cols>
  <sheetData>
    <row r="1" spans="1:14" ht="15.9" x14ac:dyDescent="0.4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4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4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4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4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4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4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4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4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4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4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4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4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4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4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4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4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4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4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4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4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4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4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4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4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4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4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4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4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4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4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4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4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4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4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4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4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4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4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4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4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4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6" x14ac:dyDescent="0.4"/>
  <cols>
    <col min="1" max="1" width="27.53515625" bestFit="1" customWidth="1"/>
    <col min="2" max="2" width="23.15234375" bestFit="1" customWidth="1"/>
    <col min="3" max="3" width="12.15234375" bestFit="1" customWidth="1"/>
    <col min="4" max="4" width="29.3828125" bestFit="1" customWidth="1"/>
    <col min="5" max="5" width="14.15234375" bestFit="1" customWidth="1"/>
    <col min="6" max="6" width="8.15234375" bestFit="1" customWidth="1"/>
    <col min="7" max="7" width="12.15234375" bestFit="1" customWidth="1"/>
    <col min="8" max="8" width="13" bestFit="1" customWidth="1"/>
    <col min="9" max="9" width="8.84375" bestFit="1" customWidth="1"/>
    <col min="10" max="10" width="30.15234375" bestFit="1" customWidth="1"/>
    <col min="11" max="11" width="16.84375" bestFit="1" customWidth="1"/>
    <col min="12" max="12" width="14.84375" bestFit="1" customWidth="1"/>
    <col min="13" max="13" width="19.15234375" customWidth="1"/>
    <col min="14" max="14" width="18.3828125" customWidth="1"/>
    <col min="15" max="15" width="13.3046875" customWidth="1"/>
  </cols>
  <sheetData>
    <row r="1" spans="1:15" ht="15.9" x14ac:dyDescent="0.4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4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4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4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4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4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4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4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4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4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4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4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4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4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4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4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4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4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4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4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4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4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4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4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4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zoomScaleNormal="100" workbookViewId="0">
      <selection activeCell="J23" sqref="J23"/>
    </sheetView>
  </sheetViews>
  <sheetFormatPr defaultRowHeight="14.6" x14ac:dyDescent="0.4"/>
  <cols>
    <col min="1" max="1" width="14.84375" customWidth="1"/>
    <col min="2" max="2" width="22.15234375" customWidth="1"/>
    <col min="3" max="3" width="12" customWidth="1"/>
    <col min="4" max="4" width="27.15234375" customWidth="1"/>
    <col min="5" max="5" width="12.84375" customWidth="1"/>
    <col min="6" max="6" width="36.3046875" customWidth="1"/>
    <col min="7" max="7" width="16.84375" customWidth="1"/>
    <col min="8" max="8" width="18.15234375" customWidth="1"/>
    <col min="9" max="9" width="16.84375" customWidth="1"/>
    <col min="10" max="10" width="18.15234375" customWidth="1"/>
    <col min="11" max="11" width="16.84375" customWidth="1"/>
    <col min="12" max="12" width="18.15234375" customWidth="1"/>
    <col min="13" max="13" width="16.84375" customWidth="1"/>
    <col min="14" max="14" width="18" style="20" bestFit="1" customWidth="1"/>
    <col min="15" max="15" width="13.53515625" bestFit="1" customWidth="1"/>
    <col min="16" max="16" width="8.53515625" bestFit="1" customWidth="1"/>
    <col min="17" max="17" width="12.152343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836</v>
      </c>
      <c r="O1" s="1" t="s">
        <v>84</v>
      </c>
      <c r="P1" s="1" t="s">
        <v>25</v>
      </c>
      <c r="Q1" s="1" t="s">
        <v>1140</v>
      </c>
    </row>
    <row r="2" spans="1:17" x14ac:dyDescent="0.4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4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4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7" x14ac:dyDescent="0.4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7" x14ac:dyDescent="0.4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7" x14ac:dyDescent="0.4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1046</v>
      </c>
      <c r="P7" t="str">
        <f t="shared" si="2"/>
        <v>22 мк</v>
      </c>
    </row>
    <row r="8" spans="1:17" x14ac:dyDescent="0.4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7" x14ac:dyDescent="0.4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7" x14ac:dyDescent="0.4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7" x14ac:dyDescent="0.4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1090</v>
      </c>
    </row>
    <row r="12" spans="1:17" x14ac:dyDescent="0.4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7" x14ac:dyDescent="0.4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  <row r="14" spans="1:17" x14ac:dyDescent="0.4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s="18">
        <v>10000</v>
      </c>
      <c r="P14" s="18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6" x14ac:dyDescent="0.4"/>
  <cols>
    <col min="1" max="1" width="14" customWidth="1"/>
    <col min="2" max="2" width="22.3828125" customWidth="1"/>
    <col min="3" max="3" width="11" customWidth="1"/>
    <col min="4" max="4" width="34.15234375" customWidth="1"/>
    <col min="5" max="5" width="20.53515625" customWidth="1"/>
    <col min="6" max="6" width="21.69140625" customWidth="1"/>
    <col min="7" max="7" width="17.84375" customWidth="1"/>
    <col min="8" max="8" width="22.84375" customWidth="1"/>
    <col min="9" max="9" width="18.3828125" customWidth="1"/>
    <col min="10" max="10" width="16.69140625" customWidth="1"/>
    <col min="11" max="11" width="12.3828125" customWidth="1"/>
    <col min="12" max="12" width="13.152343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9"/>
      <c r="O1" s="1"/>
      <c r="P1" s="1"/>
      <c r="Q1" s="1"/>
    </row>
    <row r="2" spans="1:17" ht="15.9" x14ac:dyDescent="0.45">
      <c r="A2" s="27" t="s">
        <v>1114</v>
      </c>
      <c r="B2" s="28" t="s">
        <v>1115</v>
      </c>
      <c r="C2" s="23" t="str">
        <f>A2</f>
        <v>TS820-600B-TR</v>
      </c>
      <c r="D2" s="28" t="s">
        <v>1117</v>
      </c>
      <c r="E2" s="28" t="s">
        <v>1116</v>
      </c>
      <c r="F2" s="23" t="str">
        <f t="shared" ref="F2" si="0">CONCATENATE("Footprints\",G2,".PcbLib")</f>
        <v>Footprints\DPAK.PcbLib</v>
      </c>
      <c r="G2" s="28" t="s">
        <v>6</v>
      </c>
      <c r="H2" s="23"/>
      <c r="I2" s="23"/>
      <c r="J2" s="21" t="s">
        <v>1118</v>
      </c>
      <c r="K2" s="26" t="s">
        <v>1120</v>
      </c>
      <c r="L2" s="26"/>
      <c r="M2" s="2"/>
      <c r="N2" s="20"/>
      <c r="O2" s="2"/>
      <c r="P2" s="2"/>
    </row>
    <row r="3" spans="1:17" x14ac:dyDescent="0.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0"/>
      <c r="O3" s="2"/>
      <c r="P3" s="2"/>
    </row>
    <row r="4" spans="1:17" x14ac:dyDescent="0.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0"/>
      <c r="O4" s="2"/>
      <c r="P4" s="2"/>
    </row>
    <row r="5" spans="1:17" x14ac:dyDescent="0.4">
      <c r="D5" s="2"/>
      <c r="E5" s="2"/>
      <c r="F5" s="2"/>
      <c r="G5" s="2"/>
      <c r="H5" s="2"/>
      <c r="I5" s="2"/>
      <c r="J5" s="2"/>
      <c r="K5" s="2"/>
      <c r="L5" s="2"/>
      <c r="M5" s="2"/>
      <c r="N5" s="20"/>
      <c r="O5" s="2"/>
    </row>
    <row r="6" spans="1:17" x14ac:dyDescent="0.4">
      <c r="D6" s="2"/>
      <c r="E6" s="2"/>
      <c r="F6" s="2"/>
      <c r="G6" s="2"/>
      <c r="H6" s="2"/>
      <c r="I6" s="2"/>
      <c r="J6" s="2"/>
      <c r="K6" s="2"/>
      <c r="L6" s="2"/>
      <c r="M6" s="2"/>
      <c r="N6" s="20"/>
      <c r="O6" s="2"/>
    </row>
    <row r="7" spans="1:17" x14ac:dyDescent="0.4">
      <c r="D7" s="2"/>
      <c r="E7" s="2"/>
      <c r="F7" s="2"/>
      <c r="G7" s="2"/>
      <c r="H7" s="2"/>
      <c r="I7" s="2"/>
      <c r="J7" s="2"/>
      <c r="K7" s="2"/>
      <c r="L7" s="2"/>
      <c r="M7" s="2"/>
      <c r="N7" s="20"/>
      <c r="O7" s="2"/>
    </row>
    <row r="8" spans="1:17" x14ac:dyDescent="0.4">
      <c r="D8" s="2"/>
      <c r="E8" s="2"/>
      <c r="F8" s="2"/>
      <c r="G8" s="2"/>
      <c r="H8" s="2"/>
      <c r="I8" s="2"/>
      <c r="J8" s="2"/>
      <c r="K8" s="2"/>
      <c r="L8" s="2"/>
      <c r="M8" s="2"/>
      <c r="N8" s="20"/>
      <c r="O8" s="2"/>
    </row>
    <row r="9" spans="1:17" x14ac:dyDescent="0.4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20"/>
      <c r="O9" s="2"/>
      <c r="P9" s="2"/>
    </row>
    <row r="10" spans="1:17" x14ac:dyDescent="0.4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0"/>
      <c r="P10" s="2"/>
    </row>
    <row r="11" spans="1:17" x14ac:dyDescent="0.4">
      <c r="D11" s="2"/>
      <c r="E11" s="2"/>
      <c r="F11" s="2"/>
      <c r="G11" s="2"/>
      <c r="H11" s="2"/>
      <c r="I11" s="2"/>
      <c r="J11" s="2"/>
      <c r="K11" s="2"/>
      <c r="L11" s="2"/>
      <c r="M11" s="2"/>
      <c r="N11" s="20"/>
      <c r="O11" s="18"/>
      <c r="P11" s="18"/>
    </row>
    <row r="12" spans="1:17" x14ac:dyDescent="0.4">
      <c r="D12" s="2"/>
      <c r="E12" s="2"/>
      <c r="F12" s="2"/>
      <c r="G12" s="2"/>
      <c r="H12" s="2"/>
      <c r="I12" s="2"/>
      <c r="J12" s="2"/>
      <c r="K12" s="2"/>
      <c r="L12" s="2"/>
      <c r="M12" s="2"/>
      <c r="N12" s="20"/>
      <c r="O12" s="18"/>
      <c r="P12" s="2"/>
    </row>
    <row r="13" spans="1:17" x14ac:dyDescent="0.4">
      <c r="D13" s="2"/>
      <c r="E13" s="2"/>
      <c r="F13" s="2"/>
      <c r="G13" s="2"/>
      <c r="H13" s="2"/>
      <c r="I13" s="2"/>
      <c r="J13" s="2"/>
      <c r="K13" s="2"/>
      <c r="L13" s="2"/>
      <c r="M13" s="2"/>
      <c r="N13" s="20"/>
      <c r="O13" s="18"/>
      <c r="P13" s="2"/>
    </row>
    <row r="14" spans="1:17" x14ac:dyDescent="0.4">
      <c r="D14" s="2"/>
      <c r="E14" s="2"/>
      <c r="F14" s="2"/>
      <c r="G14" s="2"/>
      <c r="H14" s="2"/>
      <c r="I14" s="2"/>
      <c r="J14" s="2"/>
      <c r="K14" s="2"/>
      <c r="L14" s="2"/>
      <c r="M14" s="2"/>
      <c r="N14" s="20"/>
      <c r="O14" s="18"/>
      <c r="P14" s="18"/>
    </row>
    <row r="22" spans="14:14" x14ac:dyDescent="0.4">
      <c r="N22" s="20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I18" sqref="I18"/>
    </sheetView>
  </sheetViews>
  <sheetFormatPr defaultRowHeight="14.6" x14ac:dyDescent="0.4"/>
  <cols>
    <col min="1" max="1" width="14.84375" customWidth="1"/>
    <col min="2" max="2" width="15.84375" customWidth="1"/>
    <col min="3" max="3" width="12.53515625" customWidth="1"/>
    <col min="4" max="4" width="19.53515625" customWidth="1"/>
    <col min="5" max="5" width="12.84375" customWidth="1"/>
    <col min="6" max="6" width="28" customWidth="1"/>
    <col min="7" max="7" width="16.84375" customWidth="1"/>
    <col min="8" max="8" width="20.84375" customWidth="1"/>
    <col min="9" max="9" width="16.84375" customWidth="1"/>
    <col min="10" max="10" width="31.15234375" bestFit="1" customWidth="1"/>
    <col min="11" max="11" width="17.3828125" bestFit="1" customWidth="1"/>
    <col min="12" max="12" width="13.382812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  <c r="L2" s="18"/>
    </row>
    <row r="3" spans="1:20" x14ac:dyDescent="0.4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  <c r="L3" s="18"/>
    </row>
    <row r="4" spans="1:20" x14ac:dyDescent="0.4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  <c r="L4" s="18"/>
    </row>
    <row r="5" spans="1:20" x14ac:dyDescent="0.4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  <c r="L5" s="18"/>
    </row>
    <row r="6" spans="1:20" x14ac:dyDescent="0.4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  <c r="L6" s="18"/>
    </row>
    <row r="7" spans="1:20" x14ac:dyDescent="0.4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L7" s="18"/>
    </row>
    <row r="8" spans="1:20" x14ac:dyDescent="0.4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L8" s="18"/>
    </row>
    <row r="9" spans="1:20" x14ac:dyDescent="0.4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  <c r="L9" s="18"/>
    </row>
    <row r="10" spans="1:20" x14ac:dyDescent="0.4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  <c r="L10" s="18"/>
    </row>
    <row r="11" spans="1:20" x14ac:dyDescent="0.4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  <c r="L11" s="18"/>
    </row>
    <row r="12" spans="1:20" x14ac:dyDescent="0.4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  <c r="L12" s="18"/>
    </row>
    <row r="13" spans="1:20" x14ac:dyDescent="0.4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9" t="s">
        <v>1173</v>
      </c>
    </row>
    <row r="14" spans="1:20" x14ac:dyDescent="0.4">
      <c r="A14" s="18" t="s">
        <v>1174</v>
      </c>
      <c r="B14" s="18" t="s">
        <v>1176</v>
      </c>
      <c r="C14" s="18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s="18" t="s">
        <v>1174</v>
      </c>
      <c r="H14" s="18"/>
      <c r="I14" s="18"/>
      <c r="J14" s="18" t="str">
        <f>CONCATENATE("Footprints\",K14,".PcbLib")</f>
        <v>Footprints\.PcbLib</v>
      </c>
      <c r="K14" s="18"/>
      <c r="L14" s="18"/>
    </row>
    <row r="15" spans="1:20" x14ac:dyDescent="0.4">
      <c r="A15" s="18" t="s">
        <v>1199</v>
      </c>
      <c r="B15" s="18" t="s">
        <v>1200</v>
      </c>
      <c r="C15" s="18" t="str">
        <f>A15</f>
        <v>CR2032-VAY3-15.2</v>
      </c>
      <c r="D15" s="18" t="s">
        <v>1201</v>
      </c>
      <c r="E15" s="18" t="s">
        <v>1202</v>
      </c>
      <c r="F15" s="2" t="str">
        <f t="shared" si="5"/>
        <v>Footprints\CR2032-VAY3-15.2.PcbLib</v>
      </c>
      <c r="G15" s="18" t="s">
        <v>1199</v>
      </c>
      <c r="H15" s="18"/>
      <c r="I15" s="18"/>
      <c r="J15" s="18" t="str">
        <f>CONCATENATE("Footprints\",K15,".PcbLib")</f>
        <v>Footprints\.PcbLib</v>
      </c>
      <c r="K15" s="18"/>
      <c r="L15" s="18"/>
    </row>
    <row r="16" spans="1:20" x14ac:dyDescent="0.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18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36"/>
  <sheetViews>
    <sheetView topLeftCell="C1" zoomScale="85" zoomScaleNormal="85" workbookViewId="0">
      <selection activeCell="A14" sqref="A14:J14"/>
    </sheetView>
  </sheetViews>
  <sheetFormatPr defaultRowHeight="14.6" x14ac:dyDescent="0.4"/>
  <cols>
    <col min="1" max="1" width="14.84375" customWidth="1"/>
    <col min="2" max="2" width="40.3828125" customWidth="1"/>
    <col min="3" max="3" width="13.15234375" customWidth="1"/>
    <col min="4" max="4" width="45.84375" customWidth="1"/>
    <col min="5" max="5" width="17.15234375" customWidth="1"/>
    <col min="6" max="6" width="44" customWidth="1"/>
    <col min="7" max="7" width="16.84375" customWidth="1"/>
    <col min="8" max="8" width="44.3828125" customWidth="1"/>
    <col min="9" max="9" width="23.84375" customWidth="1"/>
    <col min="10" max="10" width="28.84375" customWidth="1"/>
    <col min="11" max="11" width="11.69140625" customWidth="1"/>
  </cols>
  <sheetData>
    <row r="1" spans="1:1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4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4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4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s="18" t="s">
        <v>1134</v>
      </c>
      <c r="G4" t="s">
        <v>109</v>
      </c>
      <c r="K4" t="s">
        <v>1165</v>
      </c>
    </row>
    <row r="5" spans="1:11" x14ac:dyDescent="0.4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4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4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4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4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4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4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4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4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4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4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4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4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4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4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4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4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4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4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4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4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4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4">
      <c r="A27" t="s">
        <v>1061</v>
      </c>
      <c r="B27" t="s">
        <v>1060</v>
      </c>
      <c r="C27" s="2" t="s">
        <v>1061</v>
      </c>
      <c r="D27" s="18" t="s">
        <v>358</v>
      </c>
      <c r="E27" s="2" t="s">
        <v>121</v>
      </c>
      <c r="F27" s="18" t="s">
        <v>1134</v>
      </c>
      <c r="G27" t="s">
        <v>1059</v>
      </c>
      <c r="K27" t="s">
        <v>1165</v>
      </c>
    </row>
    <row r="28" spans="1:11" x14ac:dyDescent="0.4">
      <c r="A28" t="s">
        <v>1135</v>
      </c>
      <c r="B28" t="s">
        <v>1142</v>
      </c>
      <c r="C28" t="s">
        <v>1135</v>
      </c>
      <c r="D28" s="18" t="s">
        <v>353</v>
      </c>
      <c r="E28" s="2" t="s">
        <v>115</v>
      </c>
      <c r="F28" s="18" t="s">
        <v>1136</v>
      </c>
      <c r="G28" t="s">
        <v>1137</v>
      </c>
      <c r="J28" t="s">
        <v>1141</v>
      </c>
      <c r="K28" t="s">
        <v>1165</v>
      </c>
    </row>
    <row r="29" spans="1:11" x14ac:dyDescent="0.4">
      <c r="A29" t="s">
        <v>1138</v>
      </c>
      <c r="B29" t="s">
        <v>1143</v>
      </c>
      <c r="C29" t="s">
        <v>1138</v>
      </c>
      <c r="D29" s="18" t="s">
        <v>358</v>
      </c>
      <c r="E29" s="2" t="s">
        <v>121</v>
      </c>
      <c r="F29" s="18" t="s">
        <v>1136</v>
      </c>
      <c r="G29" t="s">
        <v>1139</v>
      </c>
      <c r="J29" t="s">
        <v>1141</v>
      </c>
      <c r="K29" t="s">
        <v>1165</v>
      </c>
    </row>
    <row r="30" spans="1:11" x14ac:dyDescent="0.4">
      <c r="A30" t="s">
        <v>1146</v>
      </c>
      <c r="B30" t="s">
        <v>1145</v>
      </c>
      <c r="C30" t="str">
        <f>Таблица9[[#This Row],[Part Number]]</f>
        <v>PBS-4</v>
      </c>
      <c r="D30" s="18" t="s">
        <v>353</v>
      </c>
      <c r="E30" s="2" t="s">
        <v>115</v>
      </c>
      <c r="F30" s="18" t="s">
        <v>1150</v>
      </c>
      <c r="G30" t="s">
        <v>1148</v>
      </c>
      <c r="J30" t="s">
        <v>1151</v>
      </c>
      <c r="K30" t="s">
        <v>1165</v>
      </c>
    </row>
    <row r="31" spans="1:11" x14ac:dyDescent="0.4">
      <c r="A31" t="s">
        <v>1147</v>
      </c>
      <c r="B31" t="s">
        <v>1145</v>
      </c>
      <c r="C31" t="str">
        <f>Таблица9[[#This Row],[Part Number]]</f>
        <v>PBS-2</v>
      </c>
      <c r="D31" s="18" t="s">
        <v>358</v>
      </c>
      <c r="E31" s="2" t="s">
        <v>121</v>
      </c>
      <c r="F31" s="18" t="s">
        <v>1150</v>
      </c>
      <c r="G31" t="s">
        <v>1149</v>
      </c>
      <c r="J31" t="s">
        <v>1151</v>
      </c>
      <c r="K31" t="s">
        <v>1165</v>
      </c>
    </row>
    <row r="32" spans="1:11" x14ac:dyDescent="0.4">
      <c r="A32" t="s">
        <v>1161</v>
      </c>
      <c r="B32" t="s">
        <v>120</v>
      </c>
      <c r="C32" s="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4">
      <c r="A33" t="s">
        <v>1177</v>
      </c>
      <c r="B33" t="s">
        <v>1178</v>
      </c>
      <c r="C33" s="2" t="s">
        <v>1177</v>
      </c>
      <c r="D33" s="18" t="s">
        <v>354</v>
      </c>
      <c r="E33" s="2" t="s">
        <v>116</v>
      </c>
      <c r="F33" s="18" t="s">
        <v>1134</v>
      </c>
      <c r="G33" t="s">
        <v>1179</v>
      </c>
      <c r="J33" t="s">
        <v>1193</v>
      </c>
      <c r="K33" t="s">
        <v>1165</v>
      </c>
    </row>
    <row r="34" spans="1:11" x14ac:dyDescent="0.4">
      <c r="A34" t="s">
        <v>1180</v>
      </c>
      <c r="B34" t="s">
        <v>1181</v>
      </c>
      <c r="C34" s="2" t="s">
        <v>1180</v>
      </c>
      <c r="D34" s="18" t="s">
        <v>1182</v>
      </c>
      <c r="E34" s="2" t="s">
        <v>1183</v>
      </c>
      <c r="F34" s="18" t="s">
        <v>1184</v>
      </c>
      <c r="G34" t="s">
        <v>1185</v>
      </c>
      <c r="J34" t="s">
        <v>1151</v>
      </c>
      <c r="K34" t="s">
        <v>1165</v>
      </c>
    </row>
    <row r="35" spans="1:11" x14ac:dyDescent="0.4">
      <c r="A35" t="s">
        <v>1186</v>
      </c>
      <c r="B35" t="s">
        <v>1187</v>
      </c>
      <c r="C35" s="2" t="s">
        <v>1188</v>
      </c>
      <c r="D35" s="18" t="s">
        <v>1189</v>
      </c>
      <c r="E35" t="s">
        <v>1190</v>
      </c>
      <c r="F35" s="18" t="s">
        <v>1191</v>
      </c>
      <c r="G35" t="s">
        <v>1186</v>
      </c>
      <c r="J35" t="s">
        <v>1192</v>
      </c>
      <c r="K35" t="s">
        <v>1165</v>
      </c>
    </row>
    <row r="36" spans="1:11" x14ac:dyDescent="0.4">
      <c r="A36" t="s">
        <v>1194</v>
      </c>
      <c r="B36" t="s">
        <v>1195</v>
      </c>
      <c r="C36" s="2" t="s">
        <v>1194</v>
      </c>
      <c r="D36" s="18" t="s">
        <v>356</v>
      </c>
      <c r="E36" s="2" t="s">
        <v>119</v>
      </c>
      <c r="F36" s="18" t="s">
        <v>1134</v>
      </c>
      <c r="G36" t="s">
        <v>1196</v>
      </c>
      <c r="J36" t="s">
        <v>1193</v>
      </c>
      <c r="K3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2025-06-18T15:06:35Z</dcterms:modified>
</cp:coreProperties>
</file>