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98FB13BB-8235-419D-9763-FEF59FC625C7}" xr6:coauthVersionLast="47" xr6:coauthVersionMax="47" xr10:uidLastSave="{00000000-0000-0000-0000-000000000000}"/>
  <bookViews>
    <workbookView minimized="1" xWindow="2304" yWindow="2304" windowWidth="17280" windowHeight="8880" firstSheet="9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3" i="6" l="1"/>
  <c r="F53" i="6"/>
  <c r="F52" i="6"/>
  <c r="D52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<sst xmlns="http://schemas.openxmlformats.org/spreadsheetml/2006/main" count="3344" uniqueCount="1380">
  <si>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</si>
  <si>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</si>
  <si>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</si>
  <si>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</si>
  <si>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</si>
  <si>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</si>
  <si>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</si>
  <si>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</si>
  <si>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</si>
  <si>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</si>
  <si>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</si>
  <si>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</si>
  <si>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</si>
  <si>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</si>
  <si>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</si>
  <si>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</si>
  <si>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</si>
  <si>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</si>
  <si>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</si>
  <si>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</si>
  <si>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</si>
  <si>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</si>
  <si>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</si>
  <si>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</si>
  <si>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</si>
  <si>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</si>
  <si>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</si>
  <si>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</si>
  <si>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</si>
  <si>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</si>
  <si>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</si>
  <si>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</si>
  <si>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</si>
  <si>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</si>
  <si>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</si>
  <si>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</si>
  <si>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</si>
  <si>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</si>
  <si>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</si>
  <si>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</si>
  <si>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</si>
  <si>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</si>
  <si>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</si>
  <si>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</si>
  <si>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</si>
  <si>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</si>
  <si>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</si>
  <si>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</si>
  <si>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</si>
  <si>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</si>
  <si>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</si>
  <si>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</si>
  <si>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</si>
  <si>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</si>
  <si>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</si>
  <si>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</si>
  <si>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</si>
  <si>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</si>
  <si>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</si>
  <si>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</si>
  <si>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</si>
  <si>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</si>
  <si>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</si>
  <si>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</si>
  <si>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</si>
  <si>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</si>
  <si>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</si>
  <si>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</si>
  <si>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</si>
  <si>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</si>
  <si>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</si>
  <si>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</si>
  <si>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</si>
  <si>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</si>
  <si>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</si>
  <si>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</si>
  <si>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</si>
  <si>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</si>
  <si>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</si>
  <si>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</si>
  <si>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</si>
  <si>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</si>
  <si>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</si>
  <si>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</si>
  <si>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</si>
  <si>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</si>
  <si>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</si>
  <si>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</si>
  <si>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</si>
  <si>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</si>
  <si>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</si>
  <si>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</si>
  <si>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</si>
  <si>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</si>
  <si>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</si>
  <si>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</si>
  <si>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</si>
  <si>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</si>
  <si>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</si>
  <si>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</si>
  <si>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</si>
  <si>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</si>
  <si>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</si>
  <si>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</si>
  <si>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</si>
  <si>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</si>
  <si>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</si>
  <si>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</si>
  <si>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</si>
  <si>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</si>
  <si>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</si>
  <si>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</si>
  <si>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</si>
  <si>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</si>
  <si>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</si>
  <si>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</si>
  <si>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</si>
  <si>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</si>
  <si>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</si>
  <si>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</si>
  <si>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</si>
  <si>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</si>
  <si>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</si>
  <si>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</si>
  <si>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</si>
  <si>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</si>
  <si>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</si>
  <si>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</si>
  <si>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</si>
  <si>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</si>
  <si>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</si>
  <si>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</si>
  <si>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</si>
  <si>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</si>
  <si>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</si>
  <si>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</si>
  <si>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</si>
  <si>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</si>
  <si>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</si>
  <si>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</si>
  <si>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</si>
  <si>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</si>
  <si>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</si>
  <si>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</si>
  <si>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</si>
  <si>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</si>
  <si>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</si>
  <si>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</si>
  <si>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</si>
  <si>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</si>
  <si>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</si>
  <si>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</si>
  <si>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</si>
  <si>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</si>
  <si>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</si>
  <si>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</si>
  <si>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</si>
  <si>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</si>
  <si>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</si>
  <si>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</si>
  <si>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</si>
  <si>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</si>
  <si>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</si>
  <si>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</si>
  <si>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</si>
  <si>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</si>
  <si>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</si>
  <si>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</si>
  <si>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</si>
  <si>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</si>
  <si>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</si>
  <si>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</si>
  <si>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</si>
  <si>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</si>
  <si>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</si>
  <si>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</si>
  <si>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</si>
  <si>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</si>
  <si>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</si>
  <si>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</si>
  <si>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</si>
  <si>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</si>
  <si>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</si>
  <si>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</si>
  <si>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</si>
  <si>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</si>
  <si>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</si>
  <si>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</si>
  <si>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</si>
  <si>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</si>
  <si>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</si>
  <si>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</si>
  <si>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</si>
  <si>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</si>
  <si>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</si>
  <si>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</si>
  <si>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</si>
  <si>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</si>
  <si>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</si>
  <si>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</si>
  <si>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</si>
  <si>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</si>
  <si>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</si>
  <si>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</si>
  <si>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</si>
  <si>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</si>
  <si>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</si>
  <si>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</si>
  <si>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</si>
  <si>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</si>
  <si>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</si>
  <si>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</si>
  <si>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</si>
  <si>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</si>
  <si>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</si>
  <si>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</si>
  <si>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</si>
  <si>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</si>
  <si>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</si>
  <si>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</si>
  <si>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</si>
  <si>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</si>
  <si>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</si>
  <si>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</si>
  <si>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</si>
  <si>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</si>
  <si>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</si>
  <si>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</si>
  <si>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</si>
  <si>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</si>
  <si>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</si>
  <si>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</si>
  <si>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</si>
  <si>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</si>
  <si>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</si>
  <si>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</si>
  <si>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</si>
  <si>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</si>
  <si>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</si>
  <si>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</si>
  <si>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</si>
  <si>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</si>
  <si>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</si>
  <si>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</si>
  <si>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</si>
  <si>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</si>
  <si>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</si>
  <si>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</si>
  <si>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</si>
  <si>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</si>
  <si>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</si>
  <si>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</si>
  <si>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</si>
  <si>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</si>
  <si>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</si>
  <si>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</si>
  <si>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</si>
  <si>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</si>
  <si>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</si>
  <si>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</si>
  <si>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</si>
  <si>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</si>
  <si>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</si>
  <si>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</si>
  <si>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</si>
  <si>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</si>
  <si>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</si>
  <si>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</si>
  <si>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</si>
  <si>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</si>
  <si>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</si>
  <si>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</si>
  <si>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</si>
  <si>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</si>
  <si>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</si>
  <si>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</si>
  <si>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</si>
  <si>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</si>
  <si>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</si>
  <si>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</si>
  <si>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</si>
  <si>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</si>
  <si>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</si>
  <si>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</si>
  <si>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</si>
  <si>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</si>
  <si>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</si>
  <si>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</si>
  <si>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</si>
  <si>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</si>
  <si>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</si>
  <si>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</si>
  <si>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</si>
  <si>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</si>
  <si>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</si>
  <si>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</si>
  <si>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</si>
  <si>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</si>
  <si>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</si>
  <si>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</si>
  <si>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</si>
  <si>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</si>
  <si>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</si>
  <si>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</si>
  <si>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</si>
  <si>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</si>
  <si>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</si>
  <si>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</si>
  <si>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</si>
  <si>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</si>
  <si>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</si>
  <si>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</si>
  <si>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</si>
  <si>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</si>
  <si>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</si>
  <si>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</si>
  <si>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</si>
  <si>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</si>
  <si>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</si>
  <si>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</si>
  <si>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</si>
  <si>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</si>
  <si>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</si>
  <si>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</si>
  <si>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</si>
  <si>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</si>
  <si>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</si>
  <si>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</si>
  <si>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</si>
  <si>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</si>
  <si>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</si>
  <si>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</si>
  <si>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</si>
  <si>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</si>
  <si>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</si>
  <si>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</si>
  <si>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</si>
  <si>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</si>
  <si>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</si>
  <si>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</si>
  <si>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</si>
  <si>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</si>
  <si>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</si>
  <si>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</si>
  <si>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</si>
  <si>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</si>
  <si>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</si>
  <si>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</si>
  <si>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</si>
  <si>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</si>
  <si>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</si>
  <si>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</si>
  <si>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</si>
  <si>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</si>
  <si>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</si>
  <si>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</si>
  <si>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</si>
  <si>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</si>
  <si>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</si>
  <si>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</si>
  <si>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</si>
  <si>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</si>
  <si>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</si>
  <si>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</si>
  <si>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</si>
  <si>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</si>
  <si>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</si>
  <si>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</si>
  <si>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</si>
  <si>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</si>
  <si>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</si>
  <si>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</si>
  <si>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</si>
  <si>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</si>
  <si>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</si>
  <si>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</si>
  <si>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</si>
  <si>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</si>
  <si>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</si>
  <si>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</si>
  <si>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</si>
  <si>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</si>
  <si>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</si>
  <si>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</si>
  <si>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</si>
  <si>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</si>
  <si>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</si>
  <si>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</si>
  <si>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</si>
  <si>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</si>
  <si>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</si>
  <si>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</si>
  <si>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</si>
  <si>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</si>
  <si>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</si>
  <si>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</si>
  <si>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</si>
  <si>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</si>
  <si>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</si>
  <si>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</si>
  <si>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</si>
  <si>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</si>
  <si>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</si>
  <si>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</si>
  <si>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</si>
  <si>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</si>
  <si>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</si>
  <si>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</si>
  <si>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</si>
  <si>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</si>
  <si>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</si>
  <si>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</si>
  <si>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</si>
  <si>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</si>
  <si>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</si>
  <si>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</si>
  <si>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</si>
  <si>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</si>
  <si>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</si>
  <si>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</si>
  <si>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</si>
  <si>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</si>
  <si>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</si>
  <si>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</si>
  <si>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</si>
  <si>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</si>
  <si>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</si>
  <si>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</si>
  <si>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</si>
  <si>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</si>
  <si>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</si>
  <si>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</si>
  <si>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</si>
  <si>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</si>
  <si>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</si>
  <si>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</si>
  <si>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</si>
  <si>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</si>
  <si>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</si>
  <si>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</si>
  <si>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</si>
  <si>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</si>
  <si>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</si>
  <si>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</si>
  <si>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</si>
  <si>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</si>
  <si>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</si>
  <si>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</si>
  <si>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</si>
  <si>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</si>
  <si>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</si>
  <si>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</si>
  <si>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</si>
  <si>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</si>
  <si>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</si>
  <si>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</si>
  <si>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</si>
  <si>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</si>
  <si>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</si>
  <si>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</si>
  <si>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</si>
  <si>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</si>
  <si>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</si>
  <si>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</si>
  <si>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</si>
  <si>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</si>
  <si>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</si>
  <si>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</si>
  <si>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</si>
  <si>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</si>
  <si>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</si>
  <si>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</si>
  <si>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</si>
  <si>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</si>
  <si>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</si>
  <si>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</si>
  <si>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</si>
  <si>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</si>
  <si>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</si>
  <si>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</si>
  <si>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</si>
  <si>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</si>
  <si>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</si>
  <si>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</si>
  <si>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</si>
  <si>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</si>
  <si>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</si>
  <si>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</si>
  <si>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</si>
  <si>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</si>
  <si>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</si>
  <si>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</si>
  <si>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</si>
  <si>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</si>
  <si>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</si>
  <si>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</si>
  <si>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</si>
  <si>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</si>
  <si>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</si>
  <si>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</si>
  <si>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</si>
  <si>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</si>
  <si>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</si>
  <si>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</si>
  <si>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</si>
  <si>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</si>
  <si>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</si>
  <si>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</si>
  <si>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</si>
  <si>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</si>
  <si>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</si>
  <si>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</si>
  <si>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</si>
  <si>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</si>
  <si>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</si>
  <si>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</si>
  <si>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</si>
  <si>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</si>
  <si>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</si>
  <si>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</si>
  <si>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</si>
  <si>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</si>
  <si>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</si>
  <si>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</si>
  <si>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</si>
  <si>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</si>
  <si>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</si>
  <si>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</si>
  <si>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</si>
  <si>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</si>
  <si>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</si>
  <si>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</si>
  <si>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</si>
  <si>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</si>
  <si>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</si>
  <si>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</si>
  <si>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</si>
  <si>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</si>
  <si>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</si>
  <si>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</si>
  <si>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</si>
  <si>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</si>
  <si>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</si>
  <si>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</si>
  <si>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</si>
  <si>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</si>
  <si>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</si>
  <si>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</si>
  <si>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</si>
  <si>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</si>
  <si>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</si>
  <si>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</si>
  <si>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</si>
  <si>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</si>
  <si>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</si>
  <si>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</si>
  <si>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</si>
  <si>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</si>
  <si>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</si>
  <si>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</si>
  <si>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</si>
  <si>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</si>
  <si>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</si>
  <si>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</si>
  <si>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</si>
  <si>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</si>
  <si>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</si>
  <si>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</si>
  <si>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</si>
  <si>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</si>
  <si>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</si>
  <si>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</si>
  <si>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</si>
  <si>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</si>
  <si>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</si>
  <si>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</si>
  <si>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</si>
  <si>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</si>
  <si>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</si>
  <si>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</si>
  <si>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</si>
  <si>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</si>
  <si>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</si>
  <si>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</si>
  <si>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</si>
  <si>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</si>
  <si>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</si>
  <si>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</si>
  <si>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</si>
  <si>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</si>
  <si>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</si>
  <si>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</si>
  <si>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</si>
  <si>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</si>
  <si>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</si>
  <si>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</si>
  <si>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</si>
  <si>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</si>
  <si>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</si>
  <si>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</si>
  <si>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</si>
  <si>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</si>
  <si>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</si>
  <si>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</si>
  <si>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</si>
  <si>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</si>
  <si>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</si>
  <si>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</si>
  <si>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</si>
  <si>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</si>
  <si>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</si>
  <si>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</si>
  <si>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</si>
  <si>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</si>
  <si>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</si>
  <si>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</si>
  <si>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</si>
  <si>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</si>
  <si>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</si>
  <si>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</si>
  <si>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</si>
  <si>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</si>
  <si>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</si>
  <si>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</si>
  <si>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</si>
  <si>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</si>
  <si>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</si>
  <si>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</si>
  <si>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</si>
  <si>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</si>
  <si>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</si>
  <si>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</si>
  <si>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</si>
  <si>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</si>
  <si>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</si>
  <si>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</si>
  <si>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</si>
  <si>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</si>
  <si>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</si>
  <si>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</si>
  <si>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</si>
  <si>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</si>
  <si>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</si>
  <si>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</si>
  <si>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</si>
  <si>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</si>
  <si>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</si>
  <si>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</si>
  <si>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</si>
  <si>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</si>
  <si>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</si>
  <si>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</si>
  <si>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</si>
  <si>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</si>
  <si>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</si>
  <si>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</si>
  <si>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</si>
  <si>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</si>
  <si>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</si>
  <si>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</si>
  <si>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</si>
  <si>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</si>
  <si>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</si>
  <si>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</si>
  <si>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</si>
  <si>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</si>
  <si>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</si>
  <si>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</si>
  <si>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</si>
  <si>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</si>
  <si>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</si>
  <si>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</si>
  <si>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</si>
  <si>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</si>
  <si>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</si>
  <si>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</si>
  <si>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</si>
  <si>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</si>
  <si>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</si>
  <si>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</si>
  <si>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</si>
  <si>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</si>
  <si>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</si>
  <si>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</si>
  <si>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</si>
  <si>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</si>
  <si>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</si>
  <si>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</si>
  <si>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</si>
  <si>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</si>
  <si>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</si>
  <si>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</si>
  <si>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</si>
  <si>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</si>
  <si>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</si>
  <si>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</si>
  <si>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</si>
  <si>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</si>
  <si>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</si>
  <si>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</si>
  <si>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</si>
  <si>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</si>
  <si>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</si>
  <si>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</si>
  <si>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</si>
  <si>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</si>
  <si>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</si>
  <si>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</si>
  <si>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</si>
  <si>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</si>
  <si>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</si>
  <si>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</si>
  <si>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</si>
  <si>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</si>
  <si>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</si>
  <si>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</si>
  <si>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</si>
  <si>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</si>
  <si>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</si>
  <si>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</si>
  <si>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</si>
  <si>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</si>
  <si>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</si>
  <si>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</si>
  <si>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</si>
  <si>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</si>
  <si>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</si>
  <si>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</si>
  <si>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</si>
  <si>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</si>
  <si>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</si>
  <si>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</si>
  <si>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</si>
  <si>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</si>
  <si>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</si>
  <si>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</si>
  <si>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</si>
  <si>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</si>
  <si>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</si>
  <si>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</si>
  <si>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</si>
  <si>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</si>
  <si>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</si>
  <si>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</si>
  <si>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</si>
  <si>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</si>
  <si>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</si>
  <si>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</si>
  <si>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</si>
  <si>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</si>
  <si>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</si>
  <si>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</si>
  <si>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</si>
  <si>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</si>
  <si>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</si>
  <si>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</si>
  <si>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</si>
  <si>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</si>
  <si>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</si>
  <si>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</si>
  <si>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</si>
  <si>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</si>
  <si>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</si>
  <si>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</si>
  <si>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</si>
  <si>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</si>
  <si>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</si>
  <si>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</si>
  <si>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</si>
  <si>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</si>
  <si>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</si>
  <si>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</si>
  <si>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</si>
  <si>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</si>
  <si>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</si>
  <si>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</si>
  <si>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</si>
  <si>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</si>
  <si>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</si>
  <si>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</si>
  <si>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</si>
  <si>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</si>
  <si>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</si>
  <si>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</si>
  <si>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</si>
  <si>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</si>
  <si>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</si>
  <si>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</si>
  <si>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</si>
  <si>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</si>
  <si>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</si>
  <si>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</si>
  <si>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</si>
  <si>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</si>
  <si>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</si>
  <si>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</si>
  <si>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</si>
  <si>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</si>
  <si>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</si>
  <si>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</si>
  <si>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</si>
  <si>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</si>
  <si>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</si>
  <si>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</si>
  <si>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</si>
  <si>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</si>
  <si>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</si>
  <si>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</si>
  <si>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</si>
  <si>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</si>
  <si>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</si>
  <si>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</si>
  <si>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</si>
  <si>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</si>
  <si>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</si>
  <si>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</si>
  <si>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</si>
  <si>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</si>
  <si>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</si>
  <si>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</si>
  <si>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</si>
  <si>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</si>
  <si>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</si>
  <si>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</si>
  <si>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</si>
  <si>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</si>
  <si>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</si>
  <si>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</si>
  <si>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</si>
  <si>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</si>
  <si>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</si>
  <si>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</si>
  <si>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</si>
  <si>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</si>
  <si>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</si>
  <si>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</si>
  <si>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</si>
  <si>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</si>
  <si>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</si>
  <si>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</si>
  <si>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</si>
  <si>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</si>
  <si>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</si>
  <si>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</si>
  <si>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</si>
  <si>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</si>
  <si>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</si>
  <si>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</si>
  <si>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</si>
  <si>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</si>
  <si>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</si>
  <si>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</si>
  <si>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</si>
  <si>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</si>
  <si>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</si>
  <si>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</si>
  <si>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</si>
  <si>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</si>
  <si>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</si>
  <si>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</si>
  <si>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</si>
  <si>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</si>
  <si>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</si>
  <si>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</si>
  <si>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</si>
  <si>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</si>
  <si>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</si>
  <si>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</si>
  <si>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</si>
  <si>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</si>
  <si>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</si>
  <si>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</si>
  <si>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</si>
  <si>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</si>
  <si>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</si>
  <si>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</si>
  <si>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</si>
  <si>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</si>
  <si>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</si>
  <si>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</si>
  <si>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</si>
  <si>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</si>
  <si>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</si>
  <si>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</si>
  <si>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</si>
  <si>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</si>
  <si>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</si>
  <si>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</si>
  <si>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</si>
  <si>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</si>
  <si>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</si>
  <si>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</si>
  <si>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</si>
  <si>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</si>
  <si>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</si>
  <si>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</si>
  <si>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</si>
  <si>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</si>
  <si>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</si>
  <si>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</si>
  <si>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</si>
  <si>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</si>
  <si>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</si>
  <si>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</si>
  <si>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</si>
  <si>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</si>
  <si>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</si>
  <si>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</si>
  <si>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</si>
  <si>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</si>
  <si>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</si>
  <si>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</si>
  <si>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</si>
  <si>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</si>
  <si>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</si>
  <si>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</si>
  <si>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</si>
  <si>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</si>
  <si>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</si>
  <si>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</si>
  <si>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</si>
  <si>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</si>
  <si>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</si>
  <si>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</si>
  <si>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</si>
  <si>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</si>
  <si>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</si>
  <si>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</si>
  <si>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</si>
  <si>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</si>
  <si>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</si>
  <si>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</si>
  <si>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</si>
  <si>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</si>
  <si>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</si>
  <si>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</si>
  <si>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</si>
  <si>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</si>
  <si>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</si>
  <si>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</si>
  <si>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</si>
  <si>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</si>
  <si>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</si>
  <si>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</si>
  <si>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</si>
  <si>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</si>
  <si>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</si>
  <si>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</si>
  <si>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</si>
  <si>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</si>
  <si>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</si>
  <si>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</si>
  <si>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</si>
  <si>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</si>
  <si>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</si>
  <si>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</si>
  <si>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</si>
  <si>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</si>
  <si>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</si>
  <si>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</si>
  <si>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</si>
  <si>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</si>
  <si>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</si>
  <si>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</si>
  <si>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</si>
  <si>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</si>
  <si>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</si>
  <si>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</si>
  <si>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</si>
  <si>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</si>
  <si>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</si>
  <si>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</si>
  <si>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</si>
  <si>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</si>
  <si>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</si>
  <si>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</si>
  <si>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</si>
  <si>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</si>
  <si>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</si>
  <si>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</si>
  <si>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</si>
  <si>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</si>
  <si>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</si>
  <si>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</si>
  <si>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</si>
  <si>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</si>
  <si>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</si>
  <si>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</si>
  <si>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</si>
  <si>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</si>
  <si>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</si>
  <si>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</si>
  <si>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</si>
  <si>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</si>
  <si>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</si>
  <si>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</si>
  <si>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</si>
  <si>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</si>
  <si>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</si>
  <si>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</si>
  <si>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</si>
  <si>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</si>
  <si>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</si>
  <si>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</si>
  <si>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</si>
  <si>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</si>
  <si>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</si>
  <si>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</si>
  <si>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</si>
  <si>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</si>
  <si>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</si>
  <si>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</si>
  <si>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</si>
  <si>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</si>
  <si>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</si>
  <si>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</si>
  <si>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</si>
  <si>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</si>
  <si>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</si>
  <si>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</si>
  <si>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</si>
  <si>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</si>
  <si>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</si>
  <si>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</si>
  <si>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</si>
  <si>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</si>
  <si>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</si>
  <si>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</si>
  <si>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</si>
  <si>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</si>
  <si>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</si>
  <si>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</si>
  <si>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</si>
  <si>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</si>
  <si>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</si>
  <si>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</si>
  <si>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</si>
  <si>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</si>
  <si>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</si>
  <si>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</si>
  <si>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</si>
  <si>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</si>
  <si>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</si>
  <si>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</si>
  <si>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</si>
  <si>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</si>
  <si>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</si>
  <si>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</si>
  <si>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</si>
  <si>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</si>
  <si>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</si>
  <si>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</si>
  <si>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</si>
  <si>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</si>
  <si>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</si>
  <si>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</si>
  <si>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</si>
  <si>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</si>
  <si>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</si>
  <si>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</si>
  <si>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</si>
  <si>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</si>
  <si>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</si>
  <si>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</si>
  <si>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</si>
  <si>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</si>
  <si>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</si>
  <si>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</si>
  <si>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</si>
  <si>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</si>
  <si>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</si>
  <si>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</si>
  <si>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</si>
  <si>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</si>
  <si>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</si>
  <si>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</si>
  <si>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</si>
  <si>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</si>
  <si>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</si>
  <si>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</si>
  <si>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</si>
  <si>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</si>
  <si>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</si>
  <si>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</si>
  <si>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</si>
  <si>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</si>
  <si>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</si>
  <si>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</si>
  <si>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</si>
  <si>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</si>
  <si>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</si>
  <si>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</si>
  <si>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</si>
  <si>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</si>
  <si>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</si>
  <si>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</si>
  <si>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</si>
  <si>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</si>
  <si>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</si>
  <si>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</si>
  <si>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</si>
  <si>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</si>
  <si>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</si>
  <si>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</si>
  <si>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</si>
  <si>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</si>
  <si>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</si>
  <si>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</si>
  <si>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</si>
  <si>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</si>
  <si>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</si>
  <si>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</si>
  <si>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</si>
  <si>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</si>
  <si>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</si>
  <si>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</si>
  <si>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</si>
  <si>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</si>
  <si>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</si>
  <si>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</si>
  <si>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</si>
  <si>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</si>
  <si>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</si>
  <si>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</si>
  <si>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</si>
  <si>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</si>
  <si>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</si>
  <si>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</si>
  <si>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</si>
  <si>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</si>
  <si>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</si>
  <si>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</si>
  <si>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</si>
  <si>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</si>
  <si>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</si>
  <si>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</si>
  <si>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</si>
  <si>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</si>
  <si>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</si>
  <si>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</si>
  <si>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</si>
  <si>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</si>
  <si>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</si>
  <si>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</si>
  <si>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</si>
  <si>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</si>
  <si>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</si>
  <si>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</si>
  <si>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</si>
  <si>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</si>
  <si>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</si>
  <si>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</si>
  <si>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</si>
  <si>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</si>
  <si>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</si>
  <si>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</si>
  <si>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</si>
  <si>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</si>
  <si>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</si>
  <si>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</si>
  <si>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</si>
  <si>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</si>
  <si>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</si>
  <si>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</si>
  <si>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</si>
  <si>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</si>
  <si>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</si>
  <si>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</si>
  <si>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</si>
  <si>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</si>
  <si>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</si>
  <si>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</si>
  <si>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</si>
  <si>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</si>
  <si>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</si>
  <si>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</si>
  <si>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</si>
  <si>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</si>
  <si>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</si>
  <si>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</si>
  <si>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</si>
  <si>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</si>
  <si>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</si>
  <si>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</si>
  <si>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</si>
  <si>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</si>
  <si>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</si>
  <si>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</si>
  <si>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</si>
  <si>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</si>
  <si>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</si>
  <si>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</si>
  <si>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</si>
  <si>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</si>
  <si>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</si>
  <si>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</si>
  <si>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</si>
  <si>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</si>
  <si>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</si>
  <si>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</si>
  <si>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</si>
  <si>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</si>
  <si>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</si>
  <si>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</si>
  <si>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</si>
  <si>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</si>
  <si>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</si>
  <si>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</si>
  <si>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</si>
  <si>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</si>
  <si>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</si>
  <si>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</si>
  <si>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</si>
  <si>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</si>
  <si>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</si>
  <si>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</si>
  <si>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</si>
  <si>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</si>
  <si>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</si>
  <si>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</si>
  <si>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</si>
  <si>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</si>
  <si>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</si>
  <si>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</si>
  <si>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</si>
  <si>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</si>
  <si>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</si>
  <si>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</si>
  <si>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</si>
  <si>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</si>
  <si>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</si>
  <si>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</si>
  <si>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</si>
  <si>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</si>
  <si>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</si>
  <si>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</si>
  <si>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</si>
  <si>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</si>
  <si>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</si>
  <si>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</si>
  <si>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</si>
  <si>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</si>
  <si>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</si>
  <si>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</si>
  <si>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</si>
  <si>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</si>
  <si>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</si>
  <si>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</si>
  <si>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</si>
  <si>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</si>
  <si>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</si>
  <si>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</si>
  <si>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</si>
  <si>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</si>
  <si>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</si>
  <si>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</si>
  <si>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</si>
  <si>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</si>
  <si>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</si>
  <si>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</si>
  <si>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</si>
  <si>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</si>
  <si>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</si>
  <si>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</si>
  <si>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</si>
  <si>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</si>
  <si>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</si>
  <si>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</si>
  <si>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</si>
  <si>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</si>
  <si>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</si>
  <si>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</si>
  <si>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</si>
  <si>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</si>
  <si>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</si>
  <si>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</si>
  <si>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</si>
  <si>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</si>
  <si>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</si>
  <si>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</si>
  <si>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</si>
  <si>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</si>
  <si>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</si>
  <si>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</si>
  <si>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</si>
  <si>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</si>
  <si>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</si>
  <si>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</si>
  <si>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</si>
  <si>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</si>
  <si>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</si>
  <si>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</si>
  <si>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</si>
  <si>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</si>
  <si>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</si>
  <si>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</si>
  <si>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</si>
  <si>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</si>
  <si>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</si>
  <si>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</si>
  <si>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</si>
  <si>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</si>
  <si>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</si>
  <si>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</si>
  <si>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</si>
  <si>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</si>
  <si>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</si>
  <si>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</si>
  <si>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</si>
  <si>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</si>
  <si>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</si>
  <si>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</si>
  <si>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</si>
  <si>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</si>
  <si>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</si>
  <si>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</si>
  <si>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</si>
  <si>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</si>
  <si>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</si>
  <si>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</si>
  <si>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</si>
  <si>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</si>
  <si>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</si>
  <si>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</si>
  <si>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</si>
  <si>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</si>
  <si>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</si>
  <si>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</si>
  <si>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</si>
  <si>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</si>
  <si>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</si>
  <si>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</si>
  <si>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</si>
  <si>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</si>
  <si>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</si>
  <si>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</si>
  <si>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</si>
  <si>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</si>
  <si>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</si>
  <si>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</si>
  <si>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</si>
  <si>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</si>
  <si>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</si>
  <si>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</si>
  <si>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</si>
  <si>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</si>
  <si>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</si>
  <si>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</si>
  <si>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</si>
  <si>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</si>
  <si>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</si>
  <si>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</si>
  <si>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</si>
  <si>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</si>
  <si>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</si>
  <si>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</si>
  <si>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</si>
  <si>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RTL8367RB-VB-CG</t>
  </si>
  <si>
    <t>Управляемый коммутатор второго уровня на 5+2 порта 10/100/1000M</t>
  </si>
  <si>
    <t>LQFP128_14x14_exposed_pad</t>
  </si>
  <si>
    <t>RTL8367RB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</si>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</sst>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3" tableType="xml" totalsRowShown="0" headerRowDxfId="3" connectionId="7">
  <autoFilter ref="A1:K53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opLeftCell="C22" zoomScale="85" zoomScaleNormal="85" workbookViewId="0">
      <selection activeCell="C50" sqref="A50:XFD50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">
      <c r="A38" t="s">
        <v>1212</v>
      </c>
      <c r="B38" t="s">
        <v>1213</v>
      </c>
      <c r="C38" s="2" t="str">
        <f t="shared" ref="C38" si="15">A38</f>
        <v>USB2514BM2</v>
      </c>
      <c r="D38" t="s">
        <v>1310</v>
      </c>
      <c r="E38" s="2" t="s">
        <v>1212</v>
      </c>
      <c r="F38" t="str">
        <f>CONCATENATE("Footprints\",G38,".PcbLib")</f>
        <v>Footprints\VFQFN-36.PcbLib</v>
      </c>
      <c r="G38" t="s">
        <v>1214</v>
      </c>
    </row>
    <row r="39" spans="1:12" x14ac:dyDescent="0.3">
      <c r="A39" t="s">
        <v>1215</v>
      </c>
      <c r="B39" t="s">
        <v>1216</v>
      </c>
      <c r="C39" s="2" t="s">
        <v>1215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1217</v>
      </c>
    </row>
    <row r="40" spans="1:12" x14ac:dyDescent="0.3">
      <c r="A40" t="s">
        <v>1218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1219</v>
      </c>
    </row>
    <row r="41" spans="1:12" x14ac:dyDescent="0.3">
      <c r="A41" t="s">
        <v>1220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1219</v>
      </c>
    </row>
    <row r="42" spans="1:12" x14ac:dyDescent="0.3">
      <c r="A42" t="s">
        <v>1221</v>
      </c>
      <c r="B42" t="s">
        <v>1222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1223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1265</v>
      </c>
      <c r="B43" t="s">
        <v>1266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1311</v>
      </c>
    </row>
    <row r="44" spans="1:12" x14ac:dyDescent="0.3">
      <c r="A44" s="35" t="s">
        <v>1312</v>
      </c>
      <c r="B44" s="36" t="s">
        <v>1313</v>
      </c>
      <c r="C44" s="29" t="str">
        <f t="shared" ref="C44:C49" si="18"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 t="shared" si="17"/>
        <v>Footprints\SOIC-8.PcbLib</v>
      </c>
      <c r="G44" s="36" t="s">
        <v>78</v>
      </c>
    </row>
    <row r="45" spans="1:12" x14ac:dyDescent="0.3">
      <c r="A45" t="s">
        <v>1314</v>
      </c>
      <c r="B45" t="s">
        <v>1315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7" t="s">
        <v>1316</v>
      </c>
      <c r="B46" s="38" t="s">
        <v>1317</v>
      </c>
      <c r="C46" s="39" t="str">
        <f t="shared" si="18"/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 t="shared" si="17"/>
        <v>Footprints\SOIC-8.PcbLib</v>
      </c>
      <c r="G46" s="38" t="s">
        <v>78</v>
      </c>
    </row>
    <row r="47" spans="1:12" x14ac:dyDescent="0.3">
      <c r="A47" t="s">
        <v>1357</v>
      </c>
      <c r="B47" t="s">
        <v>1358</v>
      </c>
      <c r="C47" s="2" t="str">
        <f t="shared" si="18"/>
        <v>RTL8367RB-VB-CG</v>
      </c>
      <c r="D47" t="str">
        <f>CONCATENATE("Schematic\",E47,".SchLib")</f>
        <v>Schematic\RTL8367RB.SchLib</v>
      </c>
      <c r="E47" t="s">
        <v>1360</v>
      </c>
      <c r="F47" t="str">
        <f t="shared" si="17"/>
        <v>Footprints\LQFP128_14x14_exposed_pad.PcbLib</v>
      </c>
      <c r="G47" t="s">
        <v>1359</v>
      </c>
      <c r="L47" t="s">
        <v>1361</v>
      </c>
    </row>
    <row r="48" spans="1:12" x14ac:dyDescent="0.3">
      <c r="A48" s="37" t="s">
        <v>1362</v>
      </c>
      <c r="B48" s="38" t="s">
        <v>1363</v>
      </c>
      <c r="C48" s="39" t="str">
        <f t="shared" si="18"/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 t="shared" si="17"/>
        <v>Footprints\SOt23-5.PcbLib</v>
      </c>
      <c r="G48" s="38" t="s">
        <v>1364</v>
      </c>
    </row>
    <row r="49" spans="1:7" x14ac:dyDescent="0.3">
      <c r="A49" t="s">
        <v>1365</v>
      </c>
      <c r="B49" t="s">
        <v>1366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1367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18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1318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1319</v>
      </c>
      <c r="B10" t="s">
        <v>1320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1348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6" x14ac:dyDescent="0.3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6" x14ac:dyDescent="0.3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6" x14ac:dyDescent="0.3">
      <c r="A11" s="1" t="s">
        <v>1270</v>
      </c>
      <c r="B11" s="1" t="s">
        <v>1271</v>
      </c>
      <c r="C11" s="2" t="str">
        <f t="shared" si="2"/>
        <v>SIR426DP-T1-GE3</v>
      </c>
      <c r="D11" s="3" t="s">
        <v>1272</v>
      </c>
      <c r="E11" s="1" t="s">
        <v>1270</v>
      </c>
      <c r="F11" t="str">
        <f>CONCATENATE("Footprints\",G11,".PcbLib")</f>
        <v>Footprints\PowerPAK_SO-8.PcbLib</v>
      </c>
      <c r="G11" s="1" t="s">
        <v>1308</v>
      </c>
      <c r="J11" t="s">
        <v>1273</v>
      </c>
    </row>
    <row r="12" spans="1:19" ht="15.6" x14ac:dyDescent="0.3">
      <c r="A12" s="34" t="s">
        <v>1302</v>
      </c>
      <c r="B12" s="1" t="s">
        <v>1303</v>
      </c>
      <c r="C12" s="2" t="str">
        <f t="shared" si="2"/>
        <v>PDTC114ET</v>
      </c>
      <c r="D12" s="3" t="s">
        <v>1304</v>
      </c>
      <c r="E12" s="1" t="s">
        <v>1302</v>
      </c>
      <c r="F12" t="str">
        <f>CONCATENATE("Footprints\",G12,".PcbLib")</f>
        <v>Footprints\SOT23-3.PcbLib</v>
      </c>
      <c r="G12" s="3" t="s">
        <v>18</v>
      </c>
      <c r="J12" t="s">
        <v>1306</v>
      </c>
      <c r="K12" t="s">
        <v>1305</v>
      </c>
    </row>
    <row r="13" spans="1:19" ht="15.6" x14ac:dyDescent="0.3">
      <c r="A13" s="1" t="s">
        <v>1321</v>
      </c>
      <c r="B13" s="1" t="s">
        <v>5</v>
      </c>
      <c r="C13" s="2" t="str">
        <f t="shared" si="2"/>
        <v>IRFH7084</v>
      </c>
      <c r="D13" s="1" t="s">
        <v>1322</v>
      </c>
      <c r="E13" s="1" t="s">
        <v>1323</v>
      </c>
      <c r="F13" t="str">
        <f>CONCATENATE("Footprints\",G13,".PcbLib")</f>
        <v>Footprints\PQFN_5x6.PcbLib</v>
      </c>
      <c r="G13" s="1" t="s">
        <v>1324</v>
      </c>
      <c r="J13" t="s">
        <v>1273</v>
      </c>
      <c r="K13" t="s">
        <v>1325</v>
      </c>
    </row>
    <row r="14" spans="1:19" ht="15.6" x14ac:dyDescent="0.3">
      <c r="A14" s="1" t="s">
        <v>1353</v>
      </c>
      <c r="B14" s="1" t="s">
        <v>1355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1354</v>
      </c>
    </row>
    <row r="15" spans="1:19" ht="15.6" x14ac:dyDescent="0.3">
      <c r="A15" s="1" t="s">
        <v>1356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1273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6" x14ac:dyDescent="0.3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6" x14ac:dyDescent="0.3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1201</v>
      </c>
      <c r="K58" s="1" t="s">
        <v>1209</v>
      </c>
      <c r="L58" s="1"/>
      <c r="M58" s="1"/>
      <c r="N58" s="24"/>
    </row>
    <row r="59" spans="1:14" ht="15.6" x14ac:dyDescent="0.3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1201</v>
      </c>
      <c r="K60" s="1" t="s">
        <v>1210</v>
      </c>
      <c r="L60" s="1"/>
      <c r="M60" s="1"/>
      <c r="N60" s="24"/>
    </row>
    <row r="61" spans="1:14" ht="15.6" x14ac:dyDescent="0.3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1201</v>
      </c>
      <c r="K66" s="1" t="s">
        <v>1211</v>
      </c>
      <c r="L66" s="1"/>
      <c r="M66" s="1"/>
      <c r="N66" s="24"/>
    </row>
    <row r="67" spans="1:14" ht="15.6" x14ac:dyDescent="0.3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6" x14ac:dyDescent="0.3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1201</v>
      </c>
      <c r="K74" s="1" t="s">
        <v>1202</v>
      </c>
      <c r="L74" s="1"/>
      <c r="M74" s="1"/>
      <c r="N74" s="24"/>
    </row>
    <row r="75" spans="1:14" ht="15.6" x14ac:dyDescent="0.3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1282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1284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6" x14ac:dyDescent="0.3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1201</v>
      </c>
      <c r="K82" s="1" t="s">
        <v>1203</v>
      </c>
      <c r="L82" s="1"/>
      <c r="M82" s="1"/>
      <c r="N82" s="24"/>
    </row>
    <row r="83" spans="1:14" ht="15.6" x14ac:dyDescent="0.3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6" x14ac:dyDescent="0.3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6" x14ac:dyDescent="0.3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1201</v>
      </c>
      <c r="K91" s="1" t="s">
        <v>1204</v>
      </c>
      <c r="L91" s="1"/>
      <c r="M91" s="1"/>
      <c r="N91" s="25"/>
    </row>
    <row r="92" spans="1:14" ht="15.6" x14ac:dyDescent="0.3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1201</v>
      </c>
      <c r="M99" s="1" t="s">
        <v>1205</v>
      </c>
      <c r="N99" s="25"/>
    </row>
    <row r="100" spans="1:14" ht="15" customHeight="1" x14ac:dyDescent="0.3">
      <c r="A100" s="3" t="s">
        <v>1279</v>
      </c>
      <c r="B100" s="3" t="s">
        <v>1280</v>
      </c>
      <c r="C100" s="3" t="s">
        <v>26</v>
      </c>
      <c r="D100" s="3" t="s">
        <v>29</v>
      </c>
      <c r="E100" s="3" t="s">
        <v>26</v>
      </c>
      <c r="F100" s="3" t="s">
        <v>1281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1285</v>
      </c>
      <c r="B103" s="3" t="s">
        <v>1286</v>
      </c>
      <c r="C103" s="3" t="s">
        <v>26</v>
      </c>
      <c r="D103" s="3" t="s">
        <v>29</v>
      </c>
      <c r="E103" s="3" t="s">
        <v>26</v>
      </c>
      <c r="F103" s="3" t="s">
        <v>1287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1201</v>
      </c>
      <c r="K108" s="1" t="s">
        <v>1206</v>
      </c>
      <c r="L108" s="1"/>
      <c r="M108" s="1"/>
      <c r="N108" s="24"/>
    </row>
    <row r="109" spans="1:14" ht="15.6" x14ac:dyDescent="0.3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1201</v>
      </c>
      <c r="K109" s="1" t="s">
        <v>1207</v>
      </c>
      <c r="L109" s="1"/>
      <c r="M109" s="1"/>
      <c r="N109" s="25"/>
    </row>
    <row r="110" spans="1:14" ht="15.6" x14ac:dyDescent="0.3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1201</v>
      </c>
      <c r="K126" s="1" t="s">
        <v>1208</v>
      </c>
      <c r="L126" s="1"/>
      <c r="M126" s="1"/>
      <c r="N126" s="24"/>
    </row>
    <row r="127" spans="1:14" ht="15.6" x14ac:dyDescent="0.3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6" x14ac:dyDescent="0.3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6" x14ac:dyDescent="0.3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6" x14ac:dyDescent="0.3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6" x14ac:dyDescent="0.3">
      <c r="A179" s="1" t="s">
        <v>1267</v>
      </c>
      <c r="B179" s="1" t="s">
        <v>1268</v>
      </c>
      <c r="C179" s="1" t="s">
        <v>26</v>
      </c>
      <c r="D179" s="3" t="s">
        <v>29</v>
      </c>
      <c r="E179" s="3" t="s">
        <v>26</v>
      </c>
      <c r="F179" s="3" t="s">
        <v>1269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6" x14ac:dyDescent="0.3">
      <c r="A180" s="3" t="s">
        <v>1297</v>
      </c>
      <c r="B180" s="3" t="s">
        <v>1298</v>
      </c>
      <c r="C180" s="3" t="s">
        <v>26</v>
      </c>
      <c r="D180" s="3" t="s">
        <v>29</v>
      </c>
      <c r="E180" s="3" t="s">
        <v>26</v>
      </c>
      <c r="F180" s="3" t="s">
        <v>1299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6" x14ac:dyDescent="0.3">
      <c r="A181" s="1" t="s">
        <v>1326</v>
      </c>
      <c r="B181" s="1" t="s">
        <v>1327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">
      <c r="A3" s="2" t="s">
        <v>1274</v>
      </c>
      <c r="B3" s="2" t="s">
        <v>1275</v>
      </c>
      <c r="C3" s="2" t="s">
        <v>1274</v>
      </c>
      <c r="D3" s="2" t="s">
        <v>1098</v>
      </c>
      <c r="E3" s="2" t="s">
        <v>1097</v>
      </c>
      <c r="F3" s="2" t="s">
        <v>1276</v>
      </c>
      <c r="G3" s="2" t="s">
        <v>130</v>
      </c>
      <c r="H3" s="2" t="s">
        <v>413</v>
      </c>
      <c r="I3" s="2" t="s">
        <v>1307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D25" sqref="D25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2" zoomScale="70" zoomScaleNormal="70" workbookViewId="0">
      <selection activeCell="P12" sqref="P12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">
      <c r="A2" s="28" t="s">
        <v>1291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1292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1293</v>
      </c>
      <c r="N2" s="31"/>
    </row>
    <row r="3" spans="1:14" x14ac:dyDescent="0.3">
      <c r="A3" s="2" t="s">
        <v>1371</v>
      </c>
      <c r="B3" s="29" t="s">
        <v>28</v>
      </c>
      <c r="C3" s="29" t="s">
        <v>30</v>
      </c>
      <c r="D3" s="29" t="s">
        <v>27</v>
      </c>
      <c r="E3" s="29" t="s">
        <v>30</v>
      </c>
      <c r="F3" s="29" t="s">
        <v>27</v>
      </c>
      <c r="G3" s="29" t="s">
        <v>1372</v>
      </c>
      <c r="H3" s="30">
        <v>0.1</v>
      </c>
      <c r="I3" s="29">
        <v>50</v>
      </c>
      <c r="J3" s="29" t="s">
        <v>772</v>
      </c>
      <c r="K3" s="29" t="s">
        <v>773</v>
      </c>
      <c r="L3" s="29" t="s">
        <v>37</v>
      </c>
      <c r="M3" s="29" t="s">
        <v>1373</v>
      </c>
      <c r="N3" s="2"/>
    </row>
    <row r="4" spans="1:14" x14ac:dyDescent="0.3">
      <c r="A4" s="19" t="s">
        <v>1294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1295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1296</v>
      </c>
      <c r="N4" s="27"/>
    </row>
    <row r="5" spans="1:14" x14ac:dyDescent="0.3">
      <c r="A5" s="19" t="s">
        <v>1288</v>
      </c>
      <c r="B5" s="20" t="s">
        <v>28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1289</v>
      </c>
      <c r="H5" s="26">
        <v>0.1</v>
      </c>
      <c r="I5" s="20">
        <v>50</v>
      </c>
      <c r="J5" s="20" t="s">
        <v>772</v>
      </c>
      <c r="K5" s="20" t="s">
        <v>773</v>
      </c>
      <c r="L5" s="20" t="s">
        <v>37</v>
      </c>
      <c r="M5" s="20" t="s">
        <v>1290</v>
      </c>
      <c r="N5" s="27"/>
    </row>
    <row r="6" spans="1:14" x14ac:dyDescent="0.3">
      <c r="A6" s="2" t="s">
        <v>1079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736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</v>
      </c>
      <c r="N6" s="2"/>
    </row>
    <row r="7" spans="1:14" x14ac:dyDescent="0.3">
      <c r="A7" s="2" t="s">
        <v>700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737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1.2</v>
      </c>
      <c r="N7" s="2"/>
    </row>
    <row r="8" spans="1:14" x14ac:dyDescent="0.3">
      <c r="A8" s="2" t="s">
        <v>701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738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1.5</v>
      </c>
      <c r="N8" s="2"/>
    </row>
    <row r="9" spans="1:14" x14ac:dyDescent="0.3">
      <c r="A9" s="2" t="s">
        <v>702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739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1.8</v>
      </c>
      <c r="N9" s="2"/>
    </row>
    <row r="10" spans="1:14" x14ac:dyDescent="0.3">
      <c r="A10" s="2" t="s">
        <v>703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740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2.2000000000000002</v>
      </c>
      <c r="N10" s="2"/>
    </row>
    <row r="11" spans="1:14" x14ac:dyDescent="0.3">
      <c r="A11" s="2" t="s">
        <v>704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741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2.7</v>
      </c>
      <c r="N11" s="2"/>
    </row>
    <row r="12" spans="1:14" x14ac:dyDescent="0.3">
      <c r="A12" s="2" t="s">
        <v>705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742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3.3</v>
      </c>
      <c r="N12" s="2"/>
    </row>
    <row r="13" spans="1:14" x14ac:dyDescent="0.3">
      <c r="A13" s="2" t="s">
        <v>706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743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3.9</v>
      </c>
      <c r="N13" s="2"/>
    </row>
    <row r="14" spans="1:14" x14ac:dyDescent="0.3">
      <c r="A14" s="2" t="s">
        <v>707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744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4.7</v>
      </c>
      <c r="N14" s="2"/>
    </row>
    <row r="15" spans="1:14" x14ac:dyDescent="0.3">
      <c r="A15" s="2" t="s">
        <v>708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745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5.6</v>
      </c>
      <c r="N15" s="2"/>
    </row>
    <row r="16" spans="1:14" x14ac:dyDescent="0.3">
      <c r="A16" s="2" t="s">
        <v>709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746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6.8</v>
      </c>
      <c r="N16" s="2"/>
    </row>
    <row r="17" spans="1:14" x14ac:dyDescent="0.3">
      <c r="A17" s="2" t="s">
        <v>710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747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8.1999999999999993</v>
      </c>
      <c r="N17" s="2"/>
    </row>
    <row r="18" spans="1:14" x14ac:dyDescent="0.3">
      <c r="A18" s="2" t="s">
        <v>711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748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10</v>
      </c>
      <c r="N18" s="2"/>
    </row>
    <row r="19" spans="1:14" x14ac:dyDescent="0.3">
      <c r="A19" s="2" t="s">
        <v>712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749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12</v>
      </c>
      <c r="N19" s="2"/>
    </row>
    <row r="20" spans="1:14" x14ac:dyDescent="0.3">
      <c r="A20" s="2" t="s">
        <v>713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750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15</v>
      </c>
      <c r="N20" s="2"/>
    </row>
    <row r="21" spans="1:14" x14ac:dyDescent="0.3">
      <c r="A21" s="2" t="s">
        <v>714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751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18</v>
      </c>
      <c r="N21" s="2"/>
    </row>
    <row r="22" spans="1:14" x14ac:dyDescent="0.3">
      <c r="A22" s="2" t="s">
        <v>715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752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22</v>
      </c>
      <c r="N22" s="2"/>
    </row>
    <row r="23" spans="1:14" x14ac:dyDescent="0.3">
      <c r="A23" s="2" t="s">
        <v>716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753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27</v>
      </c>
      <c r="N23" s="2"/>
    </row>
    <row r="24" spans="1:14" x14ac:dyDescent="0.3">
      <c r="A24" s="2" t="s">
        <v>717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754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33</v>
      </c>
      <c r="N24" s="2"/>
    </row>
    <row r="25" spans="1:14" x14ac:dyDescent="0.3">
      <c r="A25" s="2" t="s">
        <v>718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755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39</v>
      </c>
      <c r="N25" s="2"/>
    </row>
    <row r="26" spans="1:14" x14ac:dyDescent="0.3">
      <c r="A26" s="2" t="s">
        <v>719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756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47</v>
      </c>
      <c r="N26" s="2"/>
    </row>
    <row r="27" spans="1:14" x14ac:dyDescent="0.3">
      <c r="A27" s="2" t="s">
        <v>720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757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56</v>
      </c>
      <c r="N27" s="2"/>
    </row>
    <row r="28" spans="1:14" x14ac:dyDescent="0.3">
      <c r="A28" s="2" t="s">
        <v>721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758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68</v>
      </c>
      <c r="N28" s="2"/>
    </row>
    <row r="29" spans="1:14" x14ac:dyDescent="0.3">
      <c r="A29" s="2" t="s">
        <v>722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759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82</v>
      </c>
      <c r="N29" s="2"/>
    </row>
    <row r="30" spans="1:14" x14ac:dyDescent="0.3">
      <c r="A30" s="2" t="s">
        <v>723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100</v>
      </c>
      <c r="N30" s="2"/>
    </row>
    <row r="31" spans="1:14" x14ac:dyDescent="0.3">
      <c r="A31" s="2" t="s">
        <v>724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760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120</v>
      </c>
      <c r="N31" s="2"/>
    </row>
    <row r="32" spans="1:14" x14ac:dyDescent="0.3">
      <c r="A32" s="2" t="s">
        <v>725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761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150</v>
      </c>
      <c r="N32" s="2"/>
    </row>
    <row r="33" spans="1:14" x14ac:dyDescent="0.3">
      <c r="A33" s="2" t="s">
        <v>726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762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180</v>
      </c>
      <c r="N33" s="2"/>
    </row>
    <row r="34" spans="1:14" x14ac:dyDescent="0.3">
      <c r="A34" s="2" t="s">
        <v>727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763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220</v>
      </c>
      <c r="N34" s="2"/>
    </row>
    <row r="35" spans="1:14" x14ac:dyDescent="0.3">
      <c r="A35" s="2" t="s">
        <v>728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764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270</v>
      </c>
      <c r="N35" s="2"/>
    </row>
    <row r="36" spans="1:14" x14ac:dyDescent="0.3">
      <c r="A36" s="2" t="s">
        <v>729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765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330</v>
      </c>
      <c r="N36" s="2"/>
    </row>
    <row r="37" spans="1:14" x14ac:dyDescent="0.3">
      <c r="A37" s="2" t="s">
        <v>730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766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390</v>
      </c>
      <c r="N37" s="2"/>
    </row>
    <row r="38" spans="1:14" x14ac:dyDescent="0.3">
      <c r="A38" s="2" t="s">
        <v>731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767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470</v>
      </c>
      <c r="N38" s="2"/>
    </row>
    <row r="39" spans="1:14" x14ac:dyDescent="0.3">
      <c r="A39" s="2" t="s">
        <v>732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768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560</v>
      </c>
      <c r="N39" s="2"/>
    </row>
    <row r="40" spans="1:14" x14ac:dyDescent="0.3">
      <c r="A40" s="2" t="s">
        <v>733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769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680</v>
      </c>
      <c r="N40" s="2"/>
    </row>
    <row r="41" spans="1:14" x14ac:dyDescent="0.3">
      <c r="A41" s="2" t="s">
        <v>734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770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820</v>
      </c>
      <c r="N41" s="2"/>
    </row>
    <row r="42" spans="1:14" x14ac:dyDescent="0.3">
      <c r="A42" s="2" t="s">
        <v>735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771</v>
      </c>
      <c r="H42" s="11">
        <v>0.1</v>
      </c>
      <c r="I42" s="2">
        <v>50</v>
      </c>
      <c r="J42" s="2" t="s">
        <v>772</v>
      </c>
      <c r="K42" s="2" t="s">
        <v>773</v>
      </c>
      <c r="L42" s="2" t="s">
        <v>37</v>
      </c>
      <c r="M42" s="2">
        <v>1000</v>
      </c>
      <c r="N42" s="2"/>
    </row>
    <row r="43" spans="1:14" x14ac:dyDescent="0.3">
      <c r="A43" s="2" t="s">
        <v>1300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803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 t="s">
        <v>1301</v>
      </c>
      <c r="N43" s="2"/>
    </row>
    <row r="44" spans="1:14" x14ac:dyDescent="0.3">
      <c r="A44" s="2" t="s">
        <v>882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11">
        <v>0.1</v>
      </c>
      <c r="I44" s="2">
        <v>50</v>
      </c>
      <c r="J44" s="2" t="s">
        <v>772</v>
      </c>
      <c r="K44" s="2" t="s">
        <v>855</v>
      </c>
      <c r="L44" s="2" t="s">
        <v>856</v>
      </c>
      <c r="M44" s="2">
        <v>4700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806</v>
      </c>
      <c r="H45" s="11">
        <v>0.1</v>
      </c>
      <c r="I45" s="2">
        <v>35</v>
      </c>
      <c r="J45" s="2" t="s">
        <v>772</v>
      </c>
      <c r="K45" s="2" t="s">
        <v>857</v>
      </c>
      <c r="L45" s="2" t="s">
        <v>858</v>
      </c>
      <c r="M45" s="2">
        <v>10000</v>
      </c>
      <c r="N45" s="2"/>
    </row>
    <row r="46" spans="1:14" x14ac:dyDescent="0.3">
      <c r="A46" s="2" t="s">
        <v>883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808</v>
      </c>
      <c r="H46" s="11">
        <v>0.1</v>
      </c>
      <c r="I46" s="2">
        <v>25</v>
      </c>
      <c r="J46" s="2" t="s">
        <v>772</v>
      </c>
      <c r="K46" s="2" t="s">
        <v>857</v>
      </c>
      <c r="L46" s="2" t="s">
        <v>858</v>
      </c>
      <c r="M46" s="2">
        <v>22000</v>
      </c>
      <c r="N46" s="2"/>
    </row>
    <row r="47" spans="1:14" x14ac:dyDescent="0.3">
      <c r="A47" s="2" t="s">
        <v>1129</v>
      </c>
      <c r="B47" s="2" t="s">
        <v>28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11">
        <v>0.1</v>
      </c>
      <c r="I47" s="2">
        <v>1000</v>
      </c>
      <c r="J47" s="2" t="s">
        <v>772</v>
      </c>
      <c r="K47" s="2" t="s">
        <v>1127</v>
      </c>
      <c r="L47" s="2" t="s">
        <v>1128</v>
      </c>
      <c r="M47" s="2">
        <v>100</v>
      </c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">
      <c r="A26" t="s">
        <v>1328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1329</v>
      </c>
      <c r="K26" t="s">
        <v>1330</v>
      </c>
      <c r="L26">
        <v>330</v>
      </c>
    </row>
    <row r="27" spans="1:14" x14ac:dyDescent="0.3">
      <c r="A27" t="s">
        <v>1331</v>
      </c>
      <c r="B27" t="s">
        <v>1332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1333</v>
      </c>
      <c r="K27" t="s">
        <v>1334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1277</v>
      </c>
      <c r="B15" t="s">
        <v>1278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1309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">
      <c r="A16" t="s">
        <v>1335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">
      <c r="A17" t="s">
        <v>1336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  <row r="18" spans="1:16" x14ac:dyDescent="0.3">
      <c r="A18" t="s">
        <v>1368</v>
      </c>
      <c r="B18" t="s">
        <v>1369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1370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807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6" x14ac:dyDescent="0.3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1200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1195</v>
      </c>
      <c r="I3" s="2" t="s">
        <v>1194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">
      <c r="A15" t="s">
        <v>1196</v>
      </c>
      <c r="B15" t="s">
        <v>1197</v>
      </c>
      <c r="C15" t="str">
        <f>A15</f>
        <v>CR2032-VAY3-15.2</v>
      </c>
      <c r="D15" t="s">
        <v>1198</v>
      </c>
      <c r="E15" t="s">
        <v>1199</v>
      </c>
      <c r="F15" s="2" t="str">
        <f t="shared" si="5"/>
        <v>Footprints\CR2032-VAY3-15.2.PcbLib</v>
      </c>
      <c r="G15" t="s">
        <v>1196</v>
      </c>
      <c r="J15" t="str">
        <f>CONCATENATE("Footprints\",K15,".PcbLib")</f>
        <v>Footprints\.PcbLib</v>
      </c>
    </row>
    <row r="16" spans="1:20" x14ac:dyDescent="0.3">
      <c r="A16" t="s">
        <v>1224</v>
      </c>
      <c r="B16" t="s">
        <v>1225</v>
      </c>
      <c r="C16" t="s">
        <v>1226</v>
      </c>
      <c r="D16" t="str">
        <f t="shared" ref="D16" si="6">CONCATENATE("Schematic\",A16,".SchLib")</f>
        <v>Schematic\4WayDIP.SchLib</v>
      </c>
      <c r="E16" t="s">
        <v>1227</v>
      </c>
      <c r="F16" t="s">
        <v>1228</v>
      </c>
      <c r="G16" t="s">
        <v>1229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3"/>
  <sheetViews>
    <sheetView tabSelected="1" topLeftCell="A32" zoomScale="70" zoomScaleNormal="70" workbookViewId="0">
      <selection activeCell="F56" sqref="F56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51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1190</v>
      </c>
      <c r="K33" t="s">
        <v>1162</v>
      </c>
    </row>
    <row r="34" spans="1:11" x14ac:dyDescent="0.3">
      <c r="A34" t="s">
        <v>1177</v>
      </c>
      <c r="B34" t="s">
        <v>1178</v>
      </c>
      <c r="C34" t="s">
        <v>1177</v>
      </c>
      <c r="D34" t="s">
        <v>1179</v>
      </c>
      <c r="E34" s="2" t="s">
        <v>1180</v>
      </c>
      <c r="F34" t="s">
        <v>1181</v>
      </c>
      <c r="G34" t="s">
        <v>1182</v>
      </c>
      <c r="J34" t="s">
        <v>1148</v>
      </c>
      <c r="K34" t="s">
        <v>1162</v>
      </c>
    </row>
    <row r="35" spans="1:11" x14ac:dyDescent="0.3">
      <c r="A35" t="s">
        <v>1183</v>
      </c>
      <c r="B35" t="s">
        <v>1184</v>
      </c>
      <c r="C35" t="s">
        <v>1185</v>
      </c>
      <c r="D35" t="s">
        <v>1186</v>
      </c>
      <c r="E35" t="s">
        <v>1187</v>
      </c>
      <c r="F35" t="s">
        <v>1188</v>
      </c>
      <c r="G35" t="s">
        <v>1183</v>
      </c>
      <c r="J35" t="s">
        <v>1189</v>
      </c>
      <c r="K35" t="s">
        <v>1162</v>
      </c>
    </row>
    <row r="36" spans="1:11" x14ac:dyDescent="0.3">
      <c r="A36" t="s">
        <v>1191</v>
      </c>
      <c r="B36" t="s">
        <v>1192</v>
      </c>
      <c r="C36" t="s">
        <v>1191</v>
      </c>
      <c r="D36" t="s">
        <v>355</v>
      </c>
      <c r="E36" s="2" t="s">
        <v>119</v>
      </c>
      <c r="F36" t="s">
        <v>1131</v>
      </c>
      <c r="G36" t="s">
        <v>1193</v>
      </c>
      <c r="J36" t="s">
        <v>1190</v>
      </c>
      <c r="K36" t="s">
        <v>1162</v>
      </c>
    </row>
    <row r="37" spans="1:11" x14ac:dyDescent="0.3">
      <c r="A37" t="s">
        <v>1230</v>
      </c>
      <c r="B37" t="s">
        <v>1231</v>
      </c>
      <c r="C37" t="s">
        <v>1230</v>
      </c>
      <c r="D37" t="s">
        <v>1232</v>
      </c>
      <c r="E37" t="s">
        <v>1230</v>
      </c>
      <c r="F37" t="s">
        <v>1233</v>
      </c>
      <c r="G37" t="s">
        <v>1230</v>
      </c>
      <c r="K37" t="s">
        <v>1162</v>
      </c>
    </row>
    <row r="38" spans="1:11" x14ac:dyDescent="0.3">
      <c r="A38" t="s">
        <v>1234</v>
      </c>
      <c r="B38" t="s">
        <v>1235</v>
      </c>
      <c r="C38" t="s">
        <v>1234</v>
      </c>
      <c r="D38" t="s">
        <v>1236</v>
      </c>
      <c r="E38" t="s">
        <v>1234</v>
      </c>
      <c r="F38" t="s">
        <v>1237</v>
      </c>
      <c r="G38" t="s">
        <v>1234</v>
      </c>
      <c r="K38" t="s">
        <v>1162</v>
      </c>
    </row>
    <row r="39" spans="1:11" x14ac:dyDescent="0.3">
      <c r="A39" t="s">
        <v>1238</v>
      </c>
      <c r="B39" t="s">
        <v>1239</v>
      </c>
      <c r="C39" t="s">
        <v>1240</v>
      </c>
      <c r="D39" t="s">
        <v>1241</v>
      </c>
      <c r="E39" t="s">
        <v>1238</v>
      </c>
      <c r="F39" t="s">
        <v>1242</v>
      </c>
      <c r="G39" t="s">
        <v>1238</v>
      </c>
      <c r="K39" t="s">
        <v>1162</v>
      </c>
    </row>
    <row r="40" spans="1:11" x14ac:dyDescent="0.3">
      <c r="A40" t="s">
        <v>1243</v>
      </c>
      <c r="B40" t="s">
        <v>1244</v>
      </c>
      <c r="C40" t="s">
        <v>1245</v>
      </c>
      <c r="D40" t="s">
        <v>1246</v>
      </c>
      <c r="E40" t="s">
        <v>1247</v>
      </c>
      <c r="F40" t="s">
        <v>1248</v>
      </c>
      <c r="G40" t="s">
        <v>1249</v>
      </c>
      <c r="K40" t="s">
        <v>1162</v>
      </c>
    </row>
    <row r="41" spans="1:11" x14ac:dyDescent="0.3">
      <c r="A41" s="2" t="s">
        <v>1252</v>
      </c>
      <c r="B41" t="s">
        <v>1250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1253</v>
      </c>
      <c r="F41" t="str">
        <f>CONCATENATE("Footprints\Connectors\", G41, ".PcbLib")</f>
        <v>Footprints\Connectors\DF12(3.0)-32DP.PcbLib</v>
      </c>
      <c r="G41" t="s">
        <v>1252</v>
      </c>
      <c r="K41" t="s">
        <v>1162</v>
      </c>
    </row>
    <row r="42" spans="1:11" x14ac:dyDescent="0.3">
      <c r="A42" s="2" t="s">
        <v>1251</v>
      </c>
      <c r="B42" t="s">
        <v>1254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1253</v>
      </c>
      <c r="F42" t="str">
        <f>CONCATENATE("Footprints\Connectors\", G42, ".PcbLib")</f>
        <v>Footprints\Connectors\DF12(3.0)-32DS.PcbLib</v>
      </c>
      <c r="G42" t="s">
        <v>1251</v>
      </c>
      <c r="K42" t="s">
        <v>1162</v>
      </c>
    </row>
    <row r="43" spans="1:11" x14ac:dyDescent="0.3">
      <c r="A43" t="s">
        <v>1255</v>
      </c>
      <c r="B43" t="s">
        <v>1256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1257</v>
      </c>
      <c r="F43" t="str">
        <f t="shared" ref="F43:F45" si="2">CONCATENATE("Footprints\Connectors\", G43, ".PcbLib")</f>
        <v>Footprints\Connectors\DF40C-50DP.PcbLib</v>
      </c>
      <c r="G43" t="s">
        <v>1255</v>
      </c>
      <c r="K43" t="s">
        <v>1162</v>
      </c>
    </row>
    <row r="44" spans="1:11" x14ac:dyDescent="0.3">
      <c r="A44" t="s">
        <v>1258</v>
      </c>
      <c r="B44" t="s">
        <v>1259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1257</v>
      </c>
      <c r="F44" t="str">
        <f t="shared" si="2"/>
        <v>Footprints\Connectors\DF40C-50DS.PcbLib</v>
      </c>
      <c r="G44" t="s">
        <v>1258</v>
      </c>
      <c r="K44" t="s">
        <v>1162</v>
      </c>
    </row>
    <row r="45" spans="1:11" x14ac:dyDescent="0.3">
      <c r="A45" t="s">
        <v>1260</v>
      </c>
      <c r="B45" t="s">
        <v>1259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1257</v>
      </c>
      <c r="F45" t="str">
        <f t="shared" si="2"/>
        <v>Footprints\Connectors\DF40HC(4.0)-50DS.PcbLib</v>
      </c>
      <c r="G45" t="s">
        <v>1260</v>
      </c>
      <c r="K45" t="s">
        <v>1162</v>
      </c>
    </row>
    <row r="46" spans="1:11" x14ac:dyDescent="0.3">
      <c r="A46" t="s">
        <v>1261</v>
      </c>
      <c r="B46" t="s">
        <v>1262</v>
      </c>
      <c r="C46" s="2" t="str">
        <f t="shared" si="0"/>
        <v>PLS-6</v>
      </c>
      <c r="D46" t="str">
        <f t="shared" si="1"/>
        <v>Schematic\Connectors\Conn_6pin.SchLib</v>
      </c>
      <c r="E46" t="s">
        <v>1263</v>
      </c>
      <c r="F46" t="s">
        <v>1131</v>
      </c>
      <c r="G46" t="s">
        <v>1264</v>
      </c>
      <c r="K46" t="s">
        <v>1162</v>
      </c>
    </row>
    <row r="47" spans="1:11" x14ac:dyDescent="0.3">
      <c r="A47" t="s">
        <v>1337</v>
      </c>
      <c r="B47" t="s">
        <v>1338</v>
      </c>
      <c r="C47" s="2" t="s">
        <v>1337</v>
      </c>
      <c r="D47" t="s">
        <v>355</v>
      </c>
      <c r="E47" s="2" t="s">
        <v>119</v>
      </c>
      <c r="F47" t="s">
        <v>1339</v>
      </c>
      <c r="G47" t="s">
        <v>1337</v>
      </c>
      <c r="K47" t="s">
        <v>1162</v>
      </c>
    </row>
    <row r="48" spans="1:11" x14ac:dyDescent="0.3">
      <c r="A48" t="s">
        <v>1340</v>
      </c>
      <c r="B48" t="s">
        <v>1341</v>
      </c>
      <c r="C48" s="2" t="s">
        <v>1340</v>
      </c>
      <c r="D48" t="s">
        <v>833</v>
      </c>
      <c r="E48" s="2" t="s">
        <v>831</v>
      </c>
      <c r="F48" t="s">
        <v>1342</v>
      </c>
      <c r="G48" t="s">
        <v>1340</v>
      </c>
      <c r="K48" t="s">
        <v>1162</v>
      </c>
    </row>
    <row r="49" spans="1:11" x14ac:dyDescent="0.3">
      <c r="A49" t="s">
        <v>1343</v>
      </c>
      <c r="B49" t="s">
        <v>1344</v>
      </c>
      <c r="C49" s="2" t="s">
        <v>1343</v>
      </c>
      <c r="D49" t="s">
        <v>1345</v>
      </c>
      <c r="E49" s="2" t="s">
        <v>1346</v>
      </c>
      <c r="F49" t="s">
        <v>1347</v>
      </c>
      <c r="G49" t="s">
        <v>1343</v>
      </c>
      <c r="K49" t="s">
        <v>1162</v>
      </c>
    </row>
    <row r="50" spans="1:11" x14ac:dyDescent="0.3">
      <c r="A50" t="s">
        <v>1349</v>
      </c>
      <c r="B50" t="s">
        <v>1350</v>
      </c>
      <c r="C50" s="2" t="str">
        <f t="shared" ref="C50:C51" si="3">A50</f>
        <v>DF40C-40DP</v>
      </c>
      <c r="D50" t="str">
        <f t="shared" ref="D50:D53" si="4">CONCATENATE("Schematic\Connectors\", E50, ".SchLib")</f>
        <v>Schematic\Connectors\Conn_40pin_double.SchLib</v>
      </c>
      <c r="E50" t="s">
        <v>1346</v>
      </c>
      <c r="F50" t="str">
        <f t="shared" ref="F50:F53" si="5">CONCATENATE("Footprints\Connectors\", G50, ".PcbLib")</f>
        <v>Footprints\Connectors\DF40C-40DP.PcbLib</v>
      </c>
      <c r="G50" t="s">
        <v>1349</v>
      </c>
      <c r="K50" t="s">
        <v>1162</v>
      </c>
    </row>
    <row r="51" spans="1:11" x14ac:dyDescent="0.3">
      <c r="A51" t="s">
        <v>1351</v>
      </c>
      <c r="B51" t="s">
        <v>1352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1346</v>
      </c>
      <c r="F51" t="str">
        <f t="shared" si="5"/>
        <v>Footprints\Connectors\DF40C-40DS.PcbLib</v>
      </c>
      <c r="G51" t="s">
        <v>1351</v>
      </c>
      <c r="K51" t="s">
        <v>1162</v>
      </c>
    </row>
    <row r="52" spans="1:11" x14ac:dyDescent="0.3">
      <c r="A52" t="s">
        <v>1374</v>
      </c>
      <c r="B52" t="s">
        <v>1375</v>
      </c>
      <c r="C52" t="s">
        <v>1374</v>
      </c>
      <c r="D52" t="str">
        <f t="shared" si="4"/>
        <v>Schematic\Connectors\Conn_10pin.SchLib</v>
      </c>
      <c r="E52" s="2" t="s">
        <v>113</v>
      </c>
      <c r="F52" t="str">
        <f t="shared" si="5"/>
        <v>Footprints\Connectors\M80-4001042.PcbLib</v>
      </c>
      <c r="G52" t="s">
        <v>1374</v>
      </c>
      <c r="J52" t="s">
        <v>1376</v>
      </c>
      <c r="K52" t="s">
        <v>1162</v>
      </c>
    </row>
    <row r="53" spans="1:11" x14ac:dyDescent="0.3">
      <c r="A53" t="s">
        <v>1378</v>
      </c>
      <c r="B53" t="s">
        <v>1377</v>
      </c>
      <c r="C53" t="s">
        <v>1374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Footprints\Connectors\M80-4001042_govnodelie.PcbLib</v>
      </c>
      <c r="G53" t="s">
        <v>1379</v>
      </c>
      <c r="J53" t="s">
        <v>1376</v>
      </c>
      <c r="K53" t="s">
        <v>1162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2025-08-18T12:43:17Z</dcterms:modified>
</cp:coreProperties>
</file>