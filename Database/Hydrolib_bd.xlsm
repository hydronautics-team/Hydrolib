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1EAC3BDA-C7F2-42DF-8212-D3538924F1AF}" xr6:coauthVersionLast="47" xr6:coauthVersionMax="47" xr10:uidLastSave="{00000000-0000-0000-0000-000000000000}"/>
  <bookViews>
    <workbookView xWindow="-108" yWindow="-108" windowWidth="23256" windowHeight="12576" firstSheet="3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C15" i="4" l="1"/>
  <c r="F15" i="4"/>
  <c r="C14" i="4"/>
  <c r="F14" i="4"/>
  <c r="F51" i="6"/>
  <c r="D51" i="6"/>
  <c r="C51" i="6"/>
  <c r="F50" i="6"/>
  <c r="D50" i="6"/>
  <c r="C50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<sst xmlns="http://schemas.openxmlformats.org/spreadsheetml/2006/main" count="3305" uniqueCount="1360">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</sst>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3" borderId="5" xfId="0" applyFill="1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6" tableType="xml" totalsRowShown="0" headerRowDxfId="137" connectionId="6">
  <autoFilter ref="A1:L46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7" tableType="xml" totalsRowShown="0" headerRowDxfId="41" connectionId="9">
  <autoFilter ref="A1:Q17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1" tableType="xml" totalsRowShown="0" headerRowDxfId="3" connectionId="7">
  <autoFilter ref="A1:K51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6"/>
  <sheetViews>
    <sheetView topLeftCell="A28" zoomScale="107" zoomScaleNormal="145" workbookViewId="0">
      <selection activeCell="B45" sqref="B45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">
      <c r="A38" t="s">
        <v>1215</v>
      </c>
      <c r="B38" t="s">
        <v>1216</v>
      </c>
      <c r="C38" s="2" t="str">
        <f t="shared" ref="C38" si="15">A38</f>
        <v>USB2514BM2</v>
      </c>
      <c r="D38" t="s">
        <v>1313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Footprints\HTSSOP-20.PcbLib</v>
      </c>
      <c r="G43" t="s">
        <v>1314</v>
      </c>
    </row>
    <row r="44" spans="1:7" x14ac:dyDescent="0.3">
      <c r="A44" s="36" t="s">
        <v>1315</v>
      </c>
      <c r="B44" s="37" t="s">
        <v>1316</v>
      </c>
      <c r="C44" s="30" t="str">
        <f>A44</f>
        <v>IXDN602</v>
      </c>
      <c r="D44" s="37" t="str">
        <f>CONCATENATE("Schematic\",A44,".SchLib")</f>
        <v>Schematic\IXDN602.SchLib</v>
      </c>
      <c r="E44" s="37" t="str">
        <f>A44</f>
        <v>IXDN602</v>
      </c>
      <c r="F44" s="37" t="str">
        <f>CONCATENATE("Footprints\",G44,".PcbLib")</f>
        <v>Footprints\SOIC-8.PcbLib</v>
      </c>
      <c r="G44" s="37" t="s">
        <v>78</v>
      </c>
    </row>
    <row r="45" spans="1:7" x14ac:dyDescent="0.3">
      <c r="A45" s="38" t="s">
        <v>1317</v>
      </c>
      <c r="B45" s="19" t="s">
        <v>1318</v>
      </c>
      <c r="C45" s="21" t="str">
        <f>A45</f>
        <v>LMC555</v>
      </c>
      <c r="D45" s="19" t="str">
        <f>CONCATENATE("Schematic\",A33,".SchLib")</f>
        <v>Schematic\LM393.SchLib</v>
      </c>
      <c r="E45" s="19" t="str">
        <f>A33</f>
        <v>LM393</v>
      </c>
      <c r="F45" s="19" t="str">
        <f>CONCATENATE("Footprints\",G45,".PcbLib")</f>
        <v>Footprints\SOIC-8.PcbLib</v>
      </c>
      <c r="G45" s="19" t="s">
        <v>78</v>
      </c>
    </row>
    <row r="46" spans="1:7" x14ac:dyDescent="0.3">
      <c r="A46" s="39" t="s">
        <v>1319</v>
      </c>
      <c r="B46" s="40" t="s">
        <v>1320</v>
      </c>
      <c r="C46" s="41" t="str">
        <f>A46</f>
        <v>MC3306A</v>
      </c>
      <c r="D46" s="40" t="str">
        <f>CONCATENATE("Schematic\",A46,".SchLib")</f>
        <v>Schematic\MC3306A.SchLib</v>
      </c>
      <c r="E46" s="40" t="str">
        <f>A46</f>
        <v>MC3306A</v>
      </c>
      <c r="F46" s="40" t="str">
        <f>CONCATENATE("Footprints\",G46,".PcbLib")</f>
        <v>Footprints\SOIC-8.PcbLib</v>
      </c>
      <c r="G46" s="40" t="s">
        <v>78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E20" sqref="E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2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  <row r="12" spans="1:10" x14ac:dyDescent="0.3">
      <c r="A12" t="s">
        <v>1321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5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1322</v>
      </c>
      <c r="B10" t="s">
        <v>1323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1351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852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tabSelected="1" zoomScale="85" zoomScaleNormal="85" workbookViewId="0">
      <selection activeCell="I17" sqref="I17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841</v>
      </c>
      <c r="B8" s="1" t="s">
        <v>842</v>
      </c>
      <c r="C8" s="2" t="str">
        <f t="shared" ref="C8:C13" si="2"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6" x14ac:dyDescent="0.3">
      <c r="A9" s="1" t="s">
        <v>940</v>
      </c>
      <c r="B9" s="1" t="s">
        <v>941</v>
      </c>
      <c r="C9" s="2" t="str">
        <f t="shared" si="2"/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6" x14ac:dyDescent="0.3">
      <c r="A10" s="1" t="s">
        <v>967</v>
      </c>
      <c r="B10" s="1" t="s">
        <v>970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6" x14ac:dyDescent="0.3">
      <c r="A11" s="1" t="s">
        <v>1273</v>
      </c>
      <c r="B11" s="1" t="s">
        <v>1274</v>
      </c>
      <c r="C11" s="2" t="str">
        <f t="shared" si="2"/>
        <v>SIR426DP-T1-GE3</v>
      </c>
      <c r="D11" s="3" t="s">
        <v>1275</v>
      </c>
      <c r="E11" s="1" t="s">
        <v>1273</v>
      </c>
      <c r="F11" t="str">
        <f>CONCATENATE("Footprints\",G11,".PcbLib")</f>
        <v>Footprints\PowerPAK_SO-8.PcbLib</v>
      </c>
      <c r="G11" s="1" t="s">
        <v>1311</v>
      </c>
      <c r="J11" t="s">
        <v>1276</v>
      </c>
    </row>
    <row r="12" spans="1:19" ht="15.6" x14ac:dyDescent="0.3">
      <c r="A12" s="35" t="s">
        <v>1305</v>
      </c>
      <c r="B12" s="1" t="s">
        <v>1306</v>
      </c>
      <c r="C12" s="2" t="str">
        <f t="shared" si="2"/>
        <v>PDTC114ET</v>
      </c>
      <c r="D12" s="3" t="s">
        <v>1307</v>
      </c>
      <c r="E12" s="1" t="s">
        <v>1305</v>
      </c>
      <c r="F12" t="str">
        <f>CONCATENATE("Footprints\",G12,".PcbLib")</f>
        <v>Footprints\SOT23-3.PcbLib</v>
      </c>
      <c r="G12" s="3" t="s">
        <v>18</v>
      </c>
      <c r="J12" t="s">
        <v>1309</v>
      </c>
      <c r="K12" t="s">
        <v>1308</v>
      </c>
    </row>
    <row r="13" spans="1:19" ht="15.6" x14ac:dyDescent="0.3">
      <c r="A13" s="1" t="s">
        <v>1324</v>
      </c>
      <c r="B13" s="1" t="s">
        <v>5</v>
      </c>
      <c r="C13" s="2" t="str">
        <f t="shared" si="2"/>
        <v>IRFH7084</v>
      </c>
      <c r="D13" s="1" t="s">
        <v>1325</v>
      </c>
      <c r="E13" s="1" t="s">
        <v>1326</v>
      </c>
      <c r="F13" t="str">
        <f>CONCATENATE("Footprints\",G13,".PcbLib")</f>
        <v>Footprints\PQFN_5x6.PcbLib</v>
      </c>
      <c r="G13" s="1" t="s">
        <v>1327</v>
      </c>
      <c r="J13" t="s">
        <v>1276</v>
      </c>
      <c r="K13" t="s">
        <v>1328</v>
      </c>
    </row>
    <row r="14" spans="1:19" ht="15.6" x14ac:dyDescent="0.3">
      <c r="A14" s="1" t="s">
        <v>1356</v>
      </c>
      <c r="B14" s="1" t="s">
        <v>1358</v>
      </c>
      <c r="C14" s="2" t="str">
        <f>A14</f>
        <v>BC857</v>
      </c>
      <c r="D14" s="3" t="s">
        <v>943</v>
      </c>
      <c r="E14" s="1" t="s">
        <v>942</v>
      </c>
      <c r="F14" t="str">
        <f>CONCATENATE("Footprints\",G14,".PcbLib")</f>
        <v>Footprints\SOT23-3.PcbLib</v>
      </c>
      <c r="G14" s="3" t="s">
        <v>18</v>
      </c>
      <c r="J14" t="s">
        <v>946</v>
      </c>
      <c r="K14" t="s">
        <v>1357</v>
      </c>
    </row>
    <row r="15" spans="1:19" ht="15.6" x14ac:dyDescent="0.3">
      <c r="A15" s="1" t="s">
        <v>1359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1276</v>
      </c>
      <c r="K15" t="s">
        <v>1094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7" zoomScale="85" zoomScaleNormal="85" workbookViewId="0">
      <selection activeCell="H181" sqref="H181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3" t="s">
        <v>1140</v>
      </c>
      <c r="O1" s="1"/>
    </row>
    <row r="2" spans="1:15" ht="15.6" x14ac:dyDescent="0.3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5"/>
    </row>
    <row r="3" spans="1:15" ht="15.6" x14ac:dyDescent="0.3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6"/>
    </row>
    <row r="4" spans="1:15" ht="15.6" x14ac:dyDescent="0.3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5"/>
    </row>
    <row r="5" spans="1:15" ht="15.6" x14ac:dyDescent="0.3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6"/>
    </row>
    <row r="6" spans="1:15" ht="15.6" x14ac:dyDescent="0.3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5"/>
    </row>
    <row r="7" spans="1:15" ht="15.6" x14ac:dyDescent="0.3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6"/>
    </row>
    <row r="8" spans="1:15" ht="15.6" x14ac:dyDescent="0.3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5"/>
    </row>
    <row r="9" spans="1:15" ht="15.6" x14ac:dyDescent="0.3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6"/>
    </row>
    <row r="10" spans="1:15" ht="15.6" x14ac:dyDescent="0.3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5"/>
    </row>
    <row r="11" spans="1:15" ht="15.6" x14ac:dyDescent="0.3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6"/>
    </row>
    <row r="12" spans="1:15" ht="15.6" x14ac:dyDescent="0.3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5"/>
    </row>
    <row r="13" spans="1:15" ht="15.6" x14ac:dyDescent="0.3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6"/>
    </row>
    <row r="14" spans="1:15" ht="15.6" x14ac:dyDescent="0.3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5"/>
    </row>
    <row r="15" spans="1:15" ht="15.6" x14ac:dyDescent="0.3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6"/>
    </row>
    <row r="16" spans="1:15" ht="15.6" x14ac:dyDescent="0.3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5"/>
    </row>
    <row r="17" spans="1:14" ht="15.6" x14ac:dyDescent="0.3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6"/>
    </row>
    <row r="18" spans="1:14" ht="15.6" x14ac:dyDescent="0.3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5"/>
    </row>
    <row r="19" spans="1:14" ht="15.6" x14ac:dyDescent="0.3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6"/>
    </row>
    <row r="20" spans="1:14" ht="15.6" x14ac:dyDescent="0.3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5"/>
    </row>
    <row r="21" spans="1:14" ht="15.6" x14ac:dyDescent="0.3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6"/>
    </row>
    <row r="22" spans="1:14" ht="15.6" x14ac:dyDescent="0.3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5"/>
    </row>
    <row r="23" spans="1:14" ht="15.6" x14ac:dyDescent="0.3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6"/>
    </row>
    <row r="24" spans="1:14" ht="15.6" x14ac:dyDescent="0.3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5"/>
    </row>
    <row r="25" spans="1:14" ht="15.6" x14ac:dyDescent="0.3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6"/>
    </row>
    <row r="26" spans="1:14" ht="15.6" x14ac:dyDescent="0.3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5"/>
    </row>
    <row r="27" spans="1:14" ht="15.6" x14ac:dyDescent="0.3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6"/>
    </row>
    <row r="28" spans="1:14" ht="15.6" x14ac:dyDescent="0.3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5"/>
    </row>
    <row r="29" spans="1:14" ht="15.6" x14ac:dyDescent="0.3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6"/>
    </row>
    <row r="30" spans="1:14" ht="15.6" x14ac:dyDescent="0.3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5"/>
    </row>
    <row r="31" spans="1:14" ht="15.6" x14ac:dyDescent="0.3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6"/>
    </row>
    <row r="32" spans="1:14" ht="15.6" x14ac:dyDescent="0.3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5"/>
    </row>
    <row r="33" spans="1:14" ht="15.6" x14ac:dyDescent="0.3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6"/>
    </row>
    <row r="34" spans="1:14" ht="15.6" x14ac:dyDescent="0.3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5"/>
    </row>
    <row r="35" spans="1:14" ht="15.6" x14ac:dyDescent="0.3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6"/>
    </row>
    <row r="36" spans="1:14" ht="15.6" x14ac:dyDescent="0.3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5"/>
    </row>
    <row r="37" spans="1:14" ht="15.6" x14ac:dyDescent="0.3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6"/>
    </row>
    <row r="38" spans="1:14" ht="15.6" x14ac:dyDescent="0.3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5"/>
    </row>
    <row r="39" spans="1:14" ht="15.6" x14ac:dyDescent="0.3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6"/>
    </row>
    <row r="40" spans="1:14" ht="15.6" x14ac:dyDescent="0.3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5"/>
    </row>
    <row r="41" spans="1:14" ht="15.6" x14ac:dyDescent="0.3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6"/>
    </row>
    <row r="42" spans="1:14" ht="15.6" x14ac:dyDescent="0.3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5"/>
    </row>
    <row r="43" spans="1:14" ht="15.6" x14ac:dyDescent="0.3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6"/>
    </row>
    <row r="44" spans="1:14" ht="15.6" x14ac:dyDescent="0.3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5"/>
    </row>
    <row r="45" spans="1:14" ht="15.6" x14ac:dyDescent="0.3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6"/>
    </row>
    <row r="46" spans="1:14" ht="15.6" x14ac:dyDescent="0.3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5"/>
    </row>
    <row r="47" spans="1:14" ht="15.6" x14ac:dyDescent="0.3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6"/>
    </row>
    <row r="48" spans="1:14" ht="15.6" x14ac:dyDescent="0.3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5"/>
    </row>
    <row r="49" spans="1:14" ht="15.6" x14ac:dyDescent="0.3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6"/>
    </row>
    <row r="50" spans="1:14" ht="15.6" x14ac:dyDescent="0.3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5"/>
    </row>
    <row r="51" spans="1:14" ht="15.6" x14ac:dyDescent="0.3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6"/>
    </row>
    <row r="52" spans="1:14" ht="15.6" x14ac:dyDescent="0.3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5"/>
    </row>
    <row r="53" spans="1:14" ht="15.6" x14ac:dyDescent="0.3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6"/>
    </row>
    <row r="54" spans="1:14" ht="15.6" x14ac:dyDescent="0.3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5"/>
    </row>
    <row r="55" spans="1:14" ht="15.6" x14ac:dyDescent="0.3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6"/>
    </row>
    <row r="56" spans="1:14" ht="15.6" x14ac:dyDescent="0.3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5"/>
    </row>
    <row r="57" spans="1:14" ht="15.6" x14ac:dyDescent="0.3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6"/>
    </row>
    <row r="58" spans="1:14" ht="15.6" x14ac:dyDescent="0.3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5"/>
    </row>
    <row r="59" spans="1:14" ht="15.6" x14ac:dyDescent="0.3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6"/>
    </row>
    <row r="60" spans="1:14" ht="15.6" x14ac:dyDescent="0.3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5"/>
    </row>
    <row r="61" spans="1:14" ht="15.6" x14ac:dyDescent="0.3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6"/>
    </row>
    <row r="62" spans="1:14" ht="15.6" x14ac:dyDescent="0.3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5"/>
    </row>
    <row r="63" spans="1:14" ht="15.6" x14ac:dyDescent="0.3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6"/>
    </row>
    <row r="64" spans="1:14" ht="15.6" x14ac:dyDescent="0.3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5"/>
    </row>
    <row r="65" spans="1:14" ht="15.6" x14ac:dyDescent="0.3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6"/>
    </row>
    <row r="66" spans="1:14" ht="15.6" x14ac:dyDescent="0.3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5"/>
    </row>
    <row r="67" spans="1:14" ht="15.6" x14ac:dyDescent="0.3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6"/>
    </row>
    <row r="68" spans="1:14" ht="15.6" x14ac:dyDescent="0.3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5"/>
    </row>
    <row r="69" spans="1:14" ht="15.6" x14ac:dyDescent="0.3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6"/>
    </row>
    <row r="70" spans="1:14" ht="15.6" x14ac:dyDescent="0.3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5"/>
    </row>
    <row r="71" spans="1:14" ht="15.6" x14ac:dyDescent="0.3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6"/>
    </row>
    <row r="72" spans="1:14" ht="15.6" x14ac:dyDescent="0.3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5"/>
    </row>
    <row r="73" spans="1:14" ht="15.6" x14ac:dyDescent="0.3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6"/>
    </row>
    <row r="74" spans="1:14" ht="15.6" x14ac:dyDescent="0.3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5"/>
    </row>
    <row r="75" spans="1:14" ht="15.6" x14ac:dyDescent="0.3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6"/>
    </row>
    <row r="76" spans="1:14" ht="15.6" x14ac:dyDescent="0.3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5"/>
    </row>
    <row r="77" spans="1:14" ht="15" customHeight="1" x14ac:dyDescent="0.3">
      <c r="A77" s="3" t="s">
        <v>1285</v>
      </c>
      <c r="B77" s="3" t="s">
        <v>1286</v>
      </c>
      <c r="C77" s="3" t="s">
        <v>26</v>
      </c>
      <c r="D77" s="3" t="s">
        <v>29</v>
      </c>
      <c r="E77" s="3" t="s">
        <v>26</v>
      </c>
      <c r="F77" s="3" t="s">
        <v>1287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6"/>
    </row>
    <row r="78" spans="1:14" ht="15.6" x14ac:dyDescent="0.3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5"/>
    </row>
    <row r="79" spans="1:14" ht="15.6" x14ac:dyDescent="0.3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6"/>
    </row>
    <row r="80" spans="1:14" ht="15.6" x14ac:dyDescent="0.3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5"/>
    </row>
    <row r="81" spans="1:14" ht="15.6" x14ac:dyDescent="0.3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6"/>
    </row>
    <row r="82" spans="1:14" ht="15.6" x14ac:dyDescent="0.3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5"/>
    </row>
    <row r="83" spans="1:14" ht="15.6" x14ac:dyDescent="0.3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6"/>
    </row>
    <row r="84" spans="1:14" ht="15.6" x14ac:dyDescent="0.3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5"/>
    </row>
    <row r="85" spans="1:14" ht="15.6" x14ac:dyDescent="0.3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6"/>
    </row>
    <row r="86" spans="1:14" ht="15.6" x14ac:dyDescent="0.3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5"/>
    </row>
    <row r="87" spans="1:14" ht="15.6" x14ac:dyDescent="0.3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6"/>
    </row>
    <row r="88" spans="1:14" ht="15.6" x14ac:dyDescent="0.3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5"/>
    </row>
    <row r="89" spans="1:14" ht="15.6" x14ac:dyDescent="0.3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6"/>
    </row>
    <row r="90" spans="1:14" ht="15.6" x14ac:dyDescent="0.3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5"/>
    </row>
    <row r="91" spans="1:14" ht="15.6" x14ac:dyDescent="0.3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6"/>
    </row>
    <row r="92" spans="1:14" ht="15.6" x14ac:dyDescent="0.3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5"/>
    </row>
    <row r="93" spans="1:14" ht="15.6" x14ac:dyDescent="0.3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6"/>
    </row>
    <row r="94" spans="1:14" ht="15.6" x14ac:dyDescent="0.3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5"/>
    </row>
    <row r="95" spans="1:14" ht="15.6" x14ac:dyDescent="0.3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6"/>
    </row>
    <row r="96" spans="1:14" ht="15.6" x14ac:dyDescent="0.3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5"/>
    </row>
    <row r="97" spans="1:14" ht="15.6" x14ac:dyDescent="0.3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6"/>
    </row>
    <row r="98" spans="1:14" ht="15.6" x14ac:dyDescent="0.3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5"/>
    </row>
    <row r="99" spans="1:14" ht="15" customHeight="1" x14ac:dyDescent="0.3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6"/>
    </row>
    <row r="100" spans="1:14" ht="15" customHeight="1" x14ac:dyDescent="0.3">
      <c r="A100" s="3" t="s">
        <v>1282</v>
      </c>
      <c r="B100" s="3" t="s">
        <v>1283</v>
      </c>
      <c r="C100" s="3" t="s">
        <v>26</v>
      </c>
      <c r="D100" s="3" t="s">
        <v>29</v>
      </c>
      <c r="E100" s="3" t="s">
        <v>26</v>
      </c>
      <c r="F100" s="3" t="s">
        <v>1284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6"/>
    </row>
    <row r="101" spans="1:14" ht="15.6" x14ac:dyDescent="0.3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6"/>
    </row>
    <row r="102" spans="1:14" ht="15.6" x14ac:dyDescent="0.3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5"/>
    </row>
    <row r="103" spans="1:14" ht="15" customHeight="1" x14ac:dyDescent="0.3">
      <c r="A103" s="3" t="s">
        <v>1288</v>
      </c>
      <c r="B103" s="3" t="s">
        <v>1289</v>
      </c>
      <c r="C103" s="3" t="s">
        <v>26</v>
      </c>
      <c r="D103" s="3" t="s">
        <v>29</v>
      </c>
      <c r="E103" s="3" t="s">
        <v>26</v>
      </c>
      <c r="F103" s="3" t="s">
        <v>1290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6"/>
    </row>
    <row r="104" spans="1:14" ht="15.6" x14ac:dyDescent="0.3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5"/>
    </row>
    <row r="105" spans="1:14" ht="15.6" x14ac:dyDescent="0.3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6"/>
    </row>
    <row r="106" spans="1:14" ht="15.6" x14ac:dyDescent="0.3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5"/>
    </row>
    <row r="107" spans="1:14" ht="15.6" x14ac:dyDescent="0.3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6"/>
    </row>
    <row r="108" spans="1:14" ht="15.6" x14ac:dyDescent="0.3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5"/>
    </row>
    <row r="109" spans="1:14" ht="15.6" x14ac:dyDescent="0.3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6"/>
    </row>
    <row r="110" spans="1:14" ht="15.6" x14ac:dyDescent="0.3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5"/>
    </row>
    <row r="111" spans="1:14" ht="15.6" x14ac:dyDescent="0.3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6"/>
    </row>
    <row r="112" spans="1:14" ht="15.6" x14ac:dyDescent="0.3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5"/>
    </row>
    <row r="113" spans="1:14" ht="15.6" x14ac:dyDescent="0.3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6"/>
    </row>
    <row r="114" spans="1:14" ht="15.6" x14ac:dyDescent="0.3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5"/>
    </row>
    <row r="115" spans="1:14" ht="15.6" x14ac:dyDescent="0.3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6"/>
    </row>
    <row r="116" spans="1:14" ht="15.6" x14ac:dyDescent="0.3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5"/>
    </row>
    <row r="117" spans="1:14" ht="15.6" x14ac:dyDescent="0.3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6"/>
    </row>
    <row r="118" spans="1:14" ht="15.6" x14ac:dyDescent="0.3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5"/>
    </row>
    <row r="119" spans="1:14" ht="15.6" x14ac:dyDescent="0.3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6"/>
    </row>
    <row r="120" spans="1:14" ht="15.6" x14ac:dyDescent="0.3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5"/>
    </row>
    <row r="121" spans="1:14" ht="15.6" x14ac:dyDescent="0.3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6"/>
    </row>
    <row r="122" spans="1:14" ht="15.6" x14ac:dyDescent="0.3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5"/>
    </row>
    <row r="123" spans="1:14" ht="15.6" x14ac:dyDescent="0.3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6"/>
    </row>
    <row r="124" spans="1:14" ht="15.6" x14ac:dyDescent="0.3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5"/>
    </row>
    <row r="125" spans="1:14" ht="15.6" x14ac:dyDescent="0.3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6"/>
    </row>
    <row r="126" spans="1:14" ht="15.6" x14ac:dyDescent="0.3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5"/>
    </row>
    <row r="127" spans="1:14" ht="15.6" x14ac:dyDescent="0.3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6"/>
    </row>
    <row r="128" spans="1:14" ht="15.6" x14ac:dyDescent="0.3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5"/>
    </row>
    <row r="129" spans="1:14" ht="15.6" x14ac:dyDescent="0.3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6"/>
    </row>
    <row r="130" spans="1:14" ht="15.6" x14ac:dyDescent="0.3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5"/>
    </row>
    <row r="131" spans="1:14" ht="15.6" x14ac:dyDescent="0.3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6"/>
    </row>
    <row r="132" spans="1:14" ht="15.6" x14ac:dyDescent="0.3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5"/>
    </row>
    <row r="133" spans="1:14" ht="15.6" x14ac:dyDescent="0.3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6"/>
    </row>
    <row r="134" spans="1:14" ht="15.6" x14ac:dyDescent="0.3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5"/>
    </row>
    <row r="135" spans="1:14" ht="15.6" x14ac:dyDescent="0.3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6"/>
    </row>
    <row r="136" spans="1:14" ht="15.6" x14ac:dyDescent="0.3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5"/>
    </row>
    <row r="137" spans="1:14" ht="15.6" x14ac:dyDescent="0.3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6"/>
    </row>
    <row r="138" spans="1:14" ht="15.6" x14ac:dyDescent="0.3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5"/>
    </row>
    <row r="139" spans="1:14" ht="15.6" x14ac:dyDescent="0.3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6"/>
    </row>
    <row r="140" spans="1:14" ht="15.6" x14ac:dyDescent="0.3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5"/>
    </row>
    <row r="141" spans="1:14" ht="15.6" x14ac:dyDescent="0.3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6"/>
    </row>
    <row r="142" spans="1:14" ht="15.6" x14ac:dyDescent="0.3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5"/>
    </row>
    <row r="143" spans="1:14" ht="15.6" x14ac:dyDescent="0.3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6"/>
    </row>
    <row r="144" spans="1:14" ht="15.6" x14ac:dyDescent="0.3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5"/>
    </row>
    <row r="145" spans="1:14" ht="15.6" x14ac:dyDescent="0.3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6"/>
    </row>
    <row r="146" spans="1:14" ht="15.6" x14ac:dyDescent="0.3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5"/>
    </row>
    <row r="147" spans="1:14" ht="15.6" x14ac:dyDescent="0.3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6"/>
    </row>
    <row r="148" spans="1:14" ht="15.6" x14ac:dyDescent="0.3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5"/>
    </row>
    <row r="149" spans="1:14" ht="15.6" x14ac:dyDescent="0.3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6"/>
    </row>
    <row r="150" spans="1:14" ht="15.6" x14ac:dyDescent="0.3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5"/>
    </row>
    <row r="151" spans="1:14" ht="15.6" x14ac:dyDescent="0.3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6"/>
    </row>
    <row r="152" spans="1:14" ht="15.6" x14ac:dyDescent="0.3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5"/>
    </row>
    <row r="153" spans="1:14" ht="15.6" x14ac:dyDescent="0.3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6"/>
    </row>
    <row r="154" spans="1:14" ht="15.6" x14ac:dyDescent="0.3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5"/>
    </row>
    <row r="155" spans="1:14" ht="15.6" x14ac:dyDescent="0.3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6"/>
    </row>
    <row r="156" spans="1:14" ht="15.6" x14ac:dyDescent="0.3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5"/>
    </row>
    <row r="157" spans="1:14" ht="15.6" x14ac:dyDescent="0.3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6"/>
    </row>
    <row r="158" spans="1:14" ht="15.6" x14ac:dyDescent="0.3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5"/>
    </row>
    <row r="159" spans="1:14" ht="15.6" x14ac:dyDescent="0.3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6"/>
    </row>
    <row r="160" spans="1:14" ht="15.6" x14ac:dyDescent="0.3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5"/>
    </row>
    <row r="161" spans="1:14" ht="15.6" x14ac:dyDescent="0.3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6"/>
    </row>
    <row r="162" spans="1:14" ht="15.6" x14ac:dyDescent="0.3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5"/>
    </row>
    <row r="163" spans="1:14" ht="15.6" x14ac:dyDescent="0.3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6"/>
    </row>
    <row r="164" spans="1:14" ht="15.6" x14ac:dyDescent="0.3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5"/>
    </row>
    <row r="165" spans="1:14" ht="15.6" x14ac:dyDescent="0.3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6"/>
    </row>
    <row r="166" spans="1:14" ht="15.6" x14ac:dyDescent="0.3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5"/>
    </row>
    <row r="167" spans="1:14" ht="15.6" x14ac:dyDescent="0.3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6"/>
    </row>
    <row r="168" spans="1:14" ht="15.6" x14ac:dyDescent="0.3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5"/>
    </row>
    <row r="169" spans="1:14" ht="15.6" x14ac:dyDescent="0.3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6"/>
    </row>
    <row r="170" spans="1:14" ht="15.6" x14ac:dyDescent="0.3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5"/>
    </row>
    <row r="171" spans="1:14" ht="15.6" x14ac:dyDescent="0.3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6"/>
    </row>
    <row r="172" spans="1:14" ht="15.6" x14ac:dyDescent="0.3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5"/>
    </row>
    <row r="173" spans="1:14" ht="15.6" x14ac:dyDescent="0.3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6"/>
    </row>
    <row r="174" spans="1:14" ht="15.6" x14ac:dyDescent="0.3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5"/>
    </row>
    <row r="175" spans="1:14" ht="15.6" x14ac:dyDescent="0.3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6"/>
    </row>
    <row r="176" spans="1:14" ht="15.6" x14ac:dyDescent="0.3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6" x14ac:dyDescent="0.3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6" x14ac:dyDescent="0.3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6" x14ac:dyDescent="0.3">
      <c r="A179" s="1" t="s">
        <v>1270</v>
      </c>
      <c r="B179" s="1" t="s">
        <v>1271</v>
      </c>
      <c r="C179" s="1" t="s">
        <v>26</v>
      </c>
      <c r="D179" s="3" t="s">
        <v>29</v>
      </c>
      <c r="E179" s="3" t="s">
        <v>26</v>
      </c>
      <c r="F179" s="3" t="s">
        <v>1272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6" x14ac:dyDescent="0.3">
      <c r="A180" s="3" t="s">
        <v>1300</v>
      </c>
      <c r="B180" s="3" t="s">
        <v>1301</v>
      </c>
      <c r="C180" s="3" t="s">
        <v>26</v>
      </c>
      <c r="D180" s="3" t="s">
        <v>29</v>
      </c>
      <c r="E180" s="3" t="s">
        <v>26</v>
      </c>
      <c r="F180" s="3" t="s">
        <v>1302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4"/>
    </row>
    <row r="181" spans="1:14" ht="15.6" x14ac:dyDescent="0.3">
      <c r="A181" s="1" t="s">
        <v>1329</v>
      </c>
      <c r="B181" s="1" t="s">
        <v>1330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898</v>
      </c>
      <c r="I181" s="1" t="s">
        <v>897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6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6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6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10" sqref="H10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">
      <c r="A2" s="20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1">
        <v>1000</v>
      </c>
      <c r="I2" s="28">
        <v>2</v>
      </c>
      <c r="J2" s="2"/>
      <c r="L2" s="11"/>
    </row>
    <row r="3" spans="1:12" x14ac:dyDescent="0.3">
      <c r="A3" s="2" t="s">
        <v>1277</v>
      </c>
      <c r="B3" s="2" t="s">
        <v>1278</v>
      </c>
      <c r="C3" s="2" t="s">
        <v>1277</v>
      </c>
      <c r="D3" s="21" t="s">
        <v>1101</v>
      </c>
      <c r="E3" s="21" t="s">
        <v>1100</v>
      </c>
      <c r="F3" s="2" t="s">
        <v>1279</v>
      </c>
      <c r="G3" s="2" t="s">
        <v>130</v>
      </c>
      <c r="H3" s="2" t="s">
        <v>414</v>
      </c>
      <c r="I3" s="2" t="s">
        <v>1310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Normal="100" workbookViewId="0">
      <selection activeCell="A2" sqref="A2:T3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22" workbookViewId="0">
      <selection activeCell="I53" sqref="I5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">
      <c r="A2" s="29" t="s">
        <v>1294</v>
      </c>
      <c r="B2" s="30" t="s">
        <v>28</v>
      </c>
      <c r="C2" s="30" t="s">
        <v>30</v>
      </c>
      <c r="D2" s="30" t="s">
        <v>27</v>
      </c>
      <c r="E2" s="30" t="s">
        <v>30</v>
      </c>
      <c r="F2" s="30" t="s">
        <v>27</v>
      </c>
      <c r="G2" s="30" t="s">
        <v>1295</v>
      </c>
      <c r="H2" s="31">
        <v>0.1</v>
      </c>
      <c r="I2" s="30">
        <v>50</v>
      </c>
      <c r="J2" s="30" t="s">
        <v>773</v>
      </c>
      <c r="K2" s="30" t="s">
        <v>774</v>
      </c>
      <c r="L2" s="30" t="s">
        <v>37</v>
      </c>
      <c r="M2" s="30" t="s">
        <v>1296</v>
      </c>
      <c r="N2" s="32"/>
    </row>
    <row r="3" spans="1:14" x14ac:dyDescent="0.3">
      <c r="A3" s="20" t="s">
        <v>1297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1298</v>
      </c>
      <c r="H3" s="27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1299</v>
      </c>
      <c r="N3" s="28"/>
    </row>
    <row r="4" spans="1:14" x14ac:dyDescent="0.3">
      <c r="A4" s="20" t="s">
        <v>1291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1292</v>
      </c>
      <c r="H4" s="27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1293</v>
      </c>
      <c r="N4" s="28"/>
    </row>
    <row r="5" spans="1:14" x14ac:dyDescent="0.3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">
      <c r="A42" s="2" t="s">
        <v>1303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1304</v>
      </c>
      <c r="N42" s="2"/>
    </row>
    <row r="43" spans="1:14" x14ac:dyDescent="0.3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topLeftCell="A7" zoomScale="85" zoomScaleNormal="85" workbookViewId="0">
      <selection activeCell="A26" sqref="A26:O27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  <row r="26" spans="1:14" x14ac:dyDescent="0.3">
      <c r="A26" t="s">
        <v>1331</v>
      </c>
      <c r="B26" t="s">
        <v>918</v>
      </c>
      <c r="C26" t="s">
        <v>27</v>
      </c>
      <c r="D26" t="s">
        <v>802</v>
      </c>
      <c r="E26" t="s">
        <v>39</v>
      </c>
      <c r="F26" t="s">
        <v>816</v>
      </c>
      <c r="G26">
        <v>20</v>
      </c>
      <c r="H26">
        <v>35</v>
      </c>
      <c r="I26" t="s">
        <v>1079</v>
      </c>
      <c r="J26" t="s">
        <v>1332</v>
      </c>
      <c r="K26" t="s">
        <v>1333</v>
      </c>
      <c r="L26">
        <v>330</v>
      </c>
    </row>
    <row r="27" spans="1:14" x14ac:dyDescent="0.3">
      <c r="A27" t="s">
        <v>1334</v>
      </c>
      <c r="B27" t="s">
        <v>1335</v>
      </c>
      <c r="C27" t="s">
        <v>27</v>
      </c>
      <c r="D27" t="s">
        <v>802</v>
      </c>
      <c r="E27" t="s">
        <v>39</v>
      </c>
      <c r="F27" t="s">
        <v>813</v>
      </c>
      <c r="G27">
        <v>20</v>
      </c>
      <c r="H27">
        <v>35</v>
      </c>
      <c r="I27" t="s">
        <v>1079</v>
      </c>
      <c r="J27" t="s">
        <v>1336</v>
      </c>
      <c r="K27" t="s">
        <v>1337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7"/>
  <sheetViews>
    <sheetView zoomScaleNormal="100" workbookViewId="0">
      <selection activeCell="B22" sqref="B22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1280</v>
      </c>
      <c r="B15" t="s">
        <v>1281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1312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  <row r="16" spans="1:17" x14ac:dyDescent="0.3">
      <c r="A16" t="s">
        <v>1338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1051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772</v>
      </c>
    </row>
    <row r="17" spans="1:16" x14ac:dyDescent="0.3">
      <c r="A17" t="s">
        <v>1339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6" x14ac:dyDescent="0.3">
      <c r="A2" s="22" t="s">
        <v>1114</v>
      </c>
      <c r="B2" s="23" t="s">
        <v>1115</v>
      </c>
      <c r="C2" s="21" t="str">
        <f>A2</f>
        <v>TS820-600B-TR</v>
      </c>
      <c r="D2" s="23" t="s">
        <v>1117</v>
      </c>
      <c r="E2" s="23" t="s">
        <v>1116</v>
      </c>
      <c r="F2" s="21" t="str">
        <f t="shared" ref="F2" si="0">CONCATENATE("Footprints\",G2,".PcbLib")</f>
        <v>Footprints\DPAK.PcbLib</v>
      </c>
      <c r="G2" s="23" t="s">
        <v>6</v>
      </c>
      <c r="H2" s="21"/>
      <c r="I2" s="21"/>
      <c r="J2" s="21" t="s">
        <v>1118</v>
      </c>
      <c r="K2" s="28" t="s">
        <v>1120</v>
      </c>
      <c r="L2" s="28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4" t="s">
        <v>1173</v>
      </c>
    </row>
    <row r="14" spans="1:20" x14ac:dyDescent="0.3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1"/>
  <sheetViews>
    <sheetView topLeftCell="A26" zoomScale="85" zoomScaleNormal="85" workbookViewId="0">
      <selection activeCell="D54" sqref="D54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  <row r="47" spans="1:11" x14ac:dyDescent="0.3">
      <c r="A47" t="s">
        <v>1340</v>
      </c>
      <c r="B47" t="s">
        <v>1341</v>
      </c>
      <c r="C47" s="2" t="s">
        <v>1340</v>
      </c>
      <c r="D47" t="s">
        <v>356</v>
      </c>
      <c r="E47" s="2" t="s">
        <v>119</v>
      </c>
      <c r="F47" t="s">
        <v>1342</v>
      </c>
      <c r="G47" t="s">
        <v>1340</v>
      </c>
      <c r="K47" t="s">
        <v>1165</v>
      </c>
    </row>
    <row r="48" spans="1:11" x14ac:dyDescent="0.3">
      <c r="A48" t="s">
        <v>1343</v>
      </c>
      <c r="B48" t="s">
        <v>1344</v>
      </c>
      <c r="C48" s="2" t="s">
        <v>1343</v>
      </c>
      <c r="D48" t="s">
        <v>834</v>
      </c>
      <c r="E48" s="2" t="s">
        <v>832</v>
      </c>
      <c r="F48" t="s">
        <v>1345</v>
      </c>
      <c r="G48" t="s">
        <v>1343</v>
      </c>
      <c r="K48" t="s">
        <v>1165</v>
      </c>
    </row>
    <row r="49" spans="1:11" x14ac:dyDescent="0.3">
      <c r="A49" t="s">
        <v>1346</v>
      </c>
      <c r="B49" t="s">
        <v>1347</v>
      </c>
      <c r="C49" s="2" t="s">
        <v>1346</v>
      </c>
      <c r="D49" t="s">
        <v>1348</v>
      </c>
      <c r="E49" s="2" t="s">
        <v>1349</v>
      </c>
      <c r="F49" t="s">
        <v>1350</v>
      </c>
      <c r="G49" t="s">
        <v>1346</v>
      </c>
      <c r="K49" t="s">
        <v>1165</v>
      </c>
    </row>
    <row r="50" spans="1:11" x14ac:dyDescent="0.3">
      <c r="A50" t="s">
        <v>1352</v>
      </c>
      <c r="B50" t="s">
        <v>1353</v>
      </c>
      <c r="C50" s="2" t="str">
        <f t="shared" ref="C50:C51" si="3">A50</f>
        <v>DF40C-40DP</v>
      </c>
      <c r="D50" t="str">
        <f t="shared" ref="D50:D51" si="4">CONCATENATE("Schematic\Connectors\", E50, ".SchLib")</f>
        <v>Schematic\Connectors\Conn_40pin_double.SchLib</v>
      </c>
      <c r="E50" t="s">
        <v>1349</v>
      </c>
      <c r="F50" t="str">
        <f t="shared" ref="F50:F51" si="5">CONCATENATE("Footprints\Connectors\", G50, ".PcbLib")</f>
        <v>Footprints\Connectors\DF40C-40DP.PcbLib</v>
      </c>
      <c r="G50" t="s">
        <v>1352</v>
      </c>
      <c r="K50" t="s">
        <v>1165</v>
      </c>
    </row>
    <row r="51" spans="1:11" x14ac:dyDescent="0.3">
      <c r="A51" t="s">
        <v>1354</v>
      </c>
      <c r="B51" t="s">
        <v>1355</v>
      </c>
      <c r="C51" s="2" t="str">
        <f t="shared" si="3"/>
        <v>DF40C-40DS</v>
      </c>
      <c r="D51" t="str">
        <f t="shared" si="4"/>
        <v>Schematic\Connectors\Conn_40pin_double.SchLib</v>
      </c>
      <c r="E51" t="s">
        <v>1349</v>
      </c>
      <c r="F51" t="str">
        <f t="shared" si="5"/>
        <v>Footprints\Connectors\DF40C-40DS.PcbLib</v>
      </c>
      <c r="G51" t="s">
        <v>1354</v>
      </c>
      <c r="K51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2025-08-11T14:05:25Z</dcterms:modified>
</cp:coreProperties>
</file>