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ЭтаКнига"/>
  <xr:revisionPtr revIDLastSave="0" documentId="13_ncr:1_{D681ACBD-9905-41CD-9EAF-A04D9DFEAC1B}" xr6:coauthVersionLast="47" xr6:coauthVersionMax="47" xr10:uidLastSave="{00000000-0000-0000-0000-000000000000}"/>
  <bookViews>
    <workbookView xWindow="-108" yWindow="-108" windowWidth="23256" windowHeight="12576" firstSheet="7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J6" i="5" l="1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B10" i="10"/>
  <c r="P10" i="10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H10" i="4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<sst xmlns="http://schemas.openxmlformats.org/spreadsheetml/2006/main" count="2625" uniqueCount="1057">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</sst>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</cellXfs>
  <cellStyles count="1">
    <cellStyle name="Обычный" xfId="0" builtinId="0"/>
  </cellStyles>
  <dxfs count="96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1" tableType="xml" totalsRowShown="0" headerRowDxfId="95" connectionId="6">
  <autoFilter ref="A1:K31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4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3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92">
      <xmlColumnPr mapId="30" xpath="/Schottky/Part/VoltageNominal_V" xmlDataType="string"/>
    </tableColumn>
    <tableColumn id="9" xr3:uid="{431126AD-34DC-40A1-9CB6-D627B7878BEA}" uniqueName="Current_A" name="Current (A)" dataDxfId="91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7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90" connectionId="16">
  <autoFilter ref="A1:K8" xr:uid="{35EAFB53-5120-48E8-B7CF-F527619EF3EB}"/>
  <tableColumns count="11">
    <tableColumn id="1" xr3:uid="{8FF51BCB-1CBC-41C4-B0E3-6994AEB249EF}" uniqueName="PartNumber" name="Part Number" dataDxfId="89">
      <xmlColumnPr mapId="6" xpath="/TVS/Part/PartNumber" xmlDataType="string"/>
    </tableColumn>
    <tableColumn id="2" xr3:uid="{254709FF-71DC-4C18-A11E-3F482A74905F}" uniqueName="Description" name="Description" dataDxfId="88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7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6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5">
      <xmlColumnPr mapId="6" xpath="/TVS/Part/LibraryRef" xmlDataType="string"/>
    </tableColumn>
    <tableColumn id="6" xr3:uid="{C5C7E783-B9B8-469C-B255-FC24F12E71DC}" uniqueName="FootprintPath1" name="Footprint Path 1" dataDxfId="84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3">
      <xmlColumnPr mapId="6" xpath="/TVS/Part/FootprintRef1" xmlDataType="string"/>
    </tableColumn>
    <tableColumn id="8" xr3:uid="{16B3AEE3-BEA7-4870-9494-F8A0EC5E9CCD}" uniqueName="VoltageNominal" name="Voltage nominal (V)" dataDxfId="82">
      <xmlColumnPr mapId="6" xpath="/TVS/Part/VoltageNominal" xmlDataType="string"/>
    </tableColumn>
    <tableColumn id="9" xr3:uid="{7DDE345A-D145-4A55-B781-91F88095B1FE}" uniqueName="Power" name="Power (W)" dataDxfId="81">
      <xmlColumnPr mapId="6" xpath="/TVS/Part/Power" xmlDataType="string"/>
    </tableColumn>
    <tableColumn id="10" xr3:uid="{EBB777BC-3BC6-4EF4-AC63-F94C7CFCFC0E}" uniqueName="Value" name="Value" dataDxfId="8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9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8" connectionId="15">
  <autoFilter ref="A1:K10" xr:uid="{11DAD5D3-6841-4BFD-8583-65DE6E00D680}"/>
  <tableColumns count="11">
    <tableColumn id="1" xr3:uid="{59488B22-9EFD-4960-9418-72616CC8F6CC}" uniqueName="PartNumber" name="Part Number" dataDxfId="77">
      <xmlColumnPr mapId="8" xpath="/Transistors/Part/PartNumber" xmlDataType="string"/>
    </tableColumn>
    <tableColumn id="2" xr3:uid="{B6051881-2BC5-4D5F-9AEE-A86DF4412A4C}" uniqueName="Description" name="Description" dataDxfId="76">
      <xmlColumnPr mapId="8" xpath="/Transistors/Part/Description" xmlDataType="string"/>
    </tableColumn>
    <tableColumn id="3" xr3:uid="{377CEA9C-B3A1-4F57-920A-BA1AC9164370}" uniqueName="Comment" name="Comment" dataDxfId="7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4">
      <xmlColumnPr mapId="8" xpath="/Transistors/Part/LibraryPath" xmlDataType="string"/>
    </tableColumn>
    <tableColumn id="5" xr3:uid="{02693066-D721-4B47-BEE5-D678B96A10FB}" uniqueName="LibraryRef" name="Library Ref" dataDxfId="7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71" dataDxfId="70" connectionId="13">
  <autoFilter ref="A1:K174" xr:uid="{02061886-A591-4FD8-8C5B-3D1D2DB1F417}"/>
  <tableColumns count="11">
    <tableColumn id="1" xr3:uid="{1DE1C76C-B7F9-47FB-9EB0-156A2D87FD9E}" uniqueName="PartNumber" name="Part Number" dataDxfId="69">
      <xmlColumnPr mapId="38" xpath="/Resistors/Part/PartNumber" xmlDataType="string"/>
    </tableColumn>
    <tableColumn id="2" xr3:uid="{64E60790-EB9B-4A0D-B52C-7CB5A6F82DE8}" uniqueName="Description" name="Description" dataDxfId="68">
      <xmlColumnPr mapId="38" xpath="/Resistors/Part/Description" xmlDataType="string"/>
    </tableColumn>
    <tableColumn id="3" xr3:uid="{497E7478-3EE2-4F8D-A572-C738B7321387}" uniqueName="Comment" name="Comment" dataDxfId="67">
      <xmlColumnPr mapId="38" xpath="/Resistors/Part/Comment" xmlDataType="string"/>
    </tableColumn>
    <tableColumn id="4" xr3:uid="{255B034D-70D9-458C-8FA7-FEB8317A497F}" uniqueName="LibraryPath" name="Library Path" dataDxfId="66">
      <xmlColumnPr mapId="38" xpath="/Resistors/Part/LibraryPath" xmlDataType="string"/>
    </tableColumn>
    <tableColumn id="5" xr3:uid="{A3865419-9EA5-4AAA-B07F-FF52D437DC02}" uniqueName="LibraryRef" name="Library Ref" dataDxfId="65">
      <xmlColumnPr mapId="38" xpath="/Resistors/Part/LibraryRef" xmlDataType="string"/>
    </tableColumn>
    <tableColumn id="6" xr3:uid="{CE64E0F7-2F9E-477F-8D1B-040D90CB5685}" uniqueName="Value" name="Value" dataDxfId="64">
      <xmlColumnPr mapId="38" xpath="/Resistors/Part/Value" xmlDataType="string"/>
    </tableColumn>
    <tableColumn id="7" xr3:uid="{41F7703B-5A2D-47F6-B9C9-B9D386FC3CF8}" uniqueName="Tolerance" name="Tolerance" dataDxfId="63">
      <xmlColumnPr mapId="38" xpath="/Resistors/Part/Tolerance" xmlDataType="double"/>
    </tableColumn>
    <tableColumn id="8" xr3:uid="{429E7452-DB30-417B-B5E7-8F2AA238A5A4}" uniqueName="FootprintPath1" name="Footprint Path 1" dataDxfId="62">
      <xmlColumnPr mapId="38" xpath="/Resistors/Part/FootprintPath1" xmlDataType="string"/>
    </tableColumn>
    <tableColumn id="9" xr3:uid="{298A4272-57F5-45C2-AFCD-965909B2DD40}" uniqueName="FootprintRef1" name="Footprint Ref 1" dataDxfId="61">
      <xmlColumnPr mapId="38" xpath="/Resistors/Part/FootprintRef1" xmlDataType="string"/>
    </tableColumn>
    <tableColumn id="10" xr3:uid="{0DFE9A6B-806A-476A-90DD-58A133FB25CD}" uniqueName="10" name="Footprint Path 2" dataDxfId="60"/>
    <tableColumn id="11" xr3:uid="{5972F9B7-4E29-40F8-85A0-ADFB6C3B63D0}" uniqueName="11" name="Footprint Ref 2" dataDxfId="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8" dataDxfId="57" connectionId="1">
  <autoFilter ref="A1:T3" xr:uid="{1041C5C1-00FD-47DC-8B7C-9DEBE212D9D4}"/>
  <tableColumns count="20">
    <tableColumn id="1" xr3:uid="{55BDD111-6381-449E-BF2B-3FEC8107762D}" uniqueName="PartNumber" name="Part Number" dataDxfId="56">
      <xmlColumnPr mapId="18" xpath="/Capacitors/Part/PartNumber" xmlDataType="string"/>
    </tableColumn>
    <tableColumn id="2" xr3:uid="{0D3E1F2C-B0CC-4A36-A41B-2F2DAEC98E3B}" uniqueName="Description" name="Description" dataDxfId="55">
      <xmlColumnPr mapId="18" xpath="/Capacitors/Part/Description" xmlDataType="string"/>
    </tableColumn>
    <tableColumn id="3" xr3:uid="{16739D52-8082-4E8D-B1E1-B82F60766E2A}" uniqueName="Comment" name="Comment" dataDxfId="54">
      <xmlColumnPr mapId="18" xpath="/Capacitors/Part/Comment" xmlDataType="string"/>
    </tableColumn>
    <tableColumn id="4" xr3:uid="{AC1F3F2E-0C78-451D-9178-0A9D15C49726}" uniqueName="LibraryPath" name="Library Path" dataDxfId="53">
      <xmlColumnPr mapId="18" xpath="/Capacitors/Part/LibraryPath" xmlDataType="string"/>
    </tableColumn>
    <tableColumn id="5" xr3:uid="{9169ABA3-E41E-40E0-B785-3D3B749D70BB}" uniqueName="LibraryRef" name="Library Ref" dataDxfId="52">
      <xmlColumnPr mapId="18" xpath="/Capacitors/Part/LibraryRef" xmlDataType="string"/>
    </tableColumn>
    <tableColumn id="6" xr3:uid="{01EADD2D-36E6-41EE-B894-B537CCE6649E}" uniqueName="Value" name="Value" dataDxfId="51">
      <xmlColumnPr mapId="18" xpath="/Capacitors/Part/Value" xmlDataType="string"/>
    </tableColumn>
    <tableColumn id="7" xr3:uid="{EC779EF2-47DD-4E8F-A8D2-159E83C79180}" uniqueName="FootprintPath1" name="Footprint Path 1" dataDxfId="50">
      <xmlColumnPr mapId="18" xpath="/Capacitors/Part/FootprintPath1" xmlDataType="string"/>
    </tableColumn>
    <tableColumn id="8" xr3:uid="{C244A49A-3E6F-4B22-983D-FFA97DB3DFF6}" uniqueName="FootprintRef1" name="Footprint Ref 1" dataDxfId="49">
      <xmlColumnPr mapId="18" xpath="/Capacitors/Part/FootprintRef1" xmlDataType="string"/>
    </tableColumn>
    <tableColumn id="9" xr3:uid="{85136BD9-A68F-40E0-9A6F-E71ECA929F04}" uniqueName="FootprintPath2" name="Footprint Path 2" dataDxfId="48">
      <xmlColumnPr mapId="18" xpath="/Capacitors/Part/FootprintPath2" xmlDataType="string"/>
    </tableColumn>
    <tableColumn id="10" xr3:uid="{9FB3A5B2-04CB-44F8-A289-C2FB25F43941}" uniqueName="FootprintRef2" name="Footprint Ref 2" dataDxfId="47">
      <xmlColumnPr mapId="18" xpath="/Capacitors/Part/FootprintRef2" xmlDataType="string"/>
    </tableColumn>
    <tableColumn id="11" xr3:uid="{50FA7750-FC9E-444C-8D52-C6B51BBD63C1}" uniqueName="FootprintPath3" name="Footprint Path 3" dataDxfId="46">
      <xmlColumnPr mapId="18" xpath="/Capacitors/Part/FootprintPath3" xmlDataType="string"/>
    </tableColumn>
    <tableColumn id="12" xr3:uid="{CB4B7F73-4E19-42EF-9940-4C2907529981}" uniqueName="FootprintRef3" name="Footprint Ref 3" dataDxfId="45">
      <xmlColumnPr mapId="18" xpath="/Capacitors/Part/FootprintRef3" xmlDataType="string"/>
    </tableColumn>
    <tableColumn id="13" xr3:uid="{6B23463C-82AA-426D-ACBC-49A19C1D46FA}" uniqueName="FootprintPath4" name="Footprint Path 4" dataDxfId="44">
      <xmlColumnPr mapId="18" xpath="/Capacitors/Part/FootprintPath4" xmlDataType="string"/>
    </tableColumn>
    <tableColumn id="14" xr3:uid="{AD691620-AB1F-42E2-B1E4-053F5C2B80E9}" uniqueName="FootprintRef4" name="Footprint Ref 4" dataDxfId="43">
      <xmlColumnPr mapId="18" xpath="/Capacitors/Part/FootprintRef4" xmlDataType="string"/>
    </tableColumn>
    <tableColumn id="15" xr3:uid="{FD0F620C-73A8-49FB-B6E9-F06F81ED3185}" uniqueName="FootprintPath5" name="Footprint Path 5" dataDxfId="42">
      <xmlColumnPr mapId="18" xpath="/Capacitors/Part/FootprintPath5" xmlDataType="string"/>
    </tableColumn>
    <tableColumn id="16" xr3:uid="{F3B1D3FD-D16A-41B6-BA7D-FAFB3CCAEEC4}" uniqueName="FootprintRef5" name="Footprint Ref 5" dataDxfId="41">
      <xmlColumnPr mapId="18" xpath="/Capacitors/Part/FootprintRef5" xmlDataType="string"/>
    </tableColumn>
    <tableColumn id="17" xr3:uid="{130B1CD3-35EC-447E-93DF-ED8F8DC7A59A}" uniqueName="FootprintPath6" name="Footprint Path 6" dataDxfId="40">
      <xmlColumnPr mapId="18" xpath="/Capacitors/Part/FootprintPath6" xmlDataType="string"/>
    </tableColumn>
    <tableColumn id="18" xr3:uid="{77AF5D99-AE0B-40E5-8972-14E04BB93BB4}" uniqueName="FootprintRef6" name="Footprint Ref 6" dataDxfId="39">
      <xmlColumnPr mapId="18" xpath="/Capacitors/Part/FootprintRef6" xmlDataType="string"/>
    </tableColumn>
    <tableColumn id="19" xr3:uid="{6809872D-01AC-4EF6-B33F-6B8DA2D054C9}" uniqueName="FootprintPath7" name="Footprint Path 7" dataDxfId="38">
      <xmlColumnPr mapId="18" xpath="/Capacitors/Part/FootprintPath7" xmlDataType="string"/>
    </tableColumn>
    <tableColumn id="20" xr3:uid="{352E5BAE-89D3-4F1C-AA92-CDC22EDD2B11}" uniqueName="FootprintRef7" name="Footprint Ref 7" dataDxfId="3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6" headerRowBorderDxfId="35" tableBorderDxfId="34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3" headerRowBorderDxfId="32" tableBorderDxfId="31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0" tableType="xml" totalsRowShown="0" headerRowDxfId="30" connectionId="9">
  <autoFilter ref="A1:P10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2"/>
  <sheetViews>
    <sheetView topLeftCell="E1" zoomScaleNormal="100" workbookViewId="0">
      <selection activeCell="O5" sqref="O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979</v>
      </c>
      <c r="I8" t="s">
        <v>978</v>
      </c>
      <c r="J8" t="s">
        <v>979</v>
      </c>
      <c r="K8" t="s">
        <v>1047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9" x14ac:dyDescent="0.3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9" x14ac:dyDescent="0.3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9" x14ac:dyDescent="0.3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9" x14ac:dyDescent="0.3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9" x14ac:dyDescent="0.3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9" x14ac:dyDescent="0.3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9" x14ac:dyDescent="0.3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9" x14ac:dyDescent="0.3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9" x14ac:dyDescent="0.3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9" x14ac:dyDescent="0.3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974</v>
      </c>
      <c r="B28" t="s">
        <v>975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977</v>
      </c>
      <c r="G28" t="s">
        <v>976</v>
      </c>
      <c r="H28" t="s">
        <v>977</v>
      </c>
      <c r="I28" t="s">
        <v>1046</v>
      </c>
    </row>
    <row r="29" spans="1:9" x14ac:dyDescent="0.3">
      <c r="A29" t="s">
        <v>1030</v>
      </c>
      <c r="B29" t="s">
        <v>1031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1030</v>
      </c>
    </row>
    <row r="30" spans="1:9" x14ac:dyDescent="0.3">
      <c r="A30" t="s">
        <v>1032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1032</v>
      </c>
    </row>
    <row r="31" spans="1:9" x14ac:dyDescent="0.3">
      <c r="A31" t="s">
        <v>1033</v>
      </c>
      <c r="C31" s="2" t="str">
        <f>A31</f>
        <v>LTC4418</v>
      </c>
      <c r="D31" t="str">
        <f>CONCATENATE("Schematic\",A31,".SchLib")</f>
        <v>Schematic\LTC4418.SchLib</v>
      </c>
      <c r="E31" t="str">
        <f>A31</f>
        <v>LTC4418</v>
      </c>
      <c r="F31" t="str">
        <f>CONCATENATE("Footprints\",G31,".PcbLib")</f>
        <v>Footprints\QFN50.PcbLib</v>
      </c>
      <c r="G31" t="s">
        <v>1034</v>
      </c>
    </row>
    <row r="32" spans="1:9" x14ac:dyDescent="0.3">
      <c r="C32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2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393</v>
      </c>
      <c r="I3" s="16">
        <v>3</v>
      </c>
    </row>
    <row r="4" spans="1:9" x14ac:dyDescent="0.3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">
      <c r="A7" t="s">
        <v>959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960</v>
      </c>
    </row>
    <row r="8" spans="1:9" x14ac:dyDescent="0.3">
      <c r="A8" t="s">
        <v>1035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1038</v>
      </c>
      <c r="E8" t="s">
        <v>1035</v>
      </c>
      <c r="F8" t="str">
        <f>CONCATENATE("Footprints\",G8,".PcbLib")</f>
        <v>Footprints\SOT23.PcbLib</v>
      </c>
      <c r="G8" t="s">
        <v>1036</v>
      </c>
      <c r="H8" s="16">
        <v>70</v>
      </c>
      <c r="I8" s="16" t="s">
        <v>1037</v>
      </c>
    </row>
    <row r="9" spans="1:9" x14ac:dyDescent="0.3">
      <c r="A9" t="s">
        <v>1048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">
      <c r="A10" t="s">
        <v>1049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">
      <c r="A11" t="s">
        <v>1053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.05" customHeight="1" x14ac:dyDescent="0.3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3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3">
      <c r="H4" s="2"/>
      <c r="I4" s="2"/>
      <c r="J4" s="2"/>
      <c r="K4" s="2"/>
    </row>
    <row r="5" spans="1:11" x14ac:dyDescent="0.3">
      <c r="H5" s="2"/>
      <c r="I5" s="2"/>
      <c r="J5" s="2"/>
      <c r="K5" s="2"/>
    </row>
    <row r="6" spans="1:11" x14ac:dyDescent="0.3">
      <c r="H6" s="2"/>
      <c r="I6" s="2"/>
      <c r="J6" s="2"/>
      <c r="K6" s="2"/>
    </row>
    <row r="7" spans="1:11" x14ac:dyDescent="0.3">
      <c r="H7" s="2"/>
      <c r="I7" s="2"/>
      <c r="J7" s="2"/>
      <c r="K7" s="2"/>
    </row>
    <row r="8" spans="1:11" x14ac:dyDescent="0.3">
      <c r="H8" s="2"/>
      <c r="I8" s="2"/>
      <c r="J8" s="2"/>
      <c r="K8" s="2"/>
    </row>
    <row r="9" spans="1:11" x14ac:dyDescent="0.3">
      <c r="H9" s="2"/>
      <c r="I9" s="2"/>
      <c r="J9" s="2"/>
      <c r="K9" s="2"/>
    </row>
    <row r="10" spans="1:11" x14ac:dyDescent="0.3">
      <c r="H10" s="2"/>
      <c r="I10" s="2"/>
      <c r="J10" s="2"/>
      <c r="K10" s="2"/>
    </row>
    <row r="11" spans="1:11" x14ac:dyDescent="0.3">
      <c r="H11" s="2"/>
      <c r="I11" s="2"/>
      <c r="J11" s="2"/>
      <c r="K11" s="2"/>
    </row>
    <row r="12" spans="1:11" x14ac:dyDescent="0.3">
      <c r="H12" s="2"/>
      <c r="I12" s="2"/>
      <c r="J12" s="2"/>
      <c r="K12" s="2"/>
    </row>
    <row r="13" spans="1:11" x14ac:dyDescent="0.3">
      <c r="H13" s="2"/>
      <c r="I13" s="2"/>
      <c r="J13" s="2"/>
      <c r="K13" s="2"/>
    </row>
    <row r="14" spans="1:11" x14ac:dyDescent="0.3">
      <c r="H14" s="2"/>
      <c r="I14" s="2"/>
      <c r="J14" s="2"/>
      <c r="K14" s="2"/>
    </row>
    <row r="15" spans="1:11" x14ac:dyDescent="0.3">
      <c r="H15" s="2"/>
      <c r="I15" s="2"/>
      <c r="J15" s="2"/>
      <c r="K15" s="2"/>
    </row>
    <row r="16" spans="1:11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4" x14ac:dyDescent="0.3"/>
  <cols>
    <col min="1" max="1" width="20.44140625" customWidth="1"/>
    <col min="2" max="2" width="24.777343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4" x14ac:dyDescent="0.3"/>
  <cols>
    <col min="1" max="1" width="14.77734375" customWidth="1"/>
    <col min="2" max="2" width="22" bestFit="1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6" x14ac:dyDescent="0.3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6" x14ac:dyDescent="0.3">
      <c r="A10" s="1" t="s">
        <v>970</v>
      </c>
      <c r="B10" s="1" t="s">
        <v>973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971</v>
      </c>
      <c r="K10" t="s">
        <v>972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31.21875" customWidth="1"/>
    <col min="11" max="11" width="18.21875" customWidth="1"/>
    <col min="12" max="12" width="16.777343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6" x14ac:dyDescent="0.3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6" x14ac:dyDescent="0.3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6" x14ac:dyDescent="0.3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6" x14ac:dyDescent="0.3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6" x14ac:dyDescent="0.3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6" x14ac:dyDescent="0.3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6" x14ac:dyDescent="0.3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6" x14ac:dyDescent="0.3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6" x14ac:dyDescent="0.3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6" x14ac:dyDescent="0.3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6" x14ac:dyDescent="0.3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6" x14ac:dyDescent="0.3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6" x14ac:dyDescent="0.3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6" x14ac:dyDescent="0.3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6" x14ac:dyDescent="0.3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6" x14ac:dyDescent="0.3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6" x14ac:dyDescent="0.3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6" x14ac:dyDescent="0.3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6" x14ac:dyDescent="0.3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6" x14ac:dyDescent="0.3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6" x14ac:dyDescent="0.3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6" x14ac:dyDescent="0.3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6" x14ac:dyDescent="0.3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6" x14ac:dyDescent="0.3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6" x14ac:dyDescent="0.3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6" x14ac:dyDescent="0.3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6" x14ac:dyDescent="0.3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6" x14ac:dyDescent="0.3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6" x14ac:dyDescent="0.3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6" x14ac:dyDescent="0.3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6" x14ac:dyDescent="0.3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6" x14ac:dyDescent="0.3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6" x14ac:dyDescent="0.3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6" x14ac:dyDescent="0.3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6" x14ac:dyDescent="0.3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6" x14ac:dyDescent="0.3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6" x14ac:dyDescent="0.3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6" x14ac:dyDescent="0.3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6" x14ac:dyDescent="0.3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6" x14ac:dyDescent="0.3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6" x14ac:dyDescent="0.3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6" x14ac:dyDescent="0.3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6" x14ac:dyDescent="0.3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6" x14ac:dyDescent="0.3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6" x14ac:dyDescent="0.3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6" x14ac:dyDescent="0.3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6" x14ac:dyDescent="0.3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6" x14ac:dyDescent="0.3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6" x14ac:dyDescent="0.3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6" x14ac:dyDescent="0.3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6" x14ac:dyDescent="0.3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6" x14ac:dyDescent="0.3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6" x14ac:dyDescent="0.3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6" x14ac:dyDescent="0.3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6" x14ac:dyDescent="0.3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6" x14ac:dyDescent="0.3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6" x14ac:dyDescent="0.3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6" x14ac:dyDescent="0.3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6" x14ac:dyDescent="0.3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6" x14ac:dyDescent="0.3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6" x14ac:dyDescent="0.3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6" x14ac:dyDescent="0.3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6" x14ac:dyDescent="0.3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6" x14ac:dyDescent="0.3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6" x14ac:dyDescent="0.3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6" x14ac:dyDescent="0.3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6" x14ac:dyDescent="0.3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6" x14ac:dyDescent="0.3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6" x14ac:dyDescent="0.3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6" x14ac:dyDescent="0.3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6" x14ac:dyDescent="0.3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6" x14ac:dyDescent="0.3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6" x14ac:dyDescent="0.3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6" x14ac:dyDescent="0.3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6" x14ac:dyDescent="0.3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6" x14ac:dyDescent="0.3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6" x14ac:dyDescent="0.3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6" x14ac:dyDescent="0.3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6" x14ac:dyDescent="0.3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6" x14ac:dyDescent="0.3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6" x14ac:dyDescent="0.3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6" x14ac:dyDescent="0.3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6" x14ac:dyDescent="0.3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6" x14ac:dyDescent="0.3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6" x14ac:dyDescent="0.3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6" x14ac:dyDescent="0.3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6" x14ac:dyDescent="0.3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6" x14ac:dyDescent="0.3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6" x14ac:dyDescent="0.3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6" x14ac:dyDescent="0.3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6" x14ac:dyDescent="0.3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6" x14ac:dyDescent="0.3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6" x14ac:dyDescent="0.3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6" x14ac:dyDescent="0.3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6" x14ac:dyDescent="0.3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6" x14ac:dyDescent="0.3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6" x14ac:dyDescent="0.3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6" x14ac:dyDescent="0.3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6" x14ac:dyDescent="0.3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6" x14ac:dyDescent="0.3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6" x14ac:dyDescent="0.3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6" x14ac:dyDescent="0.3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6" x14ac:dyDescent="0.3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6" x14ac:dyDescent="0.3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6" x14ac:dyDescent="0.3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6" x14ac:dyDescent="0.3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6" x14ac:dyDescent="0.3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6" x14ac:dyDescent="0.3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6" x14ac:dyDescent="0.3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6" x14ac:dyDescent="0.3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6" x14ac:dyDescent="0.3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6" x14ac:dyDescent="0.3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6" x14ac:dyDescent="0.3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6" x14ac:dyDescent="0.3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6" x14ac:dyDescent="0.3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6" x14ac:dyDescent="0.3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6" x14ac:dyDescent="0.3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6" x14ac:dyDescent="0.3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6" x14ac:dyDescent="0.3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6" x14ac:dyDescent="0.3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6" x14ac:dyDescent="0.3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6" x14ac:dyDescent="0.3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6" x14ac:dyDescent="0.3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6" x14ac:dyDescent="0.3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6" x14ac:dyDescent="0.3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6" x14ac:dyDescent="0.3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6" x14ac:dyDescent="0.3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6" x14ac:dyDescent="0.3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6" x14ac:dyDescent="0.3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6" x14ac:dyDescent="0.3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6" x14ac:dyDescent="0.3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6" x14ac:dyDescent="0.3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6" x14ac:dyDescent="0.3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6" x14ac:dyDescent="0.3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6" x14ac:dyDescent="0.3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6" x14ac:dyDescent="0.3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6" x14ac:dyDescent="0.3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6" x14ac:dyDescent="0.3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6" x14ac:dyDescent="0.3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6" x14ac:dyDescent="0.3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6" x14ac:dyDescent="0.3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6" x14ac:dyDescent="0.3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6" x14ac:dyDescent="0.3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6" x14ac:dyDescent="0.3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6" x14ac:dyDescent="0.3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6" x14ac:dyDescent="0.3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6" x14ac:dyDescent="0.3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6" x14ac:dyDescent="0.3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6" x14ac:dyDescent="0.3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6" x14ac:dyDescent="0.3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6" x14ac:dyDescent="0.3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6" x14ac:dyDescent="0.3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6" x14ac:dyDescent="0.3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6" x14ac:dyDescent="0.3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6" x14ac:dyDescent="0.3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6" x14ac:dyDescent="0.3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6" x14ac:dyDescent="0.3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6" x14ac:dyDescent="0.3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6" x14ac:dyDescent="0.3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6" x14ac:dyDescent="0.3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6" x14ac:dyDescent="0.3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6" x14ac:dyDescent="0.3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6" x14ac:dyDescent="0.3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6" x14ac:dyDescent="0.3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6" x14ac:dyDescent="0.3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6" x14ac:dyDescent="0.3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6" x14ac:dyDescent="0.3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6" x14ac:dyDescent="0.3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6" x14ac:dyDescent="0.3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6" x14ac:dyDescent="0.3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6" x14ac:dyDescent="0.3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6" x14ac:dyDescent="0.3">
      <c r="A173" s="15" t="s">
        <v>961</v>
      </c>
      <c r="B173" s="1" t="s">
        <v>962</v>
      </c>
      <c r="C173" s="1" t="s">
        <v>961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6" x14ac:dyDescent="0.3">
      <c r="A174" s="15" t="s">
        <v>965</v>
      </c>
      <c r="B174" s="1" t="s">
        <v>966</v>
      </c>
      <c r="C174" s="1" t="s">
        <v>965</v>
      </c>
      <c r="D174" s="3" t="s">
        <v>897</v>
      </c>
      <c r="E174" s="1" t="s">
        <v>896</v>
      </c>
      <c r="F174" s="1" t="s">
        <v>967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10" workbookViewId="0">
      <selection activeCell="I44" sqref="I44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21875" bestFit="1" customWidth="1"/>
    <col min="4" max="4" width="23.77734375" bestFit="1" customWidth="1"/>
    <col min="5" max="5" width="13" bestFit="1" customWidth="1"/>
    <col min="6" max="6" width="8.21875" bestFit="1" customWidth="1"/>
    <col min="7" max="7" width="12.21875" bestFit="1" customWidth="1"/>
    <col min="8" max="8" width="13" bestFit="1" customWidth="1"/>
    <col min="9" max="9" width="11.5546875" bestFit="1" customWidth="1"/>
    <col min="10" max="10" width="31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3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3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3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3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3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3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3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3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3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3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3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3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3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3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3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3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3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3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3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3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3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3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3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3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3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3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3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3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3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3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3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3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3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3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3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3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3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3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3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3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3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3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3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3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3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3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3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3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3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3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3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3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3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3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3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3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3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3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3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3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968</v>
      </c>
      <c r="N21" t="s">
        <v>969</v>
      </c>
    </row>
    <row r="22" spans="1:14" x14ac:dyDescent="0.3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0"/>
  <sheetViews>
    <sheetView zoomScaleNormal="100" workbookViewId="0">
      <selection activeCell="G10" sqref="G10"/>
    </sheetView>
  </sheetViews>
  <sheetFormatPr defaultRowHeight="14.4" x14ac:dyDescent="0.3"/>
  <cols>
    <col min="1" max="1" width="14.77734375" customWidth="1"/>
    <col min="2" max="2" width="22.21875" customWidth="1"/>
    <col min="3" max="3" width="12" customWidth="1"/>
    <col min="4" max="4" width="14.21875" customWidth="1"/>
    <col min="5" max="5" width="12.77734375" customWidth="1"/>
    <col min="6" max="6" width="31.4414062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">
        <v>4.7</v>
      </c>
      <c r="O5" s="2">
        <v>5.5</v>
      </c>
      <c r="P5" t="str">
        <f t="shared" si="2"/>
        <v>4,7 мк</v>
      </c>
    </row>
    <row r="6" spans="1:16" x14ac:dyDescent="0.3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">
        <v>22</v>
      </c>
      <c r="O6" s="2">
        <v>5</v>
      </c>
      <c r="P6" t="str">
        <f t="shared" si="2"/>
        <v>22 мк</v>
      </c>
    </row>
    <row r="7" spans="1:16" x14ac:dyDescent="0.3">
      <c r="A7" t="s">
        <v>957</v>
      </c>
      <c r="B7" t="s">
        <v>1042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958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">
        <v>22</v>
      </c>
      <c r="O7" s="2" t="s">
        <v>1050</v>
      </c>
      <c r="P7" t="str">
        <f t="shared" si="2"/>
        <v>22 мк</v>
      </c>
    </row>
    <row r="8" spans="1:16" x14ac:dyDescent="0.3">
      <c r="A8" t="s">
        <v>1043</v>
      </c>
      <c r="B8" t="s">
        <v>1041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1039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" t="s">
        <v>1040</v>
      </c>
      <c r="O8" s="2">
        <v>15</v>
      </c>
      <c r="P8" t="str">
        <f t="shared" si="2"/>
        <v>0.33 мк</v>
      </c>
    </row>
    <row r="9" spans="1:16" x14ac:dyDescent="0.3">
      <c r="A9" t="s">
        <v>1051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1052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">
        <v>68</v>
      </c>
      <c r="O9" s="2">
        <v>2.65</v>
      </c>
      <c r="P9" s="2" t="str">
        <f t="shared" si="2"/>
        <v>68 мк</v>
      </c>
    </row>
    <row r="10" spans="1:16" x14ac:dyDescent="0.3">
      <c r="A10" t="s">
        <v>1054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1055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>
        <v>12</v>
      </c>
      <c r="O10">
        <v>1.05</v>
      </c>
      <c r="P10" s="2" t="str">
        <f t="shared" si="2"/>
        <v>12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tabSelected="1" workbookViewId="0">
      <selection activeCell="J11" sqref="J11"/>
    </sheetView>
  </sheetViews>
  <sheetFormatPr defaultRowHeight="14.4" x14ac:dyDescent="0.3"/>
  <cols>
    <col min="1" max="1" width="14.77734375" customWidth="1"/>
    <col min="2" max="2" width="15.77734375" customWidth="1"/>
    <col min="3" max="3" width="12.5546875" customWidth="1"/>
    <col min="4" max="4" width="19.664062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3320312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375</v>
      </c>
      <c r="B6" s="2" t="s">
        <v>377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376</v>
      </c>
      <c r="H6" s="2" t="str">
        <f t="shared" si="0"/>
        <v>Footprints\1206SB.PcbLib</v>
      </c>
      <c r="I6" s="2" t="s">
        <v>1005</v>
      </c>
      <c r="J6" s="2" t="str">
        <f t="shared" ref="J6" si="1">CONCATENATE("Footprints\",K6,".PcbLib")</f>
        <v>Footprints\0805SB_wide_gap.PcbLib</v>
      </c>
      <c r="K6" s="2" t="s">
        <v>1056</v>
      </c>
    </row>
    <row r="7" spans="1:20" x14ac:dyDescent="0.3">
      <c r="A7" s="2" t="s">
        <v>882</v>
      </c>
      <c r="B7" s="2" t="s">
        <v>883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884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906</v>
      </c>
      <c r="B8" s="2" t="s">
        <v>905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884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918</v>
      </c>
      <c r="B9" s="2" t="s">
        <v>916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917</v>
      </c>
      <c r="F9" s="2" t="str">
        <f t="shared" si="0"/>
        <v>Footprints\fuse_20x5_on_clips_FC-M.PcbLib</v>
      </c>
      <c r="G9" s="2" t="s">
        <v>915</v>
      </c>
      <c r="H9" s="2"/>
      <c r="I9" s="2"/>
      <c r="J9" s="2"/>
      <c r="K9" s="2"/>
    </row>
    <row r="10" spans="1:20" x14ac:dyDescent="0.3">
      <c r="A10" s="2" t="s">
        <v>963</v>
      </c>
      <c r="B10" s="2" t="s">
        <v>964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963</v>
      </c>
      <c r="H10" s="2"/>
      <c r="I10" s="2"/>
      <c r="J10" s="2"/>
      <c r="K10" s="2"/>
    </row>
    <row r="11" spans="1:20" x14ac:dyDescent="0.3">
      <c r="A11" s="2" t="s">
        <v>994</v>
      </c>
      <c r="B11" s="2" t="s">
        <v>995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994</v>
      </c>
      <c r="H11" s="2"/>
      <c r="I11" s="2"/>
      <c r="J11" s="2"/>
      <c r="K11" s="2"/>
    </row>
    <row r="12" spans="1:20" x14ac:dyDescent="0.3">
      <c r="A12" s="2" t="s">
        <v>1044</v>
      </c>
      <c r="B12" s="2" t="s">
        <v>1045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994</v>
      </c>
      <c r="F12" s="2" t="str">
        <f t="shared" ref="F12" si="4">CONCATENATE("Footprints\",G12,".PcbLib")</f>
        <v>Footprints\cooler3030.PcbLib</v>
      </c>
      <c r="G12" s="2" t="s">
        <v>1044</v>
      </c>
      <c r="H12" s="2"/>
      <c r="I12" s="2"/>
      <c r="J12" s="2"/>
      <c r="K12" s="2"/>
    </row>
    <row r="13" spans="1:20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4.4" x14ac:dyDescent="0.3"/>
  <cols>
    <col min="1" max="1" width="14.77734375" customWidth="1"/>
    <col min="2" max="2" width="13.5546875" customWidth="1"/>
    <col min="3" max="3" width="13.21875" customWidth="1"/>
    <col min="4" max="4" width="45.77734375" customWidth="1"/>
    <col min="5" max="5" width="17.21875" customWidth="1"/>
    <col min="6" max="6" width="44" customWidth="1"/>
    <col min="7" max="7" width="16.77734375" customWidth="1"/>
    <col min="8" max="8" width="44.44140625" customWidth="1"/>
    <col min="9" max="9" width="23.777343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3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3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3">
      <c r="A7" t="s">
        <v>1028</v>
      </c>
      <c r="B7" t="s">
        <v>120</v>
      </c>
      <c r="C7" s="2" t="s">
        <v>1028</v>
      </c>
      <c r="D7" t="s">
        <v>837</v>
      </c>
      <c r="E7" s="2" t="s">
        <v>835</v>
      </c>
      <c r="F7" t="s">
        <v>1029</v>
      </c>
      <c r="G7" t="s">
        <v>1028</v>
      </c>
    </row>
    <row r="8" spans="1:9" x14ac:dyDescent="0.3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3">
      <c r="A9" t="s">
        <v>337</v>
      </c>
      <c r="B9" t="s">
        <v>834</v>
      </c>
      <c r="C9" s="2" t="s">
        <v>337</v>
      </c>
      <c r="D9" t="s">
        <v>1027</v>
      </c>
      <c r="E9" t="s">
        <v>1026</v>
      </c>
      <c r="F9" t="s">
        <v>363</v>
      </c>
      <c r="G9" t="s">
        <v>337</v>
      </c>
    </row>
    <row r="10" spans="1:9" x14ac:dyDescent="0.3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3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3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3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3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3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3">
      <c r="A16" t="s">
        <v>980</v>
      </c>
      <c r="B16" t="s">
        <v>988</v>
      </c>
      <c r="C16" s="2" t="s">
        <v>981</v>
      </c>
      <c r="D16" t="s">
        <v>982</v>
      </c>
      <c r="E16" t="s">
        <v>980</v>
      </c>
      <c r="F16" t="s">
        <v>983</v>
      </c>
      <c r="G16" t="s">
        <v>980</v>
      </c>
    </row>
    <row r="17" spans="1:7" x14ac:dyDescent="0.3">
      <c r="A17" t="s">
        <v>984</v>
      </c>
      <c r="B17" t="s">
        <v>987</v>
      </c>
      <c r="C17" s="2" t="s">
        <v>985</v>
      </c>
      <c r="D17" t="s">
        <v>986</v>
      </c>
      <c r="E17" t="s">
        <v>984</v>
      </c>
      <c r="F17" t="s">
        <v>989</v>
      </c>
      <c r="G17" t="s">
        <v>990</v>
      </c>
    </row>
    <row r="18" spans="1:7" x14ac:dyDescent="0.3">
      <c r="A18" t="s">
        <v>991</v>
      </c>
      <c r="B18" t="s">
        <v>992</v>
      </c>
      <c r="C18" s="2" t="s">
        <v>991</v>
      </c>
      <c r="D18" t="s">
        <v>350</v>
      </c>
      <c r="E18" t="s">
        <v>113</v>
      </c>
      <c r="F18" t="s">
        <v>993</v>
      </c>
      <c r="G18" t="s">
        <v>991</v>
      </c>
    </row>
    <row r="19" spans="1:7" x14ac:dyDescent="0.3">
      <c r="A19" t="s">
        <v>996</v>
      </c>
      <c r="B19" t="s">
        <v>1000</v>
      </c>
      <c r="C19" s="2" t="s">
        <v>997</v>
      </c>
      <c r="D19" t="s">
        <v>998</v>
      </c>
      <c r="E19" t="s">
        <v>996</v>
      </c>
      <c r="F19" t="s">
        <v>999</v>
      </c>
      <c r="G19" t="s">
        <v>996</v>
      </c>
    </row>
    <row r="20" spans="1:7" x14ac:dyDescent="0.3">
      <c r="A20" t="s">
        <v>1003</v>
      </c>
      <c r="B20" t="s">
        <v>987</v>
      </c>
      <c r="C20" s="2" t="s">
        <v>1004</v>
      </c>
      <c r="D20" t="s">
        <v>986</v>
      </c>
      <c r="E20" t="s">
        <v>984</v>
      </c>
      <c r="F20" t="s">
        <v>1002</v>
      </c>
      <c r="G20" t="s">
        <v>1001</v>
      </c>
    </row>
    <row r="21" spans="1:7" x14ac:dyDescent="0.3">
      <c r="A21" t="s">
        <v>1006</v>
      </c>
      <c r="B21" t="s">
        <v>1010</v>
      </c>
      <c r="C21" s="2" t="s">
        <v>1006</v>
      </c>
      <c r="D21" t="s">
        <v>358</v>
      </c>
      <c r="E21" t="s">
        <v>119</v>
      </c>
      <c r="F21" t="s">
        <v>1007</v>
      </c>
      <c r="G21" t="s">
        <v>1006</v>
      </c>
    </row>
    <row r="22" spans="1:7" x14ac:dyDescent="0.3">
      <c r="A22" t="s">
        <v>1009</v>
      </c>
      <c r="B22" t="s">
        <v>1008</v>
      </c>
      <c r="C22" s="2" t="s">
        <v>1009</v>
      </c>
      <c r="D22" t="s">
        <v>354</v>
      </c>
      <c r="E22" t="s">
        <v>115</v>
      </c>
      <c r="F22" t="s">
        <v>1011</v>
      </c>
      <c r="G22" t="s">
        <v>1009</v>
      </c>
    </row>
    <row r="23" spans="1:7" x14ac:dyDescent="0.3">
      <c r="A23" t="s">
        <v>1012</v>
      </c>
      <c r="B23" t="s">
        <v>1013</v>
      </c>
      <c r="C23" s="2" t="s">
        <v>1012</v>
      </c>
      <c r="D23" t="s">
        <v>356</v>
      </c>
      <c r="E23" t="s">
        <v>116</v>
      </c>
      <c r="F23" t="s">
        <v>1014</v>
      </c>
      <c r="G23" t="s">
        <v>1012</v>
      </c>
    </row>
    <row r="24" spans="1:7" x14ac:dyDescent="0.3">
      <c r="A24" t="s">
        <v>1016</v>
      </c>
      <c r="B24" t="s">
        <v>1015</v>
      </c>
      <c r="C24" s="2" t="s">
        <v>1016</v>
      </c>
      <c r="D24" t="s">
        <v>358</v>
      </c>
      <c r="E24" t="s">
        <v>119</v>
      </c>
      <c r="F24" t="s">
        <v>1019</v>
      </c>
      <c r="G24" t="s">
        <v>1016</v>
      </c>
    </row>
    <row r="25" spans="1:7" x14ac:dyDescent="0.3">
      <c r="A25" t="s">
        <v>1022</v>
      </c>
      <c r="B25" t="s">
        <v>1025</v>
      </c>
      <c r="C25" s="2" t="s">
        <v>1022</v>
      </c>
      <c r="D25" t="s">
        <v>354</v>
      </c>
      <c r="E25" t="s">
        <v>115</v>
      </c>
      <c r="F25" t="s">
        <v>1020</v>
      </c>
      <c r="G25" t="s">
        <v>1022</v>
      </c>
    </row>
    <row r="26" spans="1:7" x14ac:dyDescent="0.3">
      <c r="A26" t="s">
        <v>1023</v>
      </c>
      <c r="B26" t="s">
        <v>1024</v>
      </c>
      <c r="C26" s="2" t="s">
        <v>1023</v>
      </c>
      <c r="D26" t="s">
        <v>1017</v>
      </c>
      <c r="E26" t="s">
        <v>1018</v>
      </c>
      <c r="F26" t="s">
        <v>1021</v>
      </c>
      <c r="G26" t="s">
        <v>1023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2025-02-27T07:46:28Z</dcterms:modified>
</cp:coreProperties>
</file>