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8707FA6F-BB22-4E75-8963-E53C4299181C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1" l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<sst xmlns="http://schemas.openxmlformats.org/spreadsheetml/2006/main" count="3313" uniqueCount="1368">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</sst>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3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abSelected="1" topLeftCell="C22" zoomScale="85" zoomScaleNormal="85" workbookViewId="0">
      <selection activeCell="F53" sqref="F53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5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5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5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5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5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5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5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5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5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5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5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5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5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5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5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5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5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5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5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5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5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5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5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1219</v>
      </c>
    </row>
    <row r="42" spans="1:12" x14ac:dyDescent="0.35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5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1311</v>
      </c>
    </row>
    <row r="44" spans="1:12" x14ac:dyDescent="0.35">
      <c r="A44" s="35" t="s">
        <v>1312</v>
      </c>
      <c r="B44" s="36" t="s">
        <v>1313</v>
      </c>
      <c r="C44" s="29" t="str">
        <f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5">
      <c r="A45" t="s">
        <v>1314</v>
      </c>
      <c r="B45" t="s">
        <v>1315</v>
      </c>
      <c r="C45" s="2" t="str">
        <f>A45</f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5">
      <c r="A46" s="37" t="s">
        <v>1316</v>
      </c>
      <c r="B46" s="38" t="s">
        <v>1317</v>
      </c>
      <c r="C46" s="39" t="str">
        <f>A46</f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5">
      <c r="A47" t="s">
        <v>1357</v>
      </c>
      <c r="B47" t="s">
        <v>1358</v>
      </c>
      <c r="C47" s="2" t="str">
        <f>A47</f>
        <v>RTL8367RB-VB-CG</v>
      </c>
      <c r="D47" t="str">
        <f>CONCATENATE("Schematic\",E47,".SchLib")</f>
        <v>Schematic\RTL8367RB.SchLib</v>
      </c>
      <c r="E47" t="s">
        <v>1360</v>
      </c>
      <c r="F47" t="str">
        <f t="shared" si="17"/>
        <v>Footprints\LQFP128_14x14_exposed_pad.PcbLib</v>
      </c>
      <c r="G47" t="s">
        <v>1359</v>
      </c>
      <c r="L47" t="s">
        <v>1361</v>
      </c>
    </row>
    <row r="48" spans="1:12" x14ac:dyDescent="0.35">
      <c r="A48" s="37" t="s">
        <v>1362</v>
      </c>
      <c r="B48" s="38" t="s">
        <v>1363</v>
      </c>
      <c r="C48" s="39" t="str">
        <f>A48</f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1364</v>
      </c>
    </row>
    <row r="49" spans="1:7" x14ac:dyDescent="0.35">
      <c r="A49" t="s">
        <v>1365</v>
      </c>
      <c r="B49" t="s">
        <v>1366</v>
      </c>
      <c r="C49" s="2" t="str">
        <f>A49</f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18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5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5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5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5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5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5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5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5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5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5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5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5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5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5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5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5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5" x14ac:dyDescent="0.35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5" x14ac:dyDescent="0.35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5" x14ac:dyDescent="0.35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5" x14ac:dyDescent="0.35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5" x14ac:dyDescent="0.35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5" x14ac:dyDescent="0.35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5" x14ac:dyDescent="0.35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5" x14ac:dyDescent="0.35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5" x14ac:dyDescent="0.35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5" x14ac:dyDescent="0.35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5" x14ac:dyDescent="0.35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5" x14ac:dyDescent="0.35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5" x14ac:dyDescent="0.35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5" x14ac:dyDescent="0.35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5" x14ac:dyDescent="0.35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5" x14ac:dyDescent="0.35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5" x14ac:dyDescent="0.35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5" x14ac:dyDescent="0.35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5" x14ac:dyDescent="0.35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5" x14ac:dyDescent="0.35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5" x14ac:dyDescent="0.35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5" x14ac:dyDescent="0.35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5" x14ac:dyDescent="0.35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5" x14ac:dyDescent="0.35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5" x14ac:dyDescent="0.35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5" x14ac:dyDescent="0.35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5" x14ac:dyDescent="0.35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5" x14ac:dyDescent="0.35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5" x14ac:dyDescent="0.35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5" x14ac:dyDescent="0.35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5" x14ac:dyDescent="0.35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5" x14ac:dyDescent="0.35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5" x14ac:dyDescent="0.35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5" x14ac:dyDescent="0.35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5" x14ac:dyDescent="0.35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5" x14ac:dyDescent="0.35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5" x14ac:dyDescent="0.35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5" x14ac:dyDescent="0.35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5" x14ac:dyDescent="0.35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5" x14ac:dyDescent="0.35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5" x14ac:dyDescent="0.35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5" x14ac:dyDescent="0.35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5" x14ac:dyDescent="0.35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5" x14ac:dyDescent="0.35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5" x14ac:dyDescent="0.35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5" x14ac:dyDescent="0.35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5" x14ac:dyDescent="0.35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5" x14ac:dyDescent="0.35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5" x14ac:dyDescent="0.35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5" x14ac:dyDescent="0.35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5" x14ac:dyDescent="0.35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5" x14ac:dyDescent="0.35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5" x14ac:dyDescent="0.35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5" x14ac:dyDescent="0.35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5" x14ac:dyDescent="0.35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5" x14ac:dyDescent="0.35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5" x14ac:dyDescent="0.35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5" x14ac:dyDescent="0.35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5" x14ac:dyDescent="0.35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5" x14ac:dyDescent="0.35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5" x14ac:dyDescent="0.35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5" x14ac:dyDescent="0.35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5" x14ac:dyDescent="0.35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5" x14ac:dyDescent="0.35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5" x14ac:dyDescent="0.35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5" x14ac:dyDescent="0.35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5" x14ac:dyDescent="0.35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5" x14ac:dyDescent="0.35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5" x14ac:dyDescent="0.35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5" x14ac:dyDescent="0.35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5" x14ac:dyDescent="0.35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5" x14ac:dyDescent="0.35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5" x14ac:dyDescent="0.35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5" x14ac:dyDescent="0.35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5" x14ac:dyDescent="0.35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5" x14ac:dyDescent="0.35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5" x14ac:dyDescent="0.35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5" x14ac:dyDescent="0.35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5" x14ac:dyDescent="0.35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5" x14ac:dyDescent="0.35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5" x14ac:dyDescent="0.35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5" x14ac:dyDescent="0.35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5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5" x14ac:dyDescent="0.35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5" x14ac:dyDescent="0.35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5" x14ac:dyDescent="0.35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5" x14ac:dyDescent="0.35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5" x14ac:dyDescent="0.35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5" x14ac:dyDescent="0.35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5" x14ac:dyDescent="0.35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5" x14ac:dyDescent="0.35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5" x14ac:dyDescent="0.35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5" x14ac:dyDescent="0.35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5" x14ac:dyDescent="0.35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5" x14ac:dyDescent="0.35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5" x14ac:dyDescent="0.35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5" x14ac:dyDescent="0.35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5" x14ac:dyDescent="0.35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5" x14ac:dyDescent="0.35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5" x14ac:dyDescent="0.35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5" x14ac:dyDescent="0.35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5" x14ac:dyDescent="0.35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5" x14ac:dyDescent="0.35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5" x14ac:dyDescent="0.35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5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5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5" x14ac:dyDescent="0.35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5" x14ac:dyDescent="0.35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5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5" x14ac:dyDescent="0.35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5" x14ac:dyDescent="0.35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5" x14ac:dyDescent="0.35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5" x14ac:dyDescent="0.35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5" x14ac:dyDescent="0.35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5" x14ac:dyDescent="0.35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5" x14ac:dyDescent="0.35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5" x14ac:dyDescent="0.35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5" x14ac:dyDescent="0.35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5" x14ac:dyDescent="0.35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5" x14ac:dyDescent="0.35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5" x14ac:dyDescent="0.35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5" x14ac:dyDescent="0.35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5" x14ac:dyDescent="0.35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5" x14ac:dyDescent="0.35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5" x14ac:dyDescent="0.35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5" x14ac:dyDescent="0.35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5" x14ac:dyDescent="0.35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5" x14ac:dyDescent="0.35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5" x14ac:dyDescent="0.35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5" x14ac:dyDescent="0.35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5" x14ac:dyDescent="0.35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5" x14ac:dyDescent="0.35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5" x14ac:dyDescent="0.35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5" x14ac:dyDescent="0.35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5" x14ac:dyDescent="0.35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5" x14ac:dyDescent="0.35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5" x14ac:dyDescent="0.35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5" x14ac:dyDescent="0.35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5" x14ac:dyDescent="0.35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5" x14ac:dyDescent="0.35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5" x14ac:dyDescent="0.35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5" x14ac:dyDescent="0.35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5" x14ac:dyDescent="0.35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5" x14ac:dyDescent="0.35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5" x14ac:dyDescent="0.35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5" x14ac:dyDescent="0.35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5" x14ac:dyDescent="0.35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5" x14ac:dyDescent="0.35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5" x14ac:dyDescent="0.35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5" x14ac:dyDescent="0.35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5" x14ac:dyDescent="0.35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5" x14ac:dyDescent="0.35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5" x14ac:dyDescent="0.35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5" x14ac:dyDescent="0.35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5" x14ac:dyDescent="0.35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5" x14ac:dyDescent="0.35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5" x14ac:dyDescent="0.35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5" x14ac:dyDescent="0.35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5" x14ac:dyDescent="0.35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5" x14ac:dyDescent="0.35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5" x14ac:dyDescent="0.35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5" x14ac:dyDescent="0.35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5" x14ac:dyDescent="0.35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5" x14ac:dyDescent="0.35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5" x14ac:dyDescent="0.35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5" x14ac:dyDescent="0.35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5" x14ac:dyDescent="0.35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5" x14ac:dyDescent="0.35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5" x14ac:dyDescent="0.35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5" x14ac:dyDescent="0.35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5" x14ac:dyDescent="0.35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5" x14ac:dyDescent="0.35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5" x14ac:dyDescent="0.35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5" x14ac:dyDescent="0.35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5" x14ac:dyDescent="0.35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5" x14ac:dyDescent="0.35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5" x14ac:dyDescent="0.35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5" x14ac:dyDescent="0.35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5" x14ac:dyDescent="0.35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5" x14ac:dyDescent="0.35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5" x14ac:dyDescent="0.35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5" x14ac:dyDescent="0.35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5" x14ac:dyDescent="0.35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5" x14ac:dyDescent="0.35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5" x14ac:dyDescent="0.35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5" x14ac:dyDescent="0.35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5" x14ac:dyDescent="0.35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5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5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7" zoomScale="70" zoomScaleNormal="70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5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5">
      <c r="A3" s="19" t="s">
        <v>1294</v>
      </c>
      <c r="B3" s="20" t="s">
        <v>28</v>
      </c>
      <c r="C3" s="20" t="s">
        <v>30</v>
      </c>
      <c r="D3" s="20" t="s">
        <v>27</v>
      </c>
      <c r="E3" s="20" t="s">
        <v>30</v>
      </c>
      <c r="F3" s="20" t="s">
        <v>27</v>
      </c>
      <c r="G3" s="20" t="s">
        <v>1295</v>
      </c>
      <c r="H3" s="26">
        <v>0.1</v>
      </c>
      <c r="I3" s="20">
        <v>50</v>
      </c>
      <c r="J3" s="20" t="s">
        <v>772</v>
      </c>
      <c r="K3" s="20" t="s">
        <v>773</v>
      </c>
      <c r="L3" s="20" t="s">
        <v>37</v>
      </c>
      <c r="M3" s="20" t="s">
        <v>1296</v>
      </c>
      <c r="N3" s="27"/>
    </row>
    <row r="4" spans="1:14" x14ac:dyDescent="0.35">
      <c r="A4" s="19" t="s">
        <v>1288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1289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1290</v>
      </c>
      <c r="N4" s="27"/>
    </row>
    <row r="5" spans="1:14" x14ac:dyDescent="0.35">
      <c r="A5" s="2" t="s">
        <v>1079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736</v>
      </c>
      <c r="H5" s="11">
        <v>0.1</v>
      </c>
      <c r="I5" s="2">
        <v>50</v>
      </c>
      <c r="J5" s="2" t="s">
        <v>772</v>
      </c>
      <c r="K5" s="2" t="s">
        <v>773</v>
      </c>
      <c r="L5" s="2" t="s">
        <v>37</v>
      </c>
      <c r="M5" s="2">
        <v>1</v>
      </c>
      <c r="N5" s="2"/>
    </row>
    <row r="6" spans="1:14" x14ac:dyDescent="0.35">
      <c r="A6" s="2" t="s">
        <v>700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737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1.2</v>
      </c>
      <c r="N6" s="2"/>
    </row>
    <row r="7" spans="1:14" x14ac:dyDescent="0.35">
      <c r="A7" s="2" t="s">
        <v>701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738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1.5</v>
      </c>
      <c r="N7" s="2"/>
    </row>
    <row r="8" spans="1:14" x14ac:dyDescent="0.35">
      <c r="A8" s="2" t="s">
        <v>702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739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1.8</v>
      </c>
      <c r="N8" s="2"/>
    </row>
    <row r="9" spans="1:14" x14ac:dyDescent="0.35">
      <c r="A9" s="2" t="s">
        <v>703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740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2.2000000000000002</v>
      </c>
      <c r="N9" s="2"/>
    </row>
    <row r="10" spans="1:14" x14ac:dyDescent="0.35">
      <c r="A10" s="2" t="s">
        <v>704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741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2.7</v>
      </c>
      <c r="N10" s="2"/>
    </row>
    <row r="11" spans="1:14" x14ac:dyDescent="0.35">
      <c r="A11" s="2" t="s">
        <v>705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742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3.3</v>
      </c>
      <c r="N11" s="2"/>
    </row>
    <row r="12" spans="1:14" x14ac:dyDescent="0.35">
      <c r="A12" s="2" t="s">
        <v>706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743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3.9</v>
      </c>
      <c r="N12" s="2"/>
    </row>
    <row r="13" spans="1:14" x14ac:dyDescent="0.35">
      <c r="A13" s="2" t="s">
        <v>707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744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4.7</v>
      </c>
      <c r="N13" s="2"/>
    </row>
    <row r="14" spans="1:14" x14ac:dyDescent="0.35">
      <c r="A14" s="2" t="s">
        <v>708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745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5.6</v>
      </c>
      <c r="N14" s="2"/>
    </row>
    <row r="15" spans="1:14" x14ac:dyDescent="0.35">
      <c r="A15" s="2" t="s">
        <v>709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746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6.8</v>
      </c>
      <c r="N15" s="2"/>
    </row>
    <row r="16" spans="1:14" x14ac:dyDescent="0.35">
      <c r="A16" s="2" t="s">
        <v>710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747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8.1999999999999993</v>
      </c>
      <c r="N16" s="2"/>
    </row>
    <row r="17" spans="1:14" x14ac:dyDescent="0.35">
      <c r="A17" s="2" t="s">
        <v>711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748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10</v>
      </c>
      <c r="N17" s="2"/>
    </row>
    <row r="18" spans="1:14" x14ac:dyDescent="0.35">
      <c r="A18" s="2" t="s">
        <v>712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749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12</v>
      </c>
      <c r="N18" s="2"/>
    </row>
    <row r="19" spans="1:14" x14ac:dyDescent="0.35">
      <c r="A19" s="2" t="s">
        <v>713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750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15</v>
      </c>
      <c r="N19" s="2"/>
    </row>
    <row r="20" spans="1:14" x14ac:dyDescent="0.35">
      <c r="A20" s="2" t="s">
        <v>714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751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18</v>
      </c>
      <c r="N20" s="2"/>
    </row>
    <row r="21" spans="1:14" x14ac:dyDescent="0.35">
      <c r="A21" s="2" t="s">
        <v>715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752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22</v>
      </c>
      <c r="N21" s="2"/>
    </row>
    <row r="22" spans="1:14" x14ac:dyDescent="0.35">
      <c r="A22" s="2" t="s">
        <v>716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753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27</v>
      </c>
      <c r="N22" s="2"/>
    </row>
    <row r="23" spans="1:14" x14ac:dyDescent="0.35">
      <c r="A23" s="2" t="s">
        <v>717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754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33</v>
      </c>
      <c r="N23" s="2"/>
    </row>
    <row r="24" spans="1:14" x14ac:dyDescent="0.35">
      <c r="A24" s="2" t="s">
        <v>718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755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39</v>
      </c>
      <c r="N24" s="2"/>
    </row>
    <row r="25" spans="1:14" x14ac:dyDescent="0.35">
      <c r="A25" s="2" t="s">
        <v>719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756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47</v>
      </c>
      <c r="N25" s="2"/>
    </row>
    <row r="26" spans="1:14" x14ac:dyDescent="0.35">
      <c r="A26" s="2" t="s">
        <v>720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757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56</v>
      </c>
      <c r="N26" s="2"/>
    </row>
    <row r="27" spans="1:14" x14ac:dyDescent="0.35">
      <c r="A27" s="2" t="s">
        <v>721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758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68</v>
      </c>
      <c r="N27" s="2"/>
    </row>
    <row r="28" spans="1:14" x14ac:dyDescent="0.35">
      <c r="A28" s="2" t="s">
        <v>722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759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82</v>
      </c>
      <c r="N28" s="2"/>
    </row>
    <row r="29" spans="1:14" x14ac:dyDescent="0.35">
      <c r="A29" s="2" t="s">
        <v>723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100</v>
      </c>
      <c r="N29" s="2"/>
    </row>
    <row r="30" spans="1:14" x14ac:dyDescent="0.35">
      <c r="A30" s="2" t="s">
        <v>724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760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120</v>
      </c>
      <c r="N30" s="2"/>
    </row>
    <row r="31" spans="1:14" x14ac:dyDescent="0.35">
      <c r="A31" s="2" t="s">
        <v>725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761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150</v>
      </c>
      <c r="N31" s="2"/>
    </row>
    <row r="32" spans="1:14" x14ac:dyDescent="0.35">
      <c r="A32" s="2" t="s">
        <v>726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762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180</v>
      </c>
      <c r="N32" s="2"/>
    </row>
    <row r="33" spans="1:14" x14ac:dyDescent="0.35">
      <c r="A33" s="2" t="s">
        <v>727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763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220</v>
      </c>
      <c r="N33" s="2"/>
    </row>
    <row r="34" spans="1:14" x14ac:dyDescent="0.35">
      <c r="A34" s="2" t="s">
        <v>728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764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270</v>
      </c>
      <c r="N34" s="2"/>
    </row>
    <row r="35" spans="1:14" x14ac:dyDescent="0.35">
      <c r="A35" s="2" t="s">
        <v>729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765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330</v>
      </c>
      <c r="N35" s="2"/>
    </row>
    <row r="36" spans="1:14" x14ac:dyDescent="0.35">
      <c r="A36" s="2" t="s">
        <v>730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766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390</v>
      </c>
      <c r="N36" s="2"/>
    </row>
    <row r="37" spans="1:14" x14ac:dyDescent="0.35">
      <c r="A37" s="2" t="s">
        <v>731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767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470</v>
      </c>
      <c r="N37" s="2"/>
    </row>
    <row r="38" spans="1:14" x14ac:dyDescent="0.35">
      <c r="A38" s="2" t="s">
        <v>732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768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560</v>
      </c>
      <c r="N38" s="2"/>
    </row>
    <row r="39" spans="1:14" x14ac:dyDescent="0.35">
      <c r="A39" s="2" t="s">
        <v>733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769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680</v>
      </c>
      <c r="N39" s="2"/>
    </row>
    <row r="40" spans="1:14" x14ac:dyDescent="0.35">
      <c r="A40" s="2" t="s">
        <v>734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770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820</v>
      </c>
      <c r="N40" s="2"/>
    </row>
    <row r="41" spans="1:14" x14ac:dyDescent="0.35">
      <c r="A41" s="2" t="s">
        <v>735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771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1000</v>
      </c>
      <c r="N41" s="2"/>
    </row>
    <row r="42" spans="1:14" x14ac:dyDescent="0.35">
      <c r="A42" s="2" t="s">
        <v>1300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803</v>
      </c>
      <c r="H42" s="11">
        <v>0.1</v>
      </c>
      <c r="I42" s="2">
        <v>50</v>
      </c>
      <c r="J42" s="2" t="s">
        <v>772</v>
      </c>
      <c r="K42" s="2" t="s">
        <v>855</v>
      </c>
      <c r="L42" s="2" t="s">
        <v>856</v>
      </c>
      <c r="M42" s="2" t="s">
        <v>1301</v>
      </c>
      <c r="N42" s="2"/>
    </row>
    <row r="43" spans="1:14" x14ac:dyDescent="0.35">
      <c r="A43" s="2" t="s">
        <v>882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>
        <v>4700</v>
      </c>
      <c r="N43" s="2"/>
    </row>
    <row r="44" spans="1:14" x14ac:dyDescent="0.35">
      <c r="A44" s="2" t="s">
        <v>884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806</v>
      </c>
      <c r="H44" s="11">
        <v>0.1</v>
      </c>
      <c r="I44" s="2">
        <v>35</v>
      </c>
      <c r="J44" s="2" t="s">
        <v>772</v>
      </c>
      <c r="K44" s="2" t="s">
        <v>857</v>
      </c>
      <c r="L44" s="2" t="s">
        <v>858</v>
      </c>
      <c r="M44" s="2">
        <v>10000</v>
      </c>
      <c r="N44" s="2"/>
    </row>
    <row r="45" spans="1:14" x14ac:dyDescent="0.35">
      <c r="A45" s="2" t="s">
        <v>883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808</v>
      </c>
      <c r="H45" s="11">
        <v>0.1</v>
      </c>
      <c r="I45" s="2">
        <v>25</v>
      </c>
      <c r="J45" s="2" t="s">
        <v>772</v>
      </c>
      <c r="K45" s="2" t="s">
        <v>857</v>
      </c>
      <c r="L45" s="2" t="s">
        <v>858</v>
      </c>
      <c r="M45" s="2">
        <v>22000</v>
      </c>
      <c r="N45" s="2"/>
    </row>
    <row r="46" spans="1:14" x14ac:dyDescent="0.35">
      <c r="A46" s="2" t="s">
        <v>1129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772</v>
      </c>
      <c r="K46" s="2" t="s">
        <v>1127</v>
      </c>
      <c r="L46" s="2" t="s">
        <v>1128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5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5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5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5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5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5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5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5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5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5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5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5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5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5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5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5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5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5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5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5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5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5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5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5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5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5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="70" zoomScaleNormal="70" workbookViewId="0">
      <selection activeCell="B26" sqref="B26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5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5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5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5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5" x14ac:dyDescent="0.35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5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5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5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5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5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5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5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5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opLeftCell="A18" zoomScale="70" zoomScaleNormal="70" workbookViewId="0">
      <selection activeCell="G48" sqref="G48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5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5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5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5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5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5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5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5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5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5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5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5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5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5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5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5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5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5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5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5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5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5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5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5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5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5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5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5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5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5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5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5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5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5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5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5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5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5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5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5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5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5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5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5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1" si="4">CONCATENATE("Schematic\Connectors\", E50, ".SchLib")</f>
        <v>Schematic\Connectors\Conn_40pin_double.SchLib</v>
      </c>
      <c r="E50" t="s">
        <v>1346</v>
      </c>
      <c r="F50" t="str">
        <f t="shared" ref="F50:F51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5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2025-08-16T16:57:32Z</dcterms:modified>
</cp:coreProperties>
</file>