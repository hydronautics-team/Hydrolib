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filterPrivacy="1" codeName="ЭтаКнига"/>
  <xr:revisionPtr revIDLastSave="0" documentId="13_ncr:1_{D5E83243-6D33-459E-9213-B4C610E02D5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</workbook>
</file>

<file path=xl/calcChain.xml><?xml version="1.0" encoding="utf-8"?>
<calcChain xmlns="http://schemas.openxmlformats.org/spreadsheetml/2006/main">
  <c r="C30" i="1" l="1"/>
  <c r="D30" i="1"/>
  <c r="E30" i="1"/>
  <c r="F30" i="1"/>
  <c r="C29" i="1"/>
  <c r="D29" i="1"/>
  <c r="E29" i="1"/>
  <c r="F29" i="1"/>
  <c r="H6" i="5"/>
  <c r="F11" i="5"/>
  <c r="C11" i="5"/>
  <c r="D11" i="5"/>
  <c r="E11" i="5"/>
  <c r="C28" i="1"/>
  <c r="D28" i="1"/>
  <c r="E28" i="1"/>
  <c r="H10" i="4"/>
  <c r="F10" i="4"/>
  <c r="C10" i="4"/>
  <c r="F10" i="5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<sst xmlns="http://schemas.openxmlformats.org/spreadsheetml/2006/main" count="2579" uniqueCount="1035">
  <si>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</si>
  <si>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</si>
  <si>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</si>
  <si>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</si>
  <si>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</si>
  <si>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</si>
  <si>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</si>
  <si>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</si>
  <si>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</si>
  <si>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</si>
  <si>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</si>
  <si>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</si>
  <si>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</si>
  <si>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</si>
  <si>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</si>
  <si>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</si>
  <si>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</si>
  <si>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</si>
  <si>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</si>
  <si>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</si>
  <si>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</si>
  <si>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</si>
  <si>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</si>
  <si>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</si>
  <si>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</si>
  <si>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</si>
  <si>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</si>
  <si>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</si>
  <si>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</si>
  <si>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</si>
  <si>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</si>
  <si>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</si>
  <si>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</si>
  <si>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</si>
  <si>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</si>
  <si>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</si>
  <si>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</si>
  <si>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</si>
  <si>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</si>
  <si>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</si>
  <si>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</si>
  <si>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</si>
  <si>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</si>
  <si>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</si>
  <si>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</si>
  <si>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</si>
  <si>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</si>
  <si>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</si>
  <si>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</si>
  <si>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</si>
  <si>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</si>
  <si>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</si>
  <si>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</si>
  <si>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</si>
  <si>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</si>
  <si>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</si>
  <si>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</si>
  <si>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</si>
  <si>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</si>
  <si>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</si>
  <si>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</si>
  <si>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</si>
  <si>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</si>
  <si>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</si>
  <si>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</si>
  <si>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</si>
  <si>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</si>
  <si>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</si>
  <si>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</si>
  <si>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</si>
  <si>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</si>
  <si>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</si>
  <si>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</si>
  <si>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</si>
  <si>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</si>
  <si>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</si>
  <si>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</si>
  <si>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</si>
  <si>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</si>
  <si>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</si>
  <si>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</si>
  <si>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</si>
  <si>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</si>
  <si>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</si>
  <si>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</si>
  <si>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</si>
  <si>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</si>
  <si>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</si>
  <si>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</si>
  <si>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</si>
  <si>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</si>
  <si>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</si>
  <si>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</si>
  <si>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</si>
  <si>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</si>
  <si>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</si>
  <si>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</si>
  <si>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</si>
  <si>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</si>
  <si>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</si>
  <si>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</si>
  <si>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</si>
  <si>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</si>
  <si>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</si>
  <si>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</si>
  <si>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</si>
  <si>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</si>
  <si>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</si>
  <si>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</si>
  <si>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</si>
  <si>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</si>
  <si>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</si>
  <si>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</si>
  <si>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</si>
  <si>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</si>
  <si>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</si>
  <si>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</si>
  <si>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</si>
  <si>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</si>
  <si>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</si>
  <si>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</si>
  <si>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</si>
  <si>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</si>
  <si>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</si>
  <si>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</si>
  <si>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</si>
  <si>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</si>
  <si>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</si>
  <si>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</si>
  <si>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</si>
  <si>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</si>
  <si>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</si>
  <si>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</si>
  <si>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</si>
  <si>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</si>
  <si>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</si>
  <si>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</si>
  <si>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</si>
  <si>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</si>
  <si>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</si>
  <si>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</si>
  <si>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</si>
  <si>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</si>
  <si>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</si>
  <si>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</si>
  <si>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</si>
  <si>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</si>
  <si>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</si>
  <si>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</si>
  <si>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</si>
  <si>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</si>
  <si>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</si>
  <si>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</si>
  <si>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</si>
  <si>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</si>
  <si>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</si>
  <si>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</si>
  <si>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</si>
  <si>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</si>
  <si>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</si>
  <si>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</si>
  <si>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</si>
  <si>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</si>
  <si>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</si>
  <si>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</si>
  <si>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</si>
  <si>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</si>
  <si>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</si>
  <si>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</si>
  <si>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</si>
  <si>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</si>
  <si>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</si>
  <si>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</si>
  <si>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</si>
  <si>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</si>
  <si>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</si>
  <si>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</si>
  <si>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</si>
  <si>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</si>
  <si>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</si>
  <si>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</si>
  <si>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</si>
  <si>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</si>
  <si>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</si>
  <si>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</si>
  <si>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</si>
  <si>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</si>
  <si>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</si>
  <si>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</si>
  <si>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</si>
  <si>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</si>
  <si>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</si>
  <si>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</si>
  <si>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</si>
  <si>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</si>
  <si>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</si>
  <si>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</si>
  <si>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</si>
  <si>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</si>
  <si>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</si>
  <si>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</si>
  <si>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</si>
  <si>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</si>
  <si>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</si>
  <si>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</si>
  <si>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</si>
  <si>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</si>
  <si>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</si>
  <si>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</si>
  <si>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</si>
  <si>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</si>
  <si>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</si>
  <si>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</si>
  <si>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</si>
  <si>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</si>
  <si>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</si>
  <si>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</si>
  <si>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</si>
  <si>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</si>
  <si>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</si>
  <si>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</si>
  <si>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</si>
  <si>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</si>
  <si>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</si>
  <si>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</si>
  <si>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</si>
  <si>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</si>
  <si>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</si>
  <si>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</si>
  <si>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</si>
  <si>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</si>
  <si>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</si>
  <si>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</si>
  <si>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</si>
  <si>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</si>
  <si>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</si>
  <si>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</si>
  <si>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</si>
  <si>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</si>
  <si>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</si>
  <si>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</si>
  <si>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</si>
  <si>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</si>
  <si>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</si>
  <si>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</si>
  <si>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</si>
  <si>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</si>
  <si>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</si>
  <si>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</si>
  <si>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</si>
  <si>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</si>
  <si>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</si>
  <si>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</si>
  <si>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</si>
  <si>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</si>
  <si>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</si>
  <si>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</si>
  <si>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</si>
  <si>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</si>
  <si>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</si>
  <si>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</si>
  <si>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</si>
  <si>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</si>
  <si>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</si>
  <si>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</si>
  <si>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</si>
  <si>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</si>
  <si>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</si>
  <si>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</si>
  <si>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</si>
  <si>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</si>
  <si>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</si>
  <si>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</si>
  <si>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</si>
  <si>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</si>
  <si>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</si>
  <si>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</si>
  <si>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</si>
  <si>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</si>
  <si>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</si>
  <si>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</si>
  <si>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</si>
  <si>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</si>
  <si>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</si>
  <si>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</si>
  <si>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</si>
  <si>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</si>
  <si>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</si>
  <si>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</si>
  <si>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</si>
  <si>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</si>
  <si>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</si>
  <si>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</si>
  <si>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</si>
  <si>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</si>
  <si>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</si>
  <si>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</si>
  <si>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</si>
  <si>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</si>
  <si>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</si>
  <si>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</si>
  <si>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</si>
  <si>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</si>
  <si>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</si>
  <si>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</si>
  <si>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</si>
  <si>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</si>
  <si>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</si>
  <si>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</si>
  <si>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</si>
  <si>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</si>
  <si>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</si>
  <si>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</si>
  <si>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</si>
  <si>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</si>
  <si>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</si>
  <si>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</si>
  <si>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</si>
  <si>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</si>
  <si>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</si>
  <si>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</si>
  <si>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</si>
  <si>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</si>
  <si>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</si>
  <si>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</si>
  <si>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</si>
  <si>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</si>
  <si>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</si>
  <si>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</si>
  <si>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</si>
  <si>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</si>
  <si>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</si>
  <si>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</si>
  <si>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</si>
  <si>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</si>
  <si>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</si>
  <si>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</si>
  <si>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</si>
  <si>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</si>
  <si>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</si>
  <si>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</si>
  <si>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</si>
  <si>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</si>
  <si>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</si>
  <si>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</si>
  <si>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</si>
  <si>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</si>
  <si>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</si>
  <si>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</si>
  <si>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</si>
  <si>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</si>
  <si>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</si>
  <si>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</si>
  <si>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</si>
  <si>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</si>
  <si>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</si>
  <si>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</si>
  <si>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</si>
  <si>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</si>
  <si>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</si>
  <si>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</si>
  <si>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</si>
  <si>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</si>
  <si>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</si>
  <si>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</si>
  <si>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</si>
  <si>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</si>
  <si>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</si>
  <si>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</si>
  <si>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</si>
  <si>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</si>
  <si>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</si>
  <si>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</si>
  <si>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</si>
  <si>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</si>
  <si>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</si>
  <si>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</si>
  <si>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</si>
  <si>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</si>
  <si>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</si>
  <si>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</si>
  <si>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</si>
  <si>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</si>
  <si>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</si>
  <si>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</si>
  <si>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</si>
  <si>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</si>
  <si>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</si>
  <si>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</si>
  <si>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</si>
  <si>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</si>
  <si>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</si>
  <si>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</si>
  <si>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</si>
  <si>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</si>
  <si>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</si>
  <si>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</si>
  <si>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</si>
  <si>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</si>
  <si>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</si>
  <si>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</si>
  <si>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</si>
  <si>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</si>
  <si>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</si>
  <si>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</si>
  <si>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</si>
  <si>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</si>
  <si>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</si>
  <si>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</si>
  <si>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</si>
  <si>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</si>
  <si>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</si>
  <si>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</si>
  <si>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</si>
  <si>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</si>
  <si>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</si>
  <si>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</si>
  <si>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</si>
  <si>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</si>
  <si>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</si>
  <si>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</si>
  <si>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</si>
  <si>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</si>
  <si>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</si>
  <si>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</si>
  <si>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</si>
  <si>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</si>
  <si>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</si>
  <si>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</si>
  <si>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</si>
  <si>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</si>
  <si>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</si>
  <si>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</si>
  <si>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</si>
  <si>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</si>
  <si>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</si>
  <si>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</si>
  <si>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</si>
  <si>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</si>
  <si>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</si>
  <si>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</si>
  <si>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</si>
  <si>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</si>
  <si>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</si>
  <si>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</si>
  <si>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</si>
  <si>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</si>
  <si>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</si>
  <si>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</si>
  <si>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</si>
  <si>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</si>
  <si>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</si>
  <si>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</si>
  <si>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</si>
  <si>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</si>
  <si>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</si>
  <si>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</si>
  <si>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</si>
  <si>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</si>
  <si>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</si>
  <si>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</si>
  <si>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</si>
  <si>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</si>
  <si>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</si>
  <si>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</si>
  <si>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</si>
  <si>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</si>
  <si>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</si>
  <si>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</si>
  <si>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</si>
  <si>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</si>
  <si>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</si>
  <si>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</si>
  <si>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</si>
  <si>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</si>
  <si>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</si>
  <si>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</si>
  <si>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</si>
  <si>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</si>
  <si>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</si>
  <si>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</si>
  <si>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</si>
  <si>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</si>
  <si>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</si>
  <si>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</si>
  <si>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</si>
  <si>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</si>
  <si>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</si>
  <si>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</si>
  <si>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</si>
  <si>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</si>
  <si>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</si>
  <si>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</si>
  <si>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</si>
  <si>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</si>
  <si>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</si>
  <si>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</si>
  <si>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</si>
  <si>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</si>
  <si>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</si>
  <si>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</si>
  <si>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</si>
  <si>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</si>
  <si>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</si>
  <si>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</si>
  <si>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</si>
  <si>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</si>
  <si>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</si>
  <si>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</si>
  <si>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</si>
  <si>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</si>
  <si>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</si>
  <si>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</si>
  <si>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</si>
  <si>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</si>
  <si>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</si>
  <si>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</si>
  <si>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</si>
  <si>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</si>
  <si>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</si>
  <si>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</si>
  <si>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</si>
  <si>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</si>
  <si>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</si>
  <si>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</si>
  <si>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</si>
  <si>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</si>
  <si>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</si>
  <si>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</si>
  <si>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</si>
  <si>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</si>
  <si>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</si>
  <si>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</si>
  <si>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</si>
  <si>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</si>
  <si>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</si>
  <si>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</si>
  <si>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</si>
  <si>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</si>
  <si>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</si>
  <si>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</si>
  <si>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</si>
  <si>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</si>
  <si>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</si>
  <si>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</si>
  <si>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</si>
  <si>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</si>
  <si>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</si>
  <si>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</si>
  <si>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</si>
  <si>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</si>
  <si>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</si>
  <si>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</si>
  <si>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</si>
  <si>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</si>
  <si>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</si>
  <si>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</si>
  <si>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</si>
  <si>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</si>
  <si>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</si>
  <si>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</si>
  <si>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</si>
  <si>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</si>
  <si>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</si>
  <si>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</si>
  <si>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</si>
  <si>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</si>
  <si>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</si>
  <si>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</si>
  <si>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</si>
  <si>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</si>
  <si>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</si>
  <si>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</si>
  <si>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</si>
  <si>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</si>
  <si>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</si>
  <si>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</si>
  <si>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</si>
  <si>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</si>
  <si>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</si>
  <si>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</si>
  <si>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</si>
  <si>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</si>
  <si>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</si>
  <si>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</si>
  <si>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</si>
  <si>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</si>
  <si>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</si>
  <si>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</si>
  <si>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</si>
  <si>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</si>
  <si>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</si>
  <si>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</si>
  <si>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</si>
  <si>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</si>
  <si>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</si>
  <si>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</si>
  <si>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</si>
  <si>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</si>
  <si>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</si>
  <si>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</si>
  <si>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</si>
  <si>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</si>
  <si>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</si>
  <si>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</si>
  <si>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</si>
  <si>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</si>
  <si>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</si>
  <si>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</si>
  <si>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</si>
  <si>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</si>
  <si>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</si>
  <si>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</si>
  <si>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</si>
  <si>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</si>
  <si>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</si>
  <si>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</si>
  <si>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</si>
  <si>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</si>
  <si>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</si>
  <si>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</si>
  <si>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</si>
  <si>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</si>
  <si>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</si>
  <si>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</si>
  <si>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</si>
  <si>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</si>
  <si>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</si>
  <si>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</si>
  <si>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</si>
  <si>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</si>
  <si>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</si>
  <si>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</si>
  <si>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</si>
  <si>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</si>
  <si>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</si>
  <si>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</si>
  <si>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</si>
  <si>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</si>
  <si>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</si>
  <si>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</si>
  <si>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</si>
  <si>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</si>
  <si>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</si>
  <si>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</si>
  <si>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</si>
  <si>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</si>
  <si>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</si>
  <si>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</si>
  <si>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</si>
  <si>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</si>
  <si>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</si>
  <si>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</si>
  <si>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</si>
  <si>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</si>
  <si>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</si>
  <si>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</si>
  <si>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</si>
  <si>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</si>
  <si>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</si>
  <si>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</si>
  <si>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</si>
  <si>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</si>
  <si>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</si>
  <si>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</si>
  <si>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</si>
  <si>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</si>
  <si>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</si>
  <si>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</si>
  <si>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</si>
  <si>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</si>
  <si>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</si>
  <si>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</si>
  <si>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</si>
  <si>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</si>
  <si>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</si>
  <si>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</si>
  <si>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</si>
  <si>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</si>
  <si>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</si>
  <si>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</si>
  <si>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</si>
  <si>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</si>
  <si>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</si>
  <si>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</si>
  <si>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</si>
  <si>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</si>
  <si>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</si>
  <si>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</si>
  <si>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</si>
  <si>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</si>
  <si>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</si>
  <si>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</si>
  <si>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</si>
  <si>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</si>
  <si>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</si>
  <si>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</si>
  <si>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</si>
  <si>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</si>
  <si>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</si>
  <si>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</si>
  <si>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</si>
  <si>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</si>
  <si>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</si>
  <si>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</si>
  <si>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</si>
  <si>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</si>
  <si>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</si>
  <si>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</si>
  <si>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</si>
  <si>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</si>
  <si>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</si>
  <si>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</si>
  <si>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</si>
  <si>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</si>
  <si>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</si>
  <si>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</si>
  <si>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</si>
  <si>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</si>
  <si>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</si>
  <si>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</si>
  <si>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</si>
  <si>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</si>
  <si>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</si>
  <si>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</si>
  <si>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</si>
  <si>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</si>
  <si>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</si>
  <si>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</si>
  <si>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</si>
  <si>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</si>
  <si>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</si>
  <si>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</si>
  <si>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</si>
  <si>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</si>
  <si>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</si>
  <si>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</si>
  <si>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</si>
  <si>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</si>
  <si>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</si>
  <si>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</si>
  <si>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</si>
  <si>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</si>
  <si>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</si>
  <si>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</si>
  <si>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</si>
  <si>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</si>
  <si>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</si>
  <si>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</si>
  <si>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</si>
  <si>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</si>
  <si>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</si>
  <si>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</si>
  <si>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</si>
  <si>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</si>
  <si>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</si>
  <si>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</si>
  <si>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</si>
  <si>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</si>
  <si>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</si>
  <si>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</si>
  <si>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</si>
  <si>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</si>
  <si>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</si>
  <si>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</si>
  <si>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</si>
  <si>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</si>
  <si>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</si>
  <si>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</si>
  <si>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</si>
  <si>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</si>
  <si>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</si>
  <si>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</si>
  <si>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</si>
  <si>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</si>
  <si>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</si>
  <si>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</si>
  <si>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</si>
  <si>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</si>
  <si>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</si>
  <si>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</si>
  <si>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</si>
  <si>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</si>
  <si>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</si>
  <si>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</si>
  <si>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</si>
  <si>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</si>
  <si>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</si>
  <si>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</si>
  <si>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</si>
  <si>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</si>
  <si>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</si>
  <si>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</si>
  <si>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</si>
  <si>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</si>
  <si>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</si>
  <si>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</si>
  <si>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</si>
  <si>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</si>
  <si>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</si>
  <si>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</si>
  <si>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</si>
  <si>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</si>
  <si>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</si>
  <si>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</si>
  <si>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</si>
  <si>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</si>
  <si>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</si>
  <si>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</si>
  <si>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</si>
  <si>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</si>
  <si>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</si>
  <si>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</si>
  <si>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</si>
  <si>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</si>
  <si>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</si>
  <si>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</si>
  <si>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</si>
  <si>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</si>
  <si>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</si>
  <si>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</si>
  <si>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</si>
  <si>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</si>
  <si>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</si>
  <si>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</si>
  <si>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</si>
  <si>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</si>
  <si>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</si>
  <si>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</si>
  <si>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</si>
  <si>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</si>
  <si>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</si>
  <si>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</si>
  <si>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</si>
  <si>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</si>
  <si>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</si>
  <si>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</si>
  <si>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</si>
  <si>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</si>
  <si>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</si>
  <si>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</si>
  <si>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</si>
  <si>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</si>
  <si>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</si>
  <si>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</si>
  <si>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</si>
  <si>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</si>
  <si>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</si>
  <si>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</si>
  <si>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</si>
  <si>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</si>
  <si>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</si>
  <si>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</si>
  <si>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</si>
  <si>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</si>
  <si>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</si>
  <si>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</si>
  <si>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</si>
  <si>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</si>
  <si>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</si>
  <si>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</si>
  <si>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</si>
  <si>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</si>
  <si>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</si>
  <si>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</si>
  <si>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</si>
  <si>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</si>
  <si>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</si>
  <si>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</si>
  <si>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</si>
  <si>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</si>
  <si>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</si>
  <si>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</si>
  <si>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</si>
  <si>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</si>
  <si>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</si>
  <si>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</si>
  <si>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</si>
  <si>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</si>
  <si>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</si>
  <si>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</si>
  <si>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</si>
  <si>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</si>
  <si>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</si>
  <si>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</si>
  <si>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</si>
  <si>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</si>
  <si>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</si>
  <si>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</si>
  <si>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</si>
  <si>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</si>
  <si>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</si>
  <si>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</si>
  <si>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</si>
  <si>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</si>
  <si>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</si>
  <si>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</si>
  <si>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</si>
  <si>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</si>
  <si>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</si>
  <si>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</si>
  <si>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</si>
  <si>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</si>
  <si>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</si>
  <si>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</si>
  <si>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</si>
  <si>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</si>
  <si>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</si>
  <si>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</si>
  <si>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</si>
  <si>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</si>
  <si>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</si>
  <si>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</si>
  <si>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</si>
  <si>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</si>
  <si>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</si>
  <si>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</si>
  <si>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</si>
  <si>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</si>
  <si>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</si>
  <si>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</si>
  <si>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</si>
  <si>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</si>
  <si>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</si>
  <si>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</si>
  <si>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</si>
  <si>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</si>
  <si>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</si>
  <si>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</si>
  <si>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</si>
  <si>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</si>
  <si>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</si>
  <si>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</si>
  <si>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</si>
  <si>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</si>
  <si>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</si>
  <si>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</si>
  <si>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</si>
  <si>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</si>
  <si>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</si>
  <si>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</si>
  <si>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</si>
  <si>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</si>
  <si>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</si>
  <si>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</si>
  <si>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</si>
  <si>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</si>
  <si>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</si>
  <si>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</si>
  <si>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</si>
  <si>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</si>
  <si>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</si>
  <si>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</si>
  <si>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</si>
  <si>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</si>
  <si>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</si>
  <si>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</si>
  <si>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</si>
  <si>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ЧИП-индуктивность 22мкГн, 1.05A, ±20% катушка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</si>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</sst>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I30" tableType="xml" totalsRowShown="0" headerRowDxfId="92" connectionId="6">
  <autoFilter ref="A1:I30" xr:uid="{DAFB31A0-B533-4A21-B77D-E415196B9369}"/>
  <tableColumns count="9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7" tableType="xml" totalsRowShown="0" connectionId="13">
  <autoFilter ref="A1:I7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6" connectionId="14">
  <autoFilter ref="A1:K10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1" tableType="xml" totalsRowShown="0" headerRowDxfId="14" dataDxfId="13" connectionId="10">
  <autoFilter ref="A1:I11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6" tableType="xml" totalsRowShown="0" headerRowDxfId="3" connectionId="7">
  <autoFilter ref="A1:I26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0"/>
  <sheetViews>
    <sheetView tabSelected="1" zoomScaleNormal="100" workbookViewId="0">
      <selection activeCell="G31" sqref="G31"/>
    </sheetView>
  </sheetViews>
  <sheetFormatPr defaultRowHeight="15" x14ac:dyDescent="0.25"/>
  <cols>
    <col min="1" max="1" width="21.42578125" bestFit="1" customWidth="1"/>
    <col min="2" max="2" width="103.140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140625" bestFit="1" customWidth="1"/>
    <col min="10" max="10" width="16.42578125" customWidth="1"/>
    <col min="11" max="11" width="14.57031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2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2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2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2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378</v>
      </c>
      <c r="H8" t="s">
        <v>981</v>
      </c>
      <c r="I8" t="s">
        <v>980</v>
      </c>
    </row>
    <row r="9" spans="1:20" x14ac:dyDescent="0.2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2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2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2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2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2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25">
      <c r="A15" t="s">
        <v>847</v>
      </c>
      <c r="B15" t="s">
        <v>848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25">
      <c r="A16" t="s">
        <v>849</v>
      </c>
      <c r="B16" t="s">
        <v>850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851</v>
      </c>
    </row>
    <row r="17" spans="1:7" x14ac:dyDescent="0.25">
      <c r="A17" t="s">
        <v>852</v>
      </c>
      <c r="B17" t="s">
        <v>853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25">
      <c r="A18" t="s">
        <v>874</v>
      </c>
      <c r="B18" t="s">
        <v>875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874</v>
      </c>
    </row>
    <row r="19" spans="1:7" x14ac:dyDescent="0.25">
      <c r="A19" t="s">
        <v>876</v>
      </c>
      <c r="B19" t="s">
        <v>877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878</v>
      </c>
    </row>
    <row r="20" spans="1:7" x14ac:dyDescent="0.25">
      <c r="A20" s="12" t="s">
        <v>879</v>
      </c>
      <c r="B20" t="s">
        <v>880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881</v>
      </c>
    </row>
    <row r="21" spans="1:7" x14ac:dyDescent="0.25">
      <c r="A21" t="s">
        <v>889</v>
      </c>
      <c r="B21" t="s">
        <v>890</v>
      </c>
      <c r="C21" s="2" t="s">
        <v>889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868</v>
      </c>
    </row>
    <row r="22" spans="1:7" x14ac:dyDescent="0.25">
      <c r="A22" t="s">
        <v>903</v>
      </c>
      <c r="B22" t="s">
        <v>904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902</v>
      </c>
    </row>
    <row r="23" spans="1:7" x14ac:dyDescent="0.25">
      <c r="A23" t="s">
        <v>907</v>
      </c>
      <c r="B23" t="s">
        <v>908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907</v>
      </c>
    </row>
    <row r="24" spans="1:7" x14ac:dyDescent="0.25">
      <c r="A24" t="s">
        <v>924</v>
      </c>
      <c r="B24" t="s">
        <v>926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378</v>
      </c>
    </row>
    <row r="25" spans="1:7" x14ac:dyDescent="0.25">
      <c r="A25" t="s">
        <v>925</v>
      </c>
      <c r="B25" t="s">
        <v>927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378</v>
      </c>
    </row>
    <row r="26" spans="1:7" x14ac:dyDescent="0.25">
      <c r="A26" t="s">
        <v>928</v>
      </c>
      <c r="B26" t="s">
        <v>929</v>
      </c>
      <c r="C26" s="2" t="s">
        <v>928</v>
      </c>
      <c r="D26" t="s">
        <v>930</v>
      </c>
      <c r="E26" t="s">
        <v>928</v>
      </c>
      <c r="F26" t="s">
        <v>931</v>
      </c>
      <c r="G26" t="s">
        <v>378</v>
      </c>
    </row>
    <row r="27" spans="1:7" x14ac:dyDescent="0.25">
      <c r="A27" t="s">
        <v>955</v>
      </c>
      <c r="B27" t="s">
        <v>956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7" x14ac:dyDescent="0.25">
      <c r="A28" t="s">
        <v>976</v>
      </c>
      <c r="B28" t="s">
        <v>977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979</v>
      </c>
      <c r="G28" t="s">
        <v>978</v>
      </c>
    </row>
    <row r="29" spans="1:7" x14ac:dyDescent="0.25">
      <c r="A29" t="s">
        <v>1032</v>
      </c>
      <c r="B29" t="s">
        <v>1033</v>
      </c>
      <c r="C29" s="2" t="str">
        <f>A29</f>
        <v>STM32F103C8T6_board</v>
      </c>
      <c r="D29" t="str">
        <f>CONCATENATE("Schematic\",A29,".SchLib")</f>
        <v>Schematic\STM32F103C8T6_board.SchLib</v>
      </c>
      <c r="E29" t="str">
        <f>A29</f>
        <v>STM32F103C8T6_board</v>
      </c>
      <c r="F29" t="str">
        <f>CONCATENATE("Footprints\",G29,".PcbLib")</f>
        <v>Footprints\STM32F103C8T6_board.PcbLib</v>
      </c>
      <c r="G29" t="s">
        <v>1032</v>
      </c>
    </row>
    <row r="30" spans="1:7" x14ac:dyDescent="0.25">
      <c r="A30" t="s">
        <v>1034</v>
      </c>
      <c r="C30" s="2" t="str">
        <f>A30</f>
        <v>RPI</v>
      </c>
      <c r="D30" t="str">
        <f>CONCATENATE("Schematic\",A30,".SchLib")</f>
        <v>Schematic\RPI.SchLib</v>
      </c>
      <c r="E30" t="str">
        <f>A30</f>
        <v>RPI</v>
      </c>
      <c r="F30" t="str">
        <f>CONCATENATE("Footprints\",G30,".PcbLib")</f>
        <v>Footprints\RPI.PcbLib</v>
      </c>
      <c r="G30" t="s">
        <v>1034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7"/>
  <sheetViews>
    <sheetView workbookViewId="0">
      <selection activeCell="B12" sqref="B12"/>
    </sheetView>
  </sheetViews>
  <sheetFormatPr defaultRowHeight="15" x14ac:dyDescent="0.25"/>
  <cols>
    <col min="1" max="1" width="13.5703125" customWidth="1"/>
    <col min="2" max="2" width="31.85546875" customWidth="1"/>
    <col min="3" max="3" width="11.140625" customWidth="1"/>
    <col min="4" max="4" width="13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2.140625" style="2" customWidth="1"/>
  </cols>
  <sheetData>
    <row r="1" spans="1:9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2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25">
      <c r="A3" s="2" t="s">
        <v>870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393</v>
      </c>
      <c r="I3" s="2">
        <v>3</v>
      </c>
    </row>
    <row r="4" spans="1:9" x14ac:dyDescent="0.2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344</v>
      </c>
    </row>
    <row r="5" spans="1:9" x14ac:dyDescent="0.2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>
        <v>45</v>
      </c>
      <c r="I5" s="2">
        <v>10</v>
      </c>
    </row>
    <row r="6" spans="1:9" x14ac:dyDescent="0.25">
      <c r="A6" t="s">
        <v>885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25">
      <c r="A7" t="s">
        <v>961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>
        <v>40</v>
      </c>
      <c r="I7" s="2" t="s">
        <v>962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5" x14ac:dyDescent="0.25"/>
  <cols>
    <col min="1" max="1" width="13.85546875" bestFit="1" customWidth="1"/>
    <col min="2" max="2" width="46.855468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85546875" bestFit="1" customWidth="1"/>
    <col min="8" max="8" width="19.85546875" bestFit="1" customWidth="1"/>
    <col min="9" max="9" width="21.5703125" bestFit="1" customWidth="1"/>
    <col min="10" max="10" width="12" bestFit="1" customWidth="1"/>
    <col min="11" max="11" width="7.85546875" bestFit="1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2.95" customHeight="1" x14ac:dyDescent="0.25">
      <c r="A2" s="2" t="s">
        <v>70</v>
      </c>
      <c r="B2" s="2" t="s">
        <v>778</v>
      </c>
      <c r="C2" s="2" t="s">
        <v>70</v>
      </c>
      <c r="D2" s="2" t="s">
        <v>73</v>
      </c>
      <c r="E2" s="2" t="s">
        <v>74</v>
      </c>
      <c r="F2" s="2" t="s">
        <v>779</v>
      </c>
      <c r="G2" s="2" t="s">
        <v>72</v>
      </c>
      <c r="H2" s="2" t="s">
        <v>388</v>
      </c>
      <c r="I2" s="2" t="s">
        <v>780</v>
      </c>
      <c r="J2" s="2" t="s">
        <v>781</v>
      </c>
      <c r="K2" s="2" t="s">
        <v>782</v>
      </c>
    </row>
    <row r="3" spans="1:11" x14ac:dyDescent="0.25">
      <c r="A3" t="s">
        <v>937</v>
      </c>
      <c r="B3" s="2" t="s">
        <v>938</v>
      </c>
      <c r="C3" t="s">
        <v>937</v>
      </c>
      <c r="D3" s="2" t="s">
        <v>73</v>
      </c>
      <c r="E3" s="2" t="s">
        <v>74</v>
      </c>
      <c r="F3" s="2" t="s">
        <v>939</v>
      </c>
      <c r="G3" t="s">
        <v>940</v>
      </c>
      <c r="H3" s="2" t="s">
        <v>941</v>
      </c>
      <c r="I3" s="2">
        <v>5</v>
      </c>
      <c r="J3" s="2" t="s">
        <v>781</v>
      </c>
      <c r="K3" s="2" t="s">
        <v>942</v>
      </c>
    </row>
    <row r="4" spans="1:11" x14ac:dyDescent="0.25">
      <c r="H4" s="2"/>
      <c r="I4" s="2"/>
      <c r="J4" s="2"/>
      <c r="K4" s="2"/>
    </row>
    <row r="5" spans="1:11" x14ac:dyDescent="0.25">
      <c r="H5" s="2"/>
      <c r="I5" s="2"/>
      <c r="J5" s="2"/>
      <c r="K5" s="2"/>
    </row>
    <row r="6" spans="1:11" x14ac:dyDescent="0.25">
      <c r="H6" s="2"/>
      <c r="I6" s="2"/>
      <c r="J6" s="2"/>
      <c r="K6" s="2"/>
    </row>
    <row r="7" spans="1:11" x14ac:dyDescent="0.25">
      <c r="H7" s="2"/>
      <c r="I7" s="2"/>
      <c r="J7" s="2"/>
      <c r="K7" s="2"/>
    </row>
    <row r="8" spans="1:11" x14ac:dyDescent="0.25">
      <c r="H8" s="2"/>
      <c r="I8" s="2"/>
      <c r="J8" s="2"/>
      <c r="K8" s="2"/>
    </row>
    <row r="9" spans="1:11" x14ac:dyDescent="0.25">
      <c r="H9" s="2"/>
      <c r="I9" s="2"/>
      <c r="J9" s="2"/>
      <c r="K9" s="2"/>
    </row>
    <row r="10" spans="1:11" x14ac:dyDescent="0.25">
      <c r="H10" s="2"/>
      <c r="I10" s="2"/>
      <c r="J10" s="2"/>
      <c r="K10" s="2"/>
    </row>
    <row r="11" spans="1:11" x14ac:dyDescent="0.25">
      <c r="H11" s="2"/>
      <c r="I11" s="2"/>
      <c r="J11" s="2"/>
      <c r="K11" s="2"/>
    </row>
    <row r="12" spans="1:11" x14ac:dyDescent="0.25">
      <c r="H12" s="2"/>
      <c r="I12" s="2"/>
      <c r="J12" s="2"/>
      <c r="K12" s="2"/>
    </row>
    <row r="13" spans="1:11" x14ac:dyDescent="0.25">
      <c r="H13" s="2"/>
      <c r="I13" s="2"/>
      <c r="J13" s="2"/>
      <c r="K13" s="2"/>
    </row>
    <row r="14" spans="1:11" x14ac:dyDescent="0.25">
      <c r="H14" s="2"/>
      <c r="I14" s="2"/>
      <c r="J14" s="2"/>
      <c r="K14" s="2"/>
    </row>
    <row r="15" spans="1:11" x14ac:dyDescent="0.25">
      <c r="H15" s="2"/>
      <c r="I15" s="2"/>
      <c r="J15" s="2"/>
      <c r="K15" s="2"/>
    </row>
    <row r="16" spans="1:11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5" x14ac:dyDescent="0.25"/>
  <cols>
    <col min="1" max="1" width="20.42578125" customWidth="1"/>
    <col min="2" max="2" width="24.85546875" customWidth="1"/>
    <col min="3" max="3" width="15.85546875" customWidth="1"/>
    <col min="4" max="4" width="26.42578125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1.85546875" customWidth="1"/>
    <col min="10" max="10" width="8" bestFit="1" customWidth="1"/>
    <col min="11" max="11" width="10.425781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2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2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2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2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25">
      <c r="A6" t="s">
        <v>854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855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25">
      <c r="A7" t="s">
        <v>919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25">
      <c r="A8" t="s">
        <v>936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5" x14ac:dyDescent="0.25"/>
  <cols>
    <col min="1" max="1" width="14.85546875" customWidth="1"/>
    <col min="2" max="2" width="22" bestFit="1" customWidth="1"/>
    <col min="3" max="3" width="12.42578125" bestFit="1" customWidth="1"/>
    <col min="4" max="4" width="35.85546875" bestFit="1" customWidth="1"/>
    <col min="5" max="5" width="24.42578125" bestFit="1" customWidth="1"/>
    <col min="6" max="6" width="23.140625" bestFit="1" customWidth="1"/>
    <col min="7" max="7" width="16.85546875" customWidth="1"/>
    <col min="8" max="8" width="29.85546875" bestFit="1" customWidth="1"/>
    <col min="9" max="9" width="16.855468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947</v>
      </c>
      <c r="K1" s="1" t="s">
        <v>948</v>
      </c>
      <c r="L1" s="1"/>
      <c r="M1" s="1"/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841</v>
      </c>
      <c r="B7" s="3" t="s">
        <v>21</v>
      </c>
      <c r="C7" s="2" t="str">
        <f t="shared" si="0"/>
        <v>AO4411</v>
      </c>
      <c r="D7" s="3" t="s">
        <v>842</v>
      </c>
      <c r="E7" s="3" t="s">
        <v>843</v>
      </c>
      <c r="F7" t="str">
        <f t="shared" si="1"/>
        <v>Footprints\SOIC-8.PcbLib</v>
      </c>
      <c r="G7" s="1" t="s">
        <v>78</v>
      </c>
      <c r="H7" s="2"/>
    </row>
    <row r="8" spans="1:19" ht="15.75" x14ac:dyDescent="0.25">
      <c r="A8" s="1" t="s">
        <v>844</v>
      </c>
      <c r="B8" s="1" t="s">
        <v>845</v>
      </c>
      <c r="C8" s="2" t="str">
        <f>A8</f>
        <v>AO4812</v>
      </c>
      <c r="D8" s="3" t="s">
        <v>846</v>
      </c>
      <c r="E8" s="1" t="s">
        <v>844</v>
      </c>
      <c r="F8" t="str">
        <f t="shared" si="1"/>
        <v>Footprints\SOP8.PcbLib</v>
      </c>
      <c r="G8" s="1" t="s">
        <v>868</v>
      </c>
      <c r="J8" t="s">
        <v>951</v>
      </c>
      <c r="K8" t="s">
        <v>952</v>
      </c>
    </row>
    <row r="9" spans="1:19" ht="15.75" x14ac:dyDescent="0.25">
      <c r="A9" s="1" t="s">
        <v>943</v>
      </c>
      <c r="B9" s="1" t="s">
        <v>944</v>
      </c>
      <c r="C9" s="2" t="str">
        <f>A9</f>
        <v>bc807</v>
      </c>
      <c r="D9" s="3" t="s">
        <v>946</v>
      </c>
      <c r="E9" s="1" t="s">
        <v>945</v>
      </c>
      <c r="F9" t="str">
        <f>CONCATENATE("Footprints\",G9,".PcbLib")</f>
        <v>Footprints\SOT23-3.PcbLib</v>
      </c>
      <c r="G9" s="3" t="s">
        <v>18</v>
      </c>
      <c r="J9" t="s">
        <v>949</v>
      </c>
      <c r="K9" t="s">
        <v>950</v>
      </c>
    </row>
    <row r="10" spans="1:19" ht="15.75" x14ac:dyDescent="0.25">
      <c r="A10" s="1" t="s">
        <v>972</v>
      </c>
      <c r="B10" s="1" t="s">
        <v>975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973</v>
      </c>
      <c r="K10" t="s">
        <v>974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140625" bestFit="1" customWidth="1"/>
    <col min="4" max="4" width="24.42578125" bestFit="1" customWidth="1"/>
    <col min="5" max="5" width="13" bestFit="1" customWidth="1"/>
    <col min="6" max="6" width="8.140625" bestFit="1" customWidth="1"/>
    <col min="7" max="7" width="12.140625" bestFit="1" customWidth="1"/>
    <col min="8" max="8" width="32" bestFit="1" customWidth="1"/>
    <col min="9" max="9" width="16.85546875" bestFit="1" customWidth="1"/>
    <col min="10" max="10" width="31.140625" customWidth="1"/>
    <col min="11" max="11" width="18.140625" customWidth="1"/>
    <col min="12" max="12" width="16.85546875" customWidth="1"/>
    <col min="13" max="13" width="18.140625" customWidth="1"/>
    <col min="14" max="14" width="16.855468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75" x14ac:dyDescent="0.25">
      <c r="A2" s="3" t="s">
        <v>133</v>
      </c>
      <c r="B2" s="3" t="s">
        <v>524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75" x14ac:dyDescent="0.25">
      <c r="A3" s="3" t="s">
        <v>137</v>
      </c>
      <c r="B3" s="3" t="s">
        <v>525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75" x14ac:dyDescent="0.25">
      <c r="A4" s="3" t="s">
        <v>139</v>
      </c>
      <c r="B4" s="3" t="s">
        <v>526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75" x14ac:dyDescent="0.25">
      <c r="A5" s="3" t="s">
        <v>141</v>
      </c>
      <c r="B5" s="3" t="s">
        <v>527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75" x14ac:dyDescent="0.25">
      <c r="A6" s="3" t="s">
        <v>143</v>
      </c>
      <c r="B6" s="3" t="s">
        <v>528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75" x14ac:dyDescent="0.25">
      <c r="A7" s="3" t="s">
        <v>145</v>
      </c>
      <c r="B7" s="3" t="s">
        <v>529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75" x14ac:dyDescent="0.25">
      <c r="A8" s="3" t="s">
        <v>147</v>
      </c>
      <c r="B8" s="3" t="s">
        <v>530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75" x14ac:dyDescent="0.25">
      <c r="A9" s="3" t="s">
        <v>149</v>
      </c>
      <c r="B9" s="3" t="s">
        <v>531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75" x14ac:dyDescent="0.25">
      <c r="A10" s="3" t="s">
        <v>151</v>
      </c>
      <c r="B10" s="3" t="s">
        <v>532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75" x14ac:dyDescent="0.25">
      <c r="A11" s="3" t="s">
        <v>153</v>
      </c>
      <c r="B11" s="3" t="s">
        <v>533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75" x14ac:dyDescent="0.25">
      <c r="A12" s="3" t="s">
        <v>464</v>
      </c>
      <c r="B12" s="3" t="s">
        <v>534</v>
      </c>
      <c r="C12" s="3" t="s">
        <v>26</v>
      </c>
      <c r="D12" s="3" t="s">
        <v>29</v>
      </c>
      <c r="E12" s="3" t="s">
        <v>26</v>
      </c>
      <c r="F12" s="3" t="s">
        <v>379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75" x14ac:dyDescent="0.25">
      <c r="A13" s="3" t="s">
        <v>465</v>
      </c>
      <c r="B13" s="3" t="s">
        <v>535</v>
      </c>
      <c r="C13" s="3" t="s">
        <v>26</v>
      </c>
      <c r="D13" s="3" t="s">
        <v>29</v>
      </c>
      <c r="E13" s="3" t="s">
        <v>26</v>
      </c>
      <c r="F13" s="3" t="s">
        <v>380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75" x14ac:dyDescent="0.25">
      <c r="A14" s="3" t="s">
        <v>466</v>
      </c>
      <c r="B14" s="3" t="s">
        <v>536</v>
      </c>
      <c r="C14" s="3" t="s">
        <v>26</v>
      </c>
      <c r="D14" s="3" t="s">
        <v>29</v>
      </c>
      <c r="E14" s="3" t="s">
        <v>26</v>
      </c>
      <c r="F14" s="3" t="s">
        <v>381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75" x14ac:dyDescent="0.25">
      <c r="A15" s="3" t="s">
        <v>467</v>
      </c>
      <c r="B15" s="3" t="s">
        <v>537</v>
      </c>
      <c r="C15" s="3" t="s">
        <v>26</v>
      </c>
      <c r="D15" s="3" t="s">
        <v>29</v>
      </c>
      <c r="E15" s="3" t="s">
        <v>26</v>
      </c>
      <c r="F15" s="3" t="s">
        <v>382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75" x14ac:dyDescent="0.25">
      <c r="A16" s="3" t="s">
        <v>468</v>
      </c>
      <c r="B16" s="3" t="s">
        <v>538</v>
      </c>
      <c r="C16" s="3" t="s">
        <v>26</v>
      </c>
      <c r="D16" s="3" t="s">
        <v>29</v>
      </c>
      <c r="E16" s="3" t="s">
        <v>26</v>
      </c>
      <c r="F16" s="3" t="s">
        <v>383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75" x14ac:dyDescent="0.25">
      <c r="A17" s="3" t="s">
        <v>469</v>
      </c>
      <c r="B17" s="3" t="s">
        <v>539</v>
      </c>
      <c r="C17" s="3" t="s">
        <v>26</v>
      </c>
      <c r="D17" s="3" t="s">
        <v>29</v>
      </c>
      <c r="E17" s="3" t="s">
        <v>26</v>
      </c>
      <c r="F17" s="3" t="s">
        <v>384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75" x14ac:dyDescent="0.25">
      <c r="A18" s="3" t="s">
        <v>470</v>
      </c>
      <c r="B18" s="3" t="s">
        <v>540</v>
      </c>
      <c r="C18" s="3" t="s">
        <v>26</v>
      </c>
      <c r="D18" s="3" t="s">
        <v>29</v>
      </c>
      <c r="E18" s="3" t="s">
        <v>26</v>
      </c>
      <c r="F18" s="3" t="s">
        <v>385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75" x14ac:dyDescent="0.25">
      <c r="A19" s="3" t="s">
        <v>155</v>
      </c>
      <c r="B19" s="3" t="s">
        <v>541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75" x14ac:dyDescent="0.25">
      <c r="A20" s="3" t="s">
        <v>157</v>
      </c>
      <c r="B20" s="3" t="s">
        <v>542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75" x14ac:dyDescent="0.25">
      <c r="A21" s="3" t="s">
        <v>159</v>
      </c>
      <c r="B21" s="3" t="s">
        <v>543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75" x14ac:dyDescent="0.25">
      <c r="A22" s="3" t="s">
        <v>161</v>
      </c>
      <c r="B22" s="3" t="s">
        <v>544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75" x14ac:dyDescent="0.25">
      <c r="A23" s="3" t="s">
        <v>163</v>
      </c>
      <c r="B23" s="3" t="s">
        <v>545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75" x14ac:dyDescent="0.25">
      <c r="A24" s="3" t="s">
        <v>517</v>
      </c>
      <c r="B24" s="3" t="s">
        <v>546</v>
      </c>
      <c r="C24" s="3" t="s">
        <v>26</v>
      </c>
      <c r="D24" s="3" t="s">
        <v>29</v>
      </c>
      <c r="E24" s="3" t="s">
        <v>26</v>
      </c>
      <c r="F24" s="3" t="s">
        <v>693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75" x14ac:dyDescent="0.25">
      <c r="A25" s="3" t="s">
        <v>165</v>
      </c>
      <c r="B25" s="3" t="s">
        <v>547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75" x14ac:dyDescent="0.25">
      <c r="A26" s="3" t="s">
        <v>167</v>
      </c>
      <c r="B26" s="3" t="s">
        <v>548</v>
      </c>
      <c r="C26" s="3" t="s">
        <v>26</v>
      </c>
      <c r="D26" s="3" t="s">
        <v>29</v>
      </c>
      <c r="E26" s="3" t="s">
        <v>26</v>
      </c>
      <c r="F26" s="3" t="s">
        <v>386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75" x14ac:dyDescent="0.25">
      <c r="A27" s="3" t="s">
        <v>168</v>
      </c>
      <c r="B27" s="3" t="s">
        <v>549</v>
      </c>
      <c r="C27" s="3" t="s">
        <v>26</v>
      </c>
      <c r="D27" s="3" t="s">
        <v>29</v>
      </c>
      <c r="E27" s="3" t="s">
        <v>26</v>
      </c>
      <c r="F27" s="3" t="s">
        <v>387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75" x14ac:dyDescent="0.25">
      <c r="A28" s="3" t="s">
        <v>169</v>
      </c>
      <c r="B28" s="3" t="s">
        <v>550</v>
      </c>
      <c r="C28" s="3" t="s">
        <v>26</v>
      </c>
      <c r="D28" s="3" t="s">
        <v>29</v>
      </c>
      <c r="E28" s="3" t="s">
        <v>26</v>
      </c>
      <c r="F28" s="3" t="s">
        <v>388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75" x14ac:dyDescent="0.25">
      <c r="A29" s="3" t="s">
        <v>170</v>
      </c>
      <c r="B29" s="3" t="s">
        <v>551</v>
      </c>
      <c r="C29" s="3" t="s">
        <v>26</v>
      </c>
      <c r="D29" s="3" t="s">
        <v>29</v>
      </c>
      <c r="E29" s="3" t="s">
        <v>26</v>
      </c>
      <c r="F29" s="3" t="s">
        <v>389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75" x14ac:dyDescent="0.25">
      <c r="A30" s="3" t="s">
        <v>171</v>
      </c>
      <c r="B30" s="3" t="s">
        <v>552</v>
      </c>
      <c r="C30" s="3" t="s">
        <v>26</v>
      </c>
      <c r="D30" s="3" t="s">
        <v>29</v>
      </c>
      <c r="E30" s="3" t="s">
        <v>26</v>
      </c>
      <c r="F30" s="3" t="s">
        <v>390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75" x14ac:dyDescent="0.25">
      <c r="A31" s="3" t="s">
        <v>172</v>
      </c>
      <c r="B31" s="3" t="s">
        <v>553</v>
      </c>
      <c r="C31" s="3" t="s">
        <v>26</v>
      </c>
      <c r="D31" s="3" t="s">
        <v>29</v>
      </c>
      <c r="E31" s="3" t="s">
        <v>26</v>
      </c>
      <c r="F31" s="3" t="s">
        <v>391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75" x14ac:dyDescent="0.25">
      <c r="A32" s="3" t="s">
        <v>173</v>
      </c>
      <c r="B32" s="3" t="s">
        <v>554</v>
      </c>
      <c r="C32" s="3" t="s">
        <v>26</v>
      </c>
      <c r="D32" s="3" t="s">
        <v>29</v>
      </c>
      <c r="E32" s="3" t="s">
        <v>26</v>
      </c>
      <c r="F32" s="3" t="s">
        <v>392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75" x14ac:dyDescent="0.25">
      <c r="A33" s="3" t="s">
        <v>174</v>
      </c>
      <c r="B33" s="3" t="s">
        <v>555</v>
      </c>
      <c r="C33" s="3" t="s">
        <v>26</v>
      </c>
      <c r="D33" s="3" t="s">
        <v>29</v>
      </c>
      <c r="E33" s="3" t="s">
        <v>26</v>
      </c>
      <c r="F33" s="3" t="s">
        <v>393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75" x14ac:dyDescent="0.25">
      <c r="A34" s="3" t="s">
        <v>175</v>
      </c>
      <c r="B34" s="3" t="s">
        <v>556</v>
      </c>
      <c r="C34" s="3" t="s">
        <v>26</v>
      </c>
      <c r="D34" s="3" t="s">
        <v>29</v>
      </c>
      <c r="E34" s="3" t="s">
        <v>26</v>
      </c>
      <c r="F34" s="3" t="s">
        <v>394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75" x14ac:dyDescent="0.25">
      <c r="A35" s="3" t="s">
        <v>176</v>
      </c>
      <c r="B35" s="3" t="s">
        <v>557</v>
      </c>
      <c r="C35" s="3" t="s">
        <v>26</v>
      </c>
      <c r="D35" s="3" t="s">
        <v>29</v>
      </c>
      <c r="E35" s="3" t="s">
        <v>26</v>
      </c>
      <c r="F35" s="3" t="s">
        <v>395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75" x14ac:dyDescent="0.25">
      <c r="A36" s="3" t="s">
        <v>471</v>
      </c>
      <c r="B36" s="3" t="s">
        <v>558</v>
      </c>
      <c r="C36" s="3" t="s">
        <v>26</v>
      </c>
      <c r="D36" s="3" t="s">
        <v>29</v>
      </c>
      <c r="E36" s="3" t="s">
        <v>26</v>
      </c>
      <c r="F36" s="3" t="s">
        <v>396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75" x14ac:dyDescent="0.25">
      <c r="A37" s="3" t="s">
        <v>472</v>
      </c>
      <c r="B37" s="3" t="s">
        <v>559</v>
      </c>
      <c r="C37" s="3" t="s">
        <v>26</v>
      </c>
      <c r="D37" s="3" t="s">
        <v>29</v>
      </c>
      <c r="E37" s="3" t="s">
        <v>26</v>
      </c>
      <c r="F37" s="3" t="s">
        <v>397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75" x14ac:dyDescent="0.25">
      <c r="A38" s="3" t="s">
        <v>473</v>
      </c>
      <c r="B38" s="3" t="s">
        <v>560</v>
      </c>
      <c r="C38" s="3" t="s">
        <v>26</v>
      </c>
      <c r="D38" s="3" t="s">
        <v>29</v>
      </c>
      <c r="E38" s="3" t="s">
        <v>26</v>
      </c>
      <c r="F38" s="3" t="s">
        <v>398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75" x14ac:dyDescent="0.25">
      <c r="A39" s="3" t="s">
        <v>474</v>
      </c>
      <c r="B39" s="3" t="s">
        <v>561</v>
      </c>
      <c r="C39" s="3" t="s">
        <v>26</v>
      </c>
      <c r="D39" s="3" t="s">
        <v>29</v>
      </c>
      <c r="E39" s="3" t="s">
        <v>26</v>
      </c>
      <c r="F39" s="3" t="s">
        <v>399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75" x14ac:dyDescent="0.25">
      <c r="A40" s="3" t="s">
        <v>475</v>
      </c>
      <c r="B40" s="3" t="s">
        <v>562</v>
      </c>
      <c r="C40" s="3" t="s">
        <v>26</v>
      </c>
      <c r="D40" s="3" t="s">
        <v>29</v>
      </c>
      <c r="E40" s="3" t="s">
        <v>26</v>
      </c>
      <c r="F40" s="3" t="s">
        <v>400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75" x14ac:dyDescent="0.25">
      <c r="A41" s="3" t="s">
        <v>476</v>
      </c>
      <c r="B41" s="3" t="s">
        <v>563</v>
      </c>
      <c r="C41" s="3" t="s">
        <v>26</v>
      </c>
      <c r="D41" s="3" t="s">
        <v>29</v>
      </c>
      <c r="E41" s="3" t="s">
        <v>26</v>
      </c>
      <c r="F41" s="3" t="s">
        <v>401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75" x14ac:dyDescent="0.25">
      <c r="A42" s="3" t="s">
        <v>477</v>
      </c>
      <c r="B42" s="3" t="s">
        <v>564</v>
      </c>
      <c r="C42" s="3" t="s">
        <v>26</v>
      </c>
      <c r="D42" s="3" t="s">
        <v>29</v>
      </c>
      <c r="E42" s="3" t="s">
        <v>26</v>
      </c>
      <c r="F42" s="3" t="s">
        <v>402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75" x14ac:dyDescent="0.25">
      <c r="A43" s="3" t="s">
        <v>177</v>
      </c>
      <c r="B43" s="3" t="s">
        <v>565</v>
      </c>
      <c r="C43" s="3" t="s">
        <v>26</v>
      </c>
      <c r="D43" s="3" t="s">
        <v>29</v>
      </c>
      <c r="E43" s="3" t="s">
        <v>26</v>
      </c>
      <c r="F43" s="3" t="s">
        <v>403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75" x14ac:dyDescent="0.25">
      <c r="A44" s="3" t="s">
        <v>178</v>
      </c>
      <c r="B44" s="3" t="s">
        <v>566</v>
      </c>
      <c r="C44" s="3" t="s">
        <v>26</v>
      </c>
      <c r="D44" s="3" t="s">
        <v>29</v>
      </c>
      <c r="E44" s="3" t="s">
        <v>26</v>
      </c>
      <c r="F44" s="3" t="s">
        <v>404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75" x14ac:dyDescent="0.25">
      <c r="A45" s="3" t="s">
        <v>179</v>
      </c>
      <c r="B45" s="3" t="s">
        <v>567</v>
      </c>
      <c r="C45" s="3" t="s">
        <v>26</v>
      </c>
      <c r="D45" s="3" t="s">
        <v>29</v>
      </c>
      <c r="E45" s="3" t="s">
        <v>26</v>
      </c>
      <c r="F45" s="3" t="s">
        <v>405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75" x14ac:dyDescent="0.25">
      <c r="A46" s="3" t="s">
        <v>180</v>
      </c>
      <c r="B46" s="3" t="s">
        <v>568</v>
      </c>
      <c r="C46" s="3" t="s">
        <v>26</v>
      </c>
      <c r="D46" s="3" t="s">
        <v>29</v>
      </c>
      <c r="E46" s="3" t="s">
        <v>26</v>
      </c>
      <c r="F46" s="3" t="s">
        <v>406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75" x14ac:dyDescent="0.25">
      <c r="A47" s="3" t="s">
        <v>181</v>
      </c>
      <c r="B47" s="3" t="s">
        <v>569</v>
      </c>
      <c r="C47" s="3" t="s">
        <v>26</v>
      </c>
      <c r="D47" s="3" t="s">
        <v>29</v>
      </c>
      <c r="E47" s="3" t="s">
        <v>26</v>
      </c>
      <c r="F47" s="3" t="s">
        <v>407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75" x14ac:dyDescent="0.25">
      <c r="A48" s="3" t="s">
        <v>518</v>
      </c>
      <c r="B48" s="3" t="s">
        <v>570</v>
      </c>
      <c r="C48" s="3" t="s">
        <v>26</v>
      </c>
      <c r="D48" s="3" t="s">
        <v>29</v>
      </c>
      <c r="E48" s="3" t="s">
        <v>26</v>
      </c>
      <c r="F48" s="3" t="s">
        <v>694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75" x14ac:dyDescent="0.25">
      <c r="A49" s="3" t="s">
        <v>182</v>
      </c>
      <c r="B49" s="3" t="s">
        <v>571</v>
      </c>
      <c r="C49" s="3" t="s">
        <v>26</v>
      </c>
      <c r="D49" s="3" t="s">
        <v>29</v>
      </c>
      <c r="E49" s="3" t="s">
        <v>26</v>
      </c>
      <c r="F49" s="3" t="s">
        <v>408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75" x14ac:dyDescent="0.25">
      <c r="A50" s="3" t="s">
        <v>183</v>
      </c>
      <c r="B50" s="3" t="s">
        <v>572</v>
      </c>
      <c r="C50" s="3" t="s">
        <v>26</v>
      </c>
      <c r="D50" s="3" t="s">
        <v>29</v>
      </c>
      <c r="E50" s="3" t="s">
        <v>26</v>
      </c>
      <c r="F50" s="3" t="s">
        <v>409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75" x14ac:dyDescent="0.25">
      <c r="A51" s="3" t="s">
        <v>184</v>
      </c>
      <c r="B51" s="3" t="s">
        <v>573</v>
      </c>
      <c r="C51" s="3" t="s">
        <v>26</v>
      </c>
      <c r="D51" s="3" t="s">
        <v>29</v>
      </c>
      <c r="E51" s="3" t="s">
        <v>26</v>
      </c>
      <c r="F51" s="3" t="s">
        <v>410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75" x14ac:dyDescent="0.25">
      <c r="A52" s="3" t="s">
        <v>185</v>
      </c>
      <c r="B52" s="3" t="s">
        <v>574</v>
      </c>
      <c r="C52" s="3" t="s">
        <v>26</v>
      </c>
      <c r="D52" s="3" t="s">
        <v>29</v>
      </c>
      <c r="E52" s="3" t="s">
        <v>26</v>
      </c>
      <c r="F52" s="3" t="s">
        <v>411</v>
      </c>
      <c r="G52" s="4">
        <v>0.01</v>
      </c>
      <c r="H52" s="3" t="s">
        <v>136</v>
      </c>
      <c r="I52" s="3" t="s">
        <v>32</v>
      </c>
      <c r="J52" s="3" t="s">
        <v>954</v>
      </c>
      <c r="K52" s="1" t="s">
        <v>953</v>
      </c>
    </row>
    <row r="53" spans="1:11" ht="15.75" x14ac:dyDescent="0.25">
      <c r="A53" s="3" t="s">
        <v>186</v>
      </c>
      <c r="B53" s="3" t="s">
        <v>575</v>
      </c>
      <c r="C53" s="3" t="s">
        <v>26</v>
      </c>
      <c r="D53" s="3" t="s">
        <v>29</v>
      </c>
      <c r="E53" s="3" t="s">
        <v>26</v>
      </c>
      <c r="F53" s="3" t="s">
        <v>412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75" x14ac:dyDescent="0.25">
      <c r="A54" s="3" t="s">
        <v>187</v>
      </c>
      <c r="B54" s="3" t="s">
        <v>576</v>
      </c>
      <c r="C54" s="3" t="s">
        <v>26</v>
      </c>
      <c r="D54" s="3" t="s">
        <v>29</v>
      </c>
      <c r="E54" s="3" t="s">
        <v>26</v>
      </c>
      <c r="F54" s="3" t="s">
        <v>413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75" x14ac:dyDescent="0.25">
      <c r="A55" s="3" t="s">
        <v>188</v>
      </c>
      <c r="B55" s="3" t="s">
        <v>577</v>
      </c>
      <c r="C55" s="3" t="s">
        <v>26</v>
      </c>
      <c r="D55" s="3" t="s">
        <v>29</v>
      </c>
      <c r="E55" s="3" t="s">
        <v>26</v>
      </c>
      <c r="F55" s="3" t="s">
        <v>414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75" x14ac:dyDescent="0.25">
      <c r="A56" s="3" t="s">
        <v>189</v>
      </c>
      <c r="B56" s="3" t="s">
        <v>578</v>
      </c>
      <c r="C56" s="3" t="s">
        <v>26</v>
      </c>
      <c r="D56" s="3" t="s">
        <v>29</v>
      </c>
      <c r="E56" s="3" t="s">
        <v>26</v>
      </c>
      <c r="F56" s="3" t="s">
        <v>415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75" x14ac:dyDescent="0.25">
      <c r="A57" s="3" t="s">
        <v>190</v>
      </c>
      <c r="B57" s="3" t="s">
        <v>579</v>
      </c>
      <c r="C57" s="3" t="s">
        <v>26</v>
      </c>
      <c r="D57" s="3" t="s">
        <v>29</v>
      </c>
      <c r="E57" s="3" t="s">
        <v>26</v>
      </c>
      <c r="F57" s="3" t="s">
        <v>416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75" x14ac:dyDescent="0.25">
      <c r="A58" s="3" t="s">
        <v>191</v>
      </c>
      <c r="B58" s="3" t="s">
        <v>580</v>
      </c>
      <c r="C58" s="3" t="s">
        <v>26</v>
      </c>
      <c r="D58" s="3" t="s">
        <v>29</v>
      </c>
      <c r="E58" s="3" t="s">
        <v>26</v>
      </c>
      <c r="F58" s="3" t="s">
        <v>417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75" x14ac:dyDescent="0.25">
      <c r="A59" s="3" t="s">
        <v>192</v>
      </c>
      <c r="B59" s="3" t="s">
        <v>581</v>
      </c>
      <c r="C59" s="3" t="s">
        <v>26</v>
      </c>
      <c r="D59" s="3" t="s">
        <v>29</v>
      </c>
      <c r="E59" s="3" t="s">
        <v>26</v>
      </c>
      <c r="F59" s="3" t="s">
        <v>418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75" x14ac:dyDescent="0.25">
      <c r="A60" s="3" t="s">
        <v>478</v>
      </c>
      <c r="B60" s="3" t="s">
        <v>582</v>
      </c>
      <c r="C60" s="3" t="s">
        <v>26</v>
      </c>
      <c r="D60" s="3" t="s">
        <v>29</v>
      </c>
      <c r="E60" s="3" t="s">
        <v>26</v>
      </c>
      <c r="F60" s="3" t="s">
        <v>419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75" x14ac:dyDescent="0.25">
      <c r="A61" s="3" t="s">
        <v>479</v>
      </c>
      <c r="B61" s="3" t="s">
        <v>583</v>
      </c>
      <c r="C61" s="3" t="s">
        <v>26</v>
      </c>
      <c r="D61" s="3" t="s">
        <v>29</v>
      </c>
      <c r="E61" s="3" t="s">
        <v>26</v>
      </c>
      <c r="F61" s="3" t="s">
        <v>420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75" x14ac:dyDescent="0.25">
      <c r="A62" s="3" t="s">
        <v>480</v>
      </c>
      <c r="B62" s="3" t="s">
        <v>584</v>
      </c>
      <c r="C62" s="3" t="s">
        <v>26</v>
      </c>
      <c r="D62" s="3" t="s">
        <v>29</v>
      </c>
      <c r="E62" s="3" t="s">
        <v>26</v>
      </c>
      <c r="F62" s="3" t="s">
        <v>421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75" x14ac:dyDescent="0.25">
      <c r="A63" s="3" t="s">
        <v>481</v>
      </c>
      <c r="B63" s="3" t="s">
        <v>585</v>
      </c>
      <c r="C63" s="3" t="s">
        <v>26</v>
      </c>
      <c r="D63" s="3" t="s">
        <v>29</v>
      </c>
      <c r="E63" s="3" t="s">
        <v>26</v>
      </c>
      <c r="F63" s="3" t="s">
        <v>422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75" x14ac:dyDescent="0.25">
      <c r="A64" s="3" t="s">
        <v>482</v>
      </c>
      <c r="B64" s="3" t="s">
        <v>586</v>
      </c>
      <c r="C64" s="3" t="s">
        <v>26</v>
      </c>
      <c r="D64" s="3" t="s">
        <v>29</v>
      </c>
      <c r="E64" s="3" t="s">
        <v>26</v>
      </c>
      <c r="F64" s="3" t="s">
        <v>423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75" x14ac:dyDescent="0.25">
      <c r="A65" s="3" t="s">
        <v>483</v>
      </c>
      <c r="B65" s="3" t="s">
        <v>587</v>
      </c>
      <c r="C65" s="3" t="s">
        <v>26</v>
      </c>
      <c r="D65" s="3" t="s">
        <v>29</v>
      </c>
      <c r="E65" s="3" t="s">
        <v>26</v>
      </c>
      <c r="F65" s="3" t="s">
        <v>424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75" x14ac:dyDescent="0.25">
      <c r="A66" s="3" t="s">
        <v>484</v>
      </c>
      <c r="B66" s="3" t="s">
        <v>588</v>
      </c>
      <c r="C66" s="3" t="s">
        <v>26</v>
      </c>
      <c r="D66" s="3" t="s">
        <v>29</v>
      </c>
      <c r="E66" s="3" t="s">
        <v>26</v>
      </c>
      <c r="F66" s="3" t="s">
        <v>425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75" x14ac:dyDescent="0.25">
      <c r="A67" s="3" t="s">
        <v>193</v>
      </c>
      <c r="B67" s="3" t="s">
        <v>589</v>
      </c>
      <c r="C67" s="3" t="s">
        <v>26</v>
      </c>
      <c r="D67" s="3" t="s">
        <v>29</v>
      </c>
      <c r="E67" s="3" t="s">
        <v>26</v>
      </c>
      <c r="F67" s="3" t="s">
        <v>426</v>
      </c>
      <c r="G67" s="4">
        <v>0.01</v>
      </c>
      <c r="H67" s="3" t="s">
        <v>136</v>
      </c>
      <c r="I67" s="3" t="s">
        <v>32</v>
      </c>
      <c r="J67" s="3" t="s">
        <v>901</v>
      </c>
      <c r="K67" s="1" t="s">
        <v>900</v>
      </c>
    </row>
    <row r="68" spans="1:11" ht="15.75" x14ac:dyDescent="0.25">
      <c r="A68" s="3" t="s">
        <v>194</v>
      </c>
      <c r="B68" s="3" t="s">
        <v>590</v>
      </c>
      <c r="C68" s="3" t="s">
        <v>26</v>
      </c>
      <c r="D68" s="3" t="s">
        <v>29</v>
      </c>
      <c r="E68" s="3" t="s">
        <v>26</v>
      </c>
      <c r="F68" s="3" t="s">
        <v>427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75" x14ac:dyDescent="0.25">
      <c r="A69" s="3" t="s">
        <v>195</v>
      </c>
      <c r="B69" s="3" t="s">
        <v>591</v>
      </c>
      <c r="C69" s="3" t="s">
        <v>26</v>
      </c>
      <c r="D69" s="3" t="s">
        <v>29</v>
      </c>
      <c r="E69" s="3" t="s">
        <v>26</v>
      </c>
      <c r="F69" s="3" t="s">
        <v>428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75" x14ac:dyDescent="0.25">
      <c r="A70" s="3" t="s">
        <v>196</v>
      </c>
      <c r="B70" s="3" t="s">
        <v>592</v>
      </c>
      <c r="C70" s="3" t="s">
        <v>26</v>
      </c>
      <c r="D70" s="3" t="s">
        <v>29</v>
      </c>
      <c r="E70" s="3" t="s">
        <v>26</v>
      </c>
      <c r="F70" s="3" t="s">
        <v>429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75" x14ac:dyDescent="0.25">
      <c r="A71" s="3" t="s">
        <v>197</v>
      </c>
      <c r="B71" s="3" t="s">
        <v>593</v>
      </c>
      <c r="C71" s="3" t="s">
        <v>26</v>
      </c>
      <c r="D71" s="3" t="s">
        <v>29</v>
      </c>
      <c r="E71" s="3" t="s">
        <v>26</v>
      </c>
      <c r="F71" s="3" t="s">
        <v>430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75" x14ac:dyDescent="0.25">
      <c r="A72" s="3" t="s">
        <v>519</v>
      </c>
      <c r="B72" s="3" t="s">
        <v>594</v>
      </c>
      <c r="C72" s="3" t="s">
        <v>26</v>
      </c>
      <c r="D72" s="3" t="s">
        <v>29</v>
      </c>
      <c r="E72" s="3" t="s">
        <v>26</v>
      </c>
      <c r="F72" s="3" t="s">
        <v>695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75" x14ac:dyDescent="0.25">
      <c r="A73" s="3" t="s">
        <v>198</v>
      </c>
      <c r="B73" s="3" t="s">
        <v>595</v>
      </c>
      <c r="C73" s="3" t="s">
        <v>26</v>
      </c>
      <c r="D73" s="3" t="s">
        <v>29</v>
      </c>
      <c r="E73" s="3" t="s">
        <v>26</v>
      </c>
      <c r="F73" s="3" t="s">
        <v>431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75" x14ac:dyDescent="0.25">
      <c r="A74" s="3" t="s">
        <v>485</v>
      </c>
      <c r="B74" s="3" t="s">
        <v>596</v>
      </c>
      <c r="C74" s="3" t="s">
        <v>26</v>
      </c>
      <c r="D74" s="3" t="s">
        <v>29</v>
      </c>
      <c r="E74" s="3" t="s">
        <v>26</v>
      </c>
      <c r="F74" s="3" t="s">
        <v>432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75" x14ac:dyDescent="0.25">
      <c r="A75" s="3" t="s">
        <v>199</v>
      </c>
      <c r="B75" s="3" t="s">
        <v>597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75" x14ac:dyDescent="0.25">
      <c r="A76" s="3" t="s">
        <v>201</v>
      </c>
      <c r="B76" s="3" t="s">
        <v>598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75" x14ac:dyDescent="0.25">
      <c r="A77" s="3" t="s">
        <v>203</v>
      </c>
      <c r="B77" s="3" t="s">
        <v>599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75" x14ac:dyDescent="0.25">
      <c r="A78" s="3" t="s">
        <v>205</v>
      </c>
      <c r="B78" s="3" t="s">
        <v>600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75" x14ac:dyDescent="0.25">
      <c r="A79" s="3" t="s">
        <v>207</v>
      </c>
      <c r="B79" s="3" t="s">
        <v>601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75" x14ac:dyDescent="0.25">
      <c r="A80" s="3" t="s">
        <v>209</v>
      </c>
      <c r="B80" s="3" t="s">
        <v>602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75" x14ac:dyDescent="0.25">
      <c r="A81" s="3" t="s">
        <v>486</v>
      </c>
      <c r="B81" s="3" t="s">
        <v>603</v>
      </c>
      <c r="C81" s="3" t="s">
        <v>26</v>
      </c>
      <c r="D81" s="3" t="s">
        <v>29</v>
      </c>
      <c r="E81" s="3" t="s">
        <v>26</v>
      </c>
      <c r="F81" s="3" t="s">
        <v>433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75" x14ac:dyDescent="0.25">
      <c r="A82" s="3" t="s">
        <v>211</v>
      </c>
      <c r="B82" s="3" t="s">
        <v>604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75" x14ac:dyDescent="0.25">
      <c r="A83" s="3" t="s">
        <v>213</v>
      </c>
      <c r="B83" s="3" t="s">
        <v>605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75" x14ac:dyDescent="0.25">
      <c r="A84" s="3" t="s">
        <v>487</v>
      </c>
      <c r="B84" s="3" t="s">
        <v>606</v>
      </c>
      <c r="C84" s="3" t="s">
        <v>26</v>
      </c>
      <c r="D84" s="3" t="s">
        <v>29</v>
      </c>
      <c r="E84" s="3" t="s">
        <v>26</v>
      </c>
      <c r="F84" s="3" t="s">
        <v>434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75" x14ac:dyDescent="0.25">
      <c r="A85" s="3" t="s">
        <v>488</v>
      </c>
      <c r="B85" s="3" t="s">
        <v>607</v>
      </c>
      <c r="C85" s="3" t="s">
        <v>26</v>
      </c>
      <c r="D85" s="3" t="s">
        <v>29</v>
      </c>
      <c r="E85" s="3" t="s">
        <v>26</v>
      </c>
      <c r="F85" s="3" t="s">
        <v>435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75" x14ac:dyDescent="0.25">
      <c r="A86" s="3" t="s">
        <v>489</v>
      </c>
      <c r="B86" s="3" t="s">
        <v>608</v>
      </c>
      <c r="C86" s="3" t="s">
        <v>26</v>
      </c>
      <c r="D86" s="3" t="s">
        <v>29</v>
      </c>
      <c r="E86" s="3" t="s">
        <v>26</v>
      </c>
      <c r="F86" s="3" t="s">
        <v>436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75" x14ac:dyDescent="0.25">
      <c r="A87" s="3" t="s">
        <v>490</v>
      </c>
      <c r="B87" s="3" t="s">
        <v>609</v>
      </c>
      <c r="C87" s="3" t="s">
        <v>26</v>
      </c>
      <c r="D87" s="3" t="s">
        <v>29</v>
      </c>
      <c r="E87" s="3" t="s">
        <v>26</v>
      </c>
      <c r="F87" s="3" t="s">
        <v>437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75" x14ac:dyDescent="0.25">
      <c r="A88" s="3" t="s">
        <v>491</v>
      </c>
      <c r="B88" s="3" t="s">
        <v>610</v>
      </c>
      <c r="C88" s="3" t="s">
        <v>26</v>
      </c>
      <c r="D88" s="3" t="s">
        <v>29</v>
      </c>
      <c r="E88" s="3" t="s">
        <v>26</v>
      </c>
      <c r="F88" s="3" t="s">
        <v>438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75" x14ac:dyDescent="0.25">
      <c r="A89" s="3" t="s">
        <v>492</v>
      </c>
      <c r="B89" s="3" t="s">
        <v>611</v>
      </c>
      <c r="C89" s="3" t="s">
        <v>26</v>
      </c>
      <c r="D89" s="3" t="s">
        <v>29</v>
      </c>
      <c r="E89" s="3" t="s">
        <v>26</v>
      </c>
      <c r="F89" s="3" t="s">
        <v>439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75" x14ac:dyDescent="0.25">
      <c r="A90" s="3" t="s">
        <v>493</v>
      </c>
      <c r="B90" s="3" t="s">
        <v>612</v>
      </c>
      <c r="C90" s="3" t="s">
        <v>26</v>
      </c>
      <c r="D90" s="3" t="s">
        <v>29</v>
      </c>
      <c r="E90" s="3" t="s">
        <v>26</v>
      </c>
      <c r="F90" s="3" t="s">
        <v>440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75" x14ac:dyDescent="0.25">
      <c r="A91" s="3" t="s">
        <v>215</v>
      </c>
      <c r="B91" s="3" t="s">
        <v>613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75" x14ac:dyDescent="0.25">
      <c r="A92" s="3" t="s">
        <v>217</v>
      </c>
      <c r="B92" s="3" t="s">
        <v>614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75" x14ac:dyDescent="0.25">
      <c r="A93" s="3" t="s">
        <v>219</v>
      </c>
      <c r="B93" s="3" t="s">
        <v>615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75" x14ac:dyDescent="0.25">
      <c r="A94" s="3" t="s">
        <v>221</v>
      </c>
      <c r="B94" s="3" t="s">
        <v>616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75" x14ac:dyDescent="0.25">
      <c r="A95" s="3" t="s">
        <v>223</v>
      </c>
      <c r="B95" s="3" t="s">
        <v>617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75" x14ac:dyDescent="0.25">
      <c r="A96" s="3" t="s">
        <v>520</v>
      </c>
      <c r="B96" s="3" t="s">
        <v>618</v>
      </c>
      <c r="C96" s="3" t="s">
        <v>26</v>
      </c>
      <c r="D96" s="3" t="s">
        <v>29</v>
      </c>
      <c r="E96" s="3" t="s">
        <v>26</v>
      </c>
      <c r="F96" s="3" t="s">
        <v>696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75" x14ac:dyDescent="0.25">
      <c r="A97" s="3" t="s">
        <v>225</v>
      </c>
      <c r="B97" s="3" t="s">
        <v>619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75" x14ac:dyDescent="0.25">
      <c r="A98" s="3" t="s">
        <v>227</v>
      </c>
      <c r="B98" s="3" t="s">
        <v>620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75" x14ac:dyDescent="0.25">
      <c r="A99" s="3" t="s">
        <v>229</v>
      </c>
      <c r="B99" s="3" t="s">
        <v>621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75" x14ac:dyDescent="0.25">
      <c r="A100" s="3" t="s">
        <v>494</v>
      </c>
      <c r="B100" s="3" t="s">
        <v>622</v>
      </c>
      <c r="C100" s="3" t="s">
        <v>26</v>
      </c>
      <c r="D100" s="3" t="s">
        <v>29</v>
      </c>
      <c r="E100" s="3" t="s">
        <v>26</v>
      </c>
      <c r="F100" s="3" t="s">
        <v>441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75" x14ac:dyDescent="0.25">
      <c r="A101" s="3" t="s">
        <v>231</v>
      </c>
      <c r="B101" s="3" t="s">
        <v>623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75" x14ac:dyDescent="0.25">
      <c r="A102" s="3" t="s">
        <v>233</v>
      </c>
      <c r="B102" s="3" t="s">
        <v>624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75" x14ac:dyDescent="0.25">
      <c r="A103" s="3" t="s">
        <v>235</v>
      </c>
      <c r="B103" s="3" t="s">
        <v>625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75" x14ac:dyDescent="0.25">
      <c r="A104" s="3" t="s">
        <v>237</v>
      </c>
      <c r="B104" s="3" t="s">
        <v>626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75" x14ac:dyDescent="0.25">
      <c r="A105" s="3" t="s">
        <v>239</v>
      </c>
      <c r="B105" s="3" t="s">
        <v>627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75" x14ac:dyDescent="0.25">
      <c r="A106" s="3" t="s">
        <v>241</v>
      </c>
      <c r="B106" s="3" t="s">
        <v>628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75" x14ac:dyDescent="0.25">
      <c r="A107" s="3" t="s">
        <v>243</v>
      </c>
      <c r="B107" s="3" t="s">
        <v>629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75" x14ac:dyDescent="0.25">
      <c r="A108" s="3" t="s">
        <v>495</v>
      </c>
      <c r="B108" s="3" t="s">
        <v>630</v>
      </c>
      <c r="C108" s="3" t="s">
        <v>26</v>
      </c>
      <c r="D108" s="3" t="s">
        <v>29</v>
      </c>
      <c r="E108" s="3" t="s">
        <v>26</v>
      </c>
      <c r="F108" s="3" t="s">
        <v>442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75" x14ac:dyDescent="0.25">
      <c r="A109" s="3" t="s">
        <v>496</v>
      </c>
      <c r="B109" s="3" t="s">
        <v>631</v>
      </c>
      <c r="C109" s="3" t="s">
        <v>26</v>
      </c>
      <c r="D109" s="3" t="s">
        <v>29</v>
      </c>
      <c r="E109" s="3" t="s">
        <v>26</v>
      </c>
      <c r="F109" s="3" t="s">
        <v>443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75" x14ac:dyDescent="0.25">
      <c r="A110" s="3" t="s">
        <v>856</v>
      </c>
      <c r="B110" s="3" t="s">
        <v>858</v>
      </c>
      <c r="C110" s="3" t="s">
        <v>26</v>
      </c>
      <c r="D110" s="3" t="s">
        <v>29</v>
      </c>
      <c r="E110" s="3" t="s">
        <v>26</v>
      </c>
      <c r="F110" s="1" t="s">
        <v>857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75" x14ac:dyDescent="0.25">
      <c r="A111" s="3" t="s">
        <v>497</v>
      </c>
      <c r="B111" s="3" t="s">
        <v>632</v>
      </c>
      <c r="C111" s="3" t="s">
        <v>26</v>
      </c>
      <c r="D111" s="3" t="s">
        <v>29</v>
      </c>
      <c r="E111" s="3" t="s">
        <v>26</v>
      </c>
      <c r="F111" s="3" t="s">
        <v>444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75" x14ac:dyDescent="0.25">
      <c r="A112" s="3" t="s">
        <v>498</v>
      </c>
      <c r="B112" s="3" t="s">
        <v>633</v>
      </c>
      <c r="C112" s="3" t="s">
        <v>26</v>
      </c>
      <c r="D112" s="3" t="s">
        <v>29</v>
      </c>
      <c r="E112" s="3" t="s">
        <v>26</v>
      </c>
      <c r="F112" s="3" t="s">
        <v>445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75" x14ac:dyDescent="0.25">
      <c r="A113" s="3" t="s">
        <v>499</v>
      </c>
      <c r="B113" s="3" t="s">
        <v>634</v>
      </c>
      <c r="C113" s="3" t="s">
        <v>26</v>
      </c>
      <c r="D113" s="3" t="s">
        <v>29</v>
      </c>
      <c r="E113" s="3" t="s">
        <v>26</v>
      </c>
      <c r="F113" s="3" t="s">
        <v>446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75" x14ac:dyDescent="0.25">
      <c r="A114" s="3" t="s">
        <v>500</v>
      </c>
      <c r="B114" s="3" t="s">
        <v>635</v>
      </c>
      <c r="C114" s="3" t="s">
        <v>26</v>
      </c>
      <c r="D114" s="3" t="s">
        <v>29</v>
      </c>
      <c r="E114" s="3" t="s">
        <v>26</v>
      </c>
      <c r="F114" s="3" t="s">
        <v>447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75" x14ac:dyDescent="0.25">
      <c r="A115" s="3" t="s">
        <v>501</v>
      </c>
      <c r="B115" s="3" t="s">
        <v>636</v>
      </c>
      <c r="C115" s="3" t="s">
        <v>26</v>
      </c>
      <c r="D115" s="3" t="s">
        <v>29</v>
      </c>
      <c r="E115" s="3" t="s">
        <v>26</v>
      </c>
      <c r="F115" s="3" t="s">
        <v>448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75" x14ac:dyDescent="0.25">
      <c r="A116" s="3" t="s">
        <v>245</v>
      </c>
      <c r="B116" s="3" t="s">
        <v>637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75" x14ac:dyDescent="0.25">
      <c r="A117" s="3" t="s">
        <v>247</v>
      </c>
      <c r="B117" s="3" t="s">
        <v>638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75" x14ac:dyDescent="0.25">
      <c r="A118" s="3" t="s">
        <v>249</v>
      </c>
      <c r="B118" s="3" t="s">
        <v>639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75" x14ac:dyDescent="0.25">
      <c r="A119" s="3" t="s">
        <v>251</v>
      </c>
      <c r="B119" s="3" t="s">
        <v>640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75" x14ac:dyDescent="0.25">
      <c r="A120" s="3" t="s">
        <v>253</v>
      </c>
      <c r="B120" s="3" t="s">
        <v>641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75" x14ac:dyDescent="0.25">
      <c r="A121" s="3" t="s">
        <v>521</v>
      </c>
      <c r="B121" s="3" t="s">
        <v>642</v>
      </c>
      <c r="C121" s="3" t="s">
        <v>26</v>
      </c>
      <c r="D121" s="3" t="s">
        <v>29</v>
      </c>
      <c r="E121" s="3" t="s">
        <v>26</v>
      </c>
      <c r="F121" s="3" t="s">
        <v>697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75" x14ac:dyDescent="0.25">
      <c r="A122" s="3" t="s">
        <v>255</v>
      </c>
      <c r="B122" s="3" t="s">
        <v>643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75" x14ac:dyDescent="0.25">
      <c r="A123" s="3" t="s">
        <v>257</v>
      </c>
      <c r="B123" s="3" t="s">
        <v>644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75" x14ac:dyDescent="0.25">
      <c r="A124" s="3" t="s">
        <v>259</v>
      </c>
      <c r="B124" s="3" t="s">
        <v>645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75" x14ac:dyDescent="0.25">
      <c r="A125" s="3" t="s">
        <v>261</v>
      </c>
      <c r="B125" s="3" t="s">
        <v>646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75" x14ac:dyDescent="0.25">
      <c r="A126" s="3" t="s">
        <v>263</v>
      </c>
      <c r="B126" s="3" t="s">
        <v>647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75" x14ac:dyDescent="0.25">
      <c r="A127" s="3" t="s">
        <v>265</v>
      </c>
      <c r="B127" s="3" t="s">
        <v>648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75" x14ac:dyDescent="0.25">
      <c r="A128" s="3" t="s">
        <v>267</v>
      </c>
      <c r="B128" s="3" t="s">
        <v>649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75" x14ac:dyDescent="0.25">
      <c r="A129" s="3" t="s">
        <v>269</v>
      </c>
      <c r="B129" s="3" t="s">
        <v>650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75" x14ac:dyDescent="0.25">
      <c r="A130" s="3" t="s">
        <v>271</v>
      </c>
      <c r="B130" s="3" t="s">
        <v>651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75" x14ac:dyDescent="0.25">
      <c r="A131" s="3" t="s">
        <v>273</v>
      </c>
      <c r="B131" s="3" t="s">
        <v>652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75" x14ac:dyDescent="0.25">
      <c r="A132" s="3" t="s">
        <v>275</v>
      </c>
      <c r="B132" s="3" t="s">
        <v>653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75" x14ac:dyDescent="0.25">
      <c r="A133" s="3" t="s">
        <v>502</v>
      </c>
      <c r="B133" s="3" t="s">
        <v>654</v>
      </c>
      <c r="C133" s="3" t="s">
        <v>26</v>
      </c>
      <c r="D133" s="3" t="s">
        <v>29</v>
      </c>
      <c r="E133" s="3" t="s">
        <v>26</v>
      </c>
      <c r="F133" s="3" t="s">
        <v>449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75" x14ac:dyDescent="0.25">
      <c r="A134" s="3" t="s">
        <v>503</v>
      </c>
      <c r="B134" s="3" t="s">
        <v>655</v>
      </c>
      <c r="C134" s="3" t="s">
        <v>26</v>
      </c>
      <c r="D134" s="3" t="s">
        <v>29</v>
      </c>
      <c r="E134" s="3" t="s">
        <v>26</v>
      </c>
      <c r="F134" s="3" t="s">
        <v>450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75" x14ac:dyDescent="0.25">
      <c r="A135" s="3" t="s">
        <v>504</v>
      </c>
      <c r="B135" s="3" t="s">
        <v>656</v>
      </c>
      <c r="C135" s="3" t="s">
        <v>26</v>
      </c>
      <c r="D135" s="3" t="s">
        <v>29</v>
      </c>
      <c r="E135" s="3" t="s">
        <v>26</v>
      </c>
      <c r="F135" s="3" t="s">
        <v>451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75" x14ac:dyDescent="0.25">
      <c r="A136" s="3" t="s">
        <v>505</v>
      </c>
      <c r="B136" s="3" t="s">
        <v>657</v>
      </c>
      <c r="C136" s="3" t="s">
        <v>26</v>
      </c>
      <c r="D136" s="3" t="s">
        <v>29</v>
      </c>
      <c r="E136" s="3" t="s">
        <v>26</v>
      </c>
      <c r="F136" s="3" t="s">
        <v>452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75" x14ac:dyDescent="0.25">
      <c r="A137" s="3" t="s">
        <v>506</v>
      </c>
      <c r="B137" s="3" t="s">
        <v>658</v>
      </c>
      <c r="C137" s="3" t="s">
        <v>26</v>
      </c>
      <c r="D137" s="3" t="s">
        <v>29</v>
      </c>
      <c r="E137" s="3" t="s">
        <v>26</v>
      </c>
      <c r="F137" s="3" t="s">
        <v>453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75" x14ac:dyDescent="0.25">
      <c r="A138" s="3" t="s">
        <v>507</v>
      </c>
      <c r="B138" s="3" t="s">
        <v>659</v>
      </c>
      <c r="C138" s="3" t="s">
        <v>26</v>
      </c>
      <c r="D138" s="3" t="s">
        <v>29</v>
      </c>
      <c r="E138" s="3" t="s">
        <v>26</v>
      </c>
      <c r="F138" s="3" t="s">
        <v>454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75" x14ac:dyDescent="0.25">
      <c r="A139" s="3" t="s">
        <v>508</v>
      </c>
      <c r="B139" s="3" t="s">
        <v>660</v>
      </c>
      <c r="C139" s="3" t="s">
        <v>26</v>
      </c>
      <c r="D139" s="3" t="s">
        <v>29</v>
      </c>
      <c r="E139" s="3" t="s">
        <v>26</v>
      </c>
      <c r="F139" s="3" t="s">
        <v>455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75" x14ac:dyDescent="0.25">
      <c r="A140" s="3" t="s">
        <v>277</v>
      </c>
      <c r="B140" s="3" t="s">
        <v>661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75" x14ac:dyDescent="0.25">
      <c r="A141" s="3" t="s">
        <v>279</v>
      </c>
      <c r="B141" s="3" t="s">
        <v>662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75" x14ac:dyDescent="0.25">
      <c r="A142" s="3" t="s">
        <v>281</v>
      </c>
      <c r="B142" s="3" t="s">
        <v>663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75" x14ac:dyDescent="0.25">
      <c r="A143" s="3" t="s">
        <v>283</v>
      </c>
      <c r="B143" s="3" t="s">
        <v>664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75" x14ac:dyDescent="0.25">
      <c r="A144" s="3" t="s">
        <v>285</v>
      </c>
      <c r="B144" s="3" t="s">
        <v>665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75" x14ac:dyDescent="0.25">
      <c r="A145" s="3" t="s">
        <v>522</v>
      </c>
      <c r="B145" s="3" t="s">
        <v>666</v>
      </c>
      <c r="C145" s="3" t="s">
        <v>26</v>
      </c>
      <c r="D145" s="3" t="s">
        <v>29</v>
      </c>
      <c r="E145" s="3" t="s">
        <v>26</v>
      </c>
      <c r="F145" s="3" t="s">
        <v>698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75" x14ac:dyDescent="0.25">
      <c r="A146" s="3" t="s">
        <v>287</v>
      </c>
      <c r="B146" s="3" t="s">
        <v>667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75" x14ac:dyDescent="0.25">
      <c r="A147" s="3" t="s">
        <v>289</v>
      </c>
      <c r="B147" s="3" t="s">
        <v>668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75" x14ac:dyDescent="0.25">
      <c r="A148" s="3" t="s">
        <v>291</v>
      </c>
      <c r="B148" s="3" t="s">
        <v>669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75" x14ac:dyDescent="0.25">
      <c r="A149" s="3" t="s">
        <v>293</v>
      </c>
      <c r="B149" s="3" t="s">
        <v>670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75" x14ac:dyDescent="0.25">
      <c r="A150" s="3" t="s">
        <v>295</v>
      </c>
      <c r="B150" s="3" t="s">
        <v>671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75" x14ac:dyDescent="0.25">
      <c r="A151" s="3" t="s">
        <v>297</v>
      </c>
      <c r="B151" s="3" t="s">
        <v>672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75" x14ac:dyDescent="0.25">
      <c r="A152" s="3" t="s">
        <v>299</v>
      </c>
      <c r="B152" s="3" t="s">
        <v>673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75" x14ac:dyDescent="0.25">
      <c r="A153" s="3" t="s">
        <v>301</v>
      </c>
      <c r="B153" s="3" t="s">
        <v>674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75" x14ac:dyDescent="0.25">
      <c r="A154" s="3" t="s">
        <v>509</v>
      </c>
      <c r="B154" s="3" t="s">
        <v>675</v>
      </c>
      <c r="C154" s="3" t="s">
        <v>26</v>
      </c>
      <c r="D154" s="3" t="s">
        <v>29</v>
      </c>
      <c r="E154" s="3" t="s">
        <v>26</v>
      </c>
      <c r="F154" s="3" t="s">
        <v>456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75" x14ac:dyDescent="0.25">
      <c r="A155" s="3" t="s">
        <v>303</v>
      </c>
      <c r="B155" s="3" t="s">
        <v>676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75" x14ac:dyDescent="0.25">
      <c r="A156" s="3" t="s">
        <v>305</v>
      </c>
      <c r="B156" s="3" t="s">
        <v>677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75" x14ac:dyDescent="0.25">
      <c r="A157" s="3" t="s">
        <v>510</v>
      </c>
      <c r="B157" s="3" t="s">
        <v>678</v>
      </c>
      <c r="C157" s="3" t="s">
        <v>26</v>
      </c>
      <c r="D157" s="3" t="s">
        <v>29</v>
      </c>
      <c r="E157" s="3" t="s">
        <v>26</v>
      </c>
      <c r="F157" s="3" t="s">
        <v>457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75" x14ac:dyDescent="0.25">
      <c r="A158" s="3" t="s">
        <v>511</v>
      </c>
      <c r="B158" s="3" t="s">
        <v>679</v>
      </c>
      <c r="C158" s="3" t="s">
        <v>26</v>
      </c>
      <c r="D158" s="3" t="s">
        <v>29</v>
      </c>
      <c r="E158" s="3" t="s">
        <v>26</v>
      </c>
      <c r="F158" s="3" t="s">
        <v>458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75" x14ac:dyDescent="0.25">
      <c r="A159" s="3" t="s">
        <v>512</v>
      </c>
      <c r="B159" s="3" t="s">
        <v>680</v>
      </c>
      <c r="C159" s="3" t="s">
        <v>26</v>
      </c>
      <c r="D159" s="3" t="s">
        <v>29</v>
      </c>
      <c r="E159" s="3" t="s">
        <v>26</v>
      </c>
      <c r="F159" s="3" t="s">
        <v>459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75" x14ac:dyDescent="0.25">
      <c r="A160" s="3" t="s">
        <v>513</v>
      </c>
      <c r="B160" s="3" t="s">
        <v>681</v>
      </c>
      <c r="C160" s="3" t="s">
        <v>26</v>
      </c>
      <c r="D160" s="3" t="s">
        <v>29</v>
      </c>
      <c r="E160" s="3" t="s">
        <v>26</v>
      </c>
      <c r="F160" s="3" t="s">
        <v>460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75" x14ac:dyDescent="0.25">
      <c r="A161" s="3" t="s">
        <v>514</v>
      </c>
      <c r="B161" s="3" t="s">
        <v>682</v>
      </c>
      <c r="C161" s="3" t="s">
        <v>26</v>
      </c>
      <c r="D161" s="3" t="s">
        <v>29</v>
      </c>
      <c r="E161" s="3" t="s">
        <v>26</v>
      </c>
      <c r="F161" s="3" t="s">
        <v>461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75" x14ac:dyDescent="0.25">
      <c r="A162" s="3" t="s">
        <v>515</v>
      </c>
      <c r="B162" s="3" t="s">
        <v>683</v>
      </c>
      <c r="C162" s="3" t="s">
        <v>26</v>
      </c>
      <c r="D162" s="3" t="s">
        <v>29</v>
      </c>
      <c r="E162" s="3" t="s">
        <v>26</v>
      </c>
      <c r="F162" s="3" t="s">
        <v>462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75" x14ac:dyDescent="0.25">
      <c r="A163" s="3" t="s">
        <v>516</v>
      </c>
      <c r="B163" s="3" t="s">
        <v>684</v>
      </c>
      <c r="C163" s="3" t="s">
        <v>26</v>
      </c>
      <c r="D163" s="3" t="s">
        <v>29</v>
      </c>
      <c r="E163" s="3" t="s">
        <v>26</v>
      </c>
      <c r="F163" s="3" t="s">
        <v>463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75" x14ac:dyDescent="0.25">
      <c r="A164" s="3" t="s">
        <v>307</v>
      </c>
      <c r="B164" s="3" t="s">
        <v>685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75" x14ac:dyDescent="0.25">
      <c r="A165" s="3" t="s">
        <v>309</v>
      </c>
      <c r="B165" s="3" t="s">
        <v>686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75" x14ac:dyDescent="0.25">
      <c r="A166" s="3" t="s">
        <v>311</v>
      </c>
      <c r="B166" s="3" t="s">
        <v>687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75" x14ac:dyDescent="0.25">
      <c r="A167" s="3" t="s">
        <v>313</v>
      </c>
      <c r="B167" s="3" t="s">
        <v>688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75" x14ac:dyDescent="0.25">
      <c r="A168" s="3" t="s">
        <v>315</v>
      </c>
      <c r="B168" s="3" t="s">
        <v>689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75" x14ac:dyDescent="0.25">
      <c r="A169" s="3" t="s">
        <v>523</v>
      </c>
      <c r="B169" s="3" t="s">
        <v>690</v>
      </c>
      <c r="C169" s="3" t="s">
        <v>26</v>
      </c>
      <c r="D169" s="3" t="s">
        <v>29</v>
      </c>
      <c r="E169" s="3" t="s">
        <v>26</v>
      </c>
      <c r="F169" s="3" t="s">
        <v>699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75" x14ac:dyDescent="0.25">
      <c r="A170" s="3" t="s">
        <v>317</v>
      </c>
      <c r="B170" s="3" t="s">
        <v>691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75" x14ac:dyDescent="0.25">
      <c r="A171" s="3" t="s">
        <v>319</v>
      </c>
      <c r="B171" s="3" t="s">
        <v>692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75" x14ac:dyDescent="0.25">
      <c r="A172" s="1" t="s">
        <v>891</v>
      </c>
      <c r="B172" s="1" t="s">
        <v>892</v>
      </c>
      <c r="C172" s="1" t="s">
        <v>891</v>
      </c>
      <c r="D172" s="3" t="s">
        <v>897</v>
      </c>
      <c r="E172" s="1" t="s">
        <v>896</v>
      </c>
      <c r="F172" s="1" t="s">
        <v>894</v>
      </c>
      <c r="G172" s="14">
        <v>0.5</v>
      </c>
      <c r="H172" s="3" t="s">
        <v>893</v>
      </c>
      <c r="I172" s="13" t="s">
        <v>895</v>
      </c>
      <c r="J172" s="1"/>
      <c r="K172" s="1"/>
    </row>
    <row r="173" spans="1:11" ht="15.75" x14ac:dyDescent="0.25">
      <c r="A173" s="15" t="s">
        <v>963</v>
      </c>
      <c r="B173" s="1" t="s">
        <v>964</v>
      </c>
      <c r="C173" s="1" t="s">
        <v>963</v>
      </c>
      <c r="D173" s="3" t="s">
        <v>897</v>
      </c>
      <c r="E173" s="1" t="s">
        <v>896</v>
      </c>
      <c r="F173" s="1">
        <v>100</v>
      </c>
      <c r="G173" s="14">
        <v>0.5</v>
      </c>
      <c r="H173" s="3" t="s">
        <v>893</v>
      </c>
      <c r="I173" s="13" t="s">
        <v>895</v>
      </c>
      <c r="J173" s="1"/>
      <c r="K173" s="1"/>
    </row>
    <row r="174" spans="1:11" ht="15.75" x14ac:dyDescent="0.25">
      <c r="A174" s="15" t="s">
        <v>967</v>
      </c>
      <c r="B174" s="1" t="s">
        <v>968</v>
      </c>
      <c r="C174" s="1" t="s">
        <v>967</v>
      </c>
      <c r="D174" s="3" t="s">
        <v>897</v>
      </c>
      <c r="E174" s="1" t="s">
        <v>896</v>
      </c>
      <c r="F174" s="1" t="s">
        <v>969</v>
      </c>
      <c r="G174" s="14">
        <v>0.5</v>
      </c>
      <c r="H174" s="3" t="s">
        <v>893</v>
      </c>
      <c r="I174" s="13" t="s">
        <v>895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5" x14ac:dyDescent="0.25"/>
  <cols>
    <col min="1" max="1" width="15.42578125" bestFit="1" customWidth="1"/>
    <col min="2" max="2" width="23.140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85546875" bestFit="1" customWidth="1"/>
    <col min="7" max="7" width="33.5703125" bestFit="1" customWidth="1"/>
    <col min="8" max="8" width="17.140625" bestFit="1" customWidth="1"/>
    <col min="9" max="9" width="33.5703125" bestFit="1" customWidth="1"/>
    <col min="10" max="10" width="17.140625" bestFit="1" customWidth="1"/>
    <col min="11" max="11" width="33.5703125" bestFit="1" customWidth="1"/>
    <col min="12" max="12" width="17.140625" bestFit="1" customWidth="1"/>
    <col min="13" max="13" width="32.85546875" bestFit="1" customWidth="1"/>
    <col min="14" max="14" width="17.140625" bestFit="1" customWidth="1"/>
    <col min="15" max="15" width="32.42578125" bestFit="1" customWidth="1"/>
    <col min="16" max="16" width="17.140625" bestFit="1" customWidth="1"/>
    <col min="17" max="17" width="42.140625" bestFit="1" customWidth="1"/>
    <col min="18" max="18" width="17.140625" bestFit="1" customWidth="1"/>
    <col min="19" max="19" width="42.42578125" bestFit="1" customWidth="1"/>
    <col min="20" max="20" width="17.140625" bestFit="1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777</v>
      </c>
      <c r="H2" s="3" t="s">
        <v>37</v>
      </c>
      <c r="I2" s="3" t="s">
        <v>825</v>
      </c>
      <c r="J2" s="3" t="s">
        <v>38</v>
      </c>
      <c r="K2" s="10" t="s">
        <v>827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75" x14ac:dyDescent="0.25">
      <c r="A3" s="3" t="s">
        <v>39</v>
      </c>
      <c r="B3" s="3" t="s">
        <v>40</v>
      </c>
      <c r="C3" s="3" t="s">
        <v>39</v>
      </c>
      <c r="D3" s="3" t="s">
        <v>805</v>
      </c>
      <c r="E3" s="3" t="s">
        <v>39</v>
      </c>
      <c r="F3" s="3" t="s">
        <v>41</v>
      </c>
      <c r="G3" s="3" t="s">
        <v>824</v>
      </c>
      <c r="H3" s="3" t="s">
        <v>123</v>
      </c>
      <c r="I3" s="3" t="s">
        <v>826</v>
      </c>
      <c r="J3" s="3" t="s">
        <v>124</v>
      </c>
      <c r="K3" s="3" t="s">
        <v>828</v>
      </c>
      <c r="L3" s="3" t="s">
        <v>125</v>
      </c>
      <c r="M3" s="3" t="s">
        <v>829</v>
      </c>
      <c r="N3" s="3" t="s">
        <v>126</v>
      </c>
      <c r="O3" s="3" t="s">
        <v>830</v>
      </c>
      <c r="P3" s="3" t="s">
        <v>127</v>
      </c>
      <c r="Q3" s="3" t="s">
        <v>831</v>
      </c>
      <c r="R3" s="2" t="s">
        <v>131</v>
      </c>
      <c r="S3" s="3" t="s">
        <v>869</v>
      </c>
      <c r="T3" s="2" t="s">
        <v>132</v>
      </c>
    </row>
    <row r="4" spans="1:20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28" workbookViewId="0">
      <selection activeCell="J42" sqref="J42"/>
    </sheetView>
  </sheetViews>
  <sheetFormatPr defaultRowHeight="15" x14ac:dyDescent="0.25"/>
  <cols>
    <col min="1" max="1" width="32" bestFit="1" customWidth="1"/>
    <col min="2" max="2" width="13.5703125" bestFit="1" customWidth="1"/>
    <col min="3" max="3" width="12.140625" bestFit="1" customWidth="1"/>
    <col min="4" max="4" width="23.85546875" bestFit="1" customWidth="1"/>
    <col min="5" max="5" width="13" bestFit="1" customWidth="1"/>
    <col min="6" max="6" width="8.140625" bestFit="1" customWidth="1"/>
    <col min="7" max="7" width="12.140625" bestFit="1" customWidth="1"/>
    <col min="8" max="8" width="13" bestFit="1" customWidth="1"/>
    <col min="9" max="9" width="11.5703125" bestFit="1" customWidth="1"/>
    <col min="10" max="10" width="31.140625" bestFit="1" customWidth="1"/>
    <col min="11" max="11" width="16.85546875" bestFit="1" customWidth="1"/>
    <col min="12" max="12" width="14.85546875" bestFit="1" customWidth="1"/>
  </cols>
  <sheetData>
    <row r="1" spans="1:12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321</v>
      </c>
      <c r="H1" s="8" t="s">
        <v>701</v>
      </c>
      <c r="I1" s="8" t="s">
        <v>700</v>
      </c>
      <c r="J1" s="6" t="s">
        <v>12</v>
      </c>
      <c r="K1" s="6" t="s">
        <v>8</v>
      </c>
      <c r="L1" s="8" t="s">
        <v>702</v>
      </c>
    </row>
    <row r="2" spans="1:12" x14ac:dyDescent="0.25">
      <c r="A2" s="2" t="s">
        <v>703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740</v>
      </c>
      <c r="G2">
        <v>0.1</v>
      </c>
      <c r="H2">
        <v>50</v>
      </c>
      <c r="I2" s="2" t="s">
        <v>776</v>
      </c>
      <c r="J2" s="2" t="s">
        <v>777</v>
      </c>
      <c r="K2" s="2" t="s">
        <v>37</v>
      </c>
      <c r="L2">
        <v>1</v>
      </c>
    </row>
    <row r="3" spans="1:12" x14ac:dyDescent="0.25">
      <c r="A3" s="2" t="s">
        <v>704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741</v>
      </c>
      <c r="G3">
        <v>0.1</v>
      </c>
      <c r="H3">
        <v>50</v>
      </c>
      <c r="I3" s="2" t="s">
        <v>776</v>
      </c>
      <c r="J3" s="2" t="s">
        <v>777</v>
      </c>
      <c r="K3" s="2" t="s">
        <v>37</v>
      </c>
      <c r="L3">
        <v>1.2</v>
      </c>
    </row>
    <row r="4" spans="1:12" x14ac:dyDescent="0.25">
      <c r="A4" s="2" t="s">
        <v>705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742</v>
      </c>
      <c r="G4">
        <v>0.1</v>
      </c>
      <c r="H4">
        <v>50</v>
      </c>
      <c r="I4" s="2" t="s">
        <v>776</v>
      </c>
      <c r="J4" s="2" t="s">
        <v>777</v>
      </c>
      <c r="K4" s="2" t="s">
        <v>37</v>
      </c>
      <c r="L4">
        <v>1.5</v>
      </c>
    </row>
    <row r="5" spans="1:12" x14ac:dyDescent="0.25">
      <c r="A5" s="2" t="s">
        <v>706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743</v>
      </c>
      <c r="G5">
        <v>0.1</v>
      </c>
      <c r="H5">
        <v>50</v>
      </c>
      <c r="I5" s="2" t="s">
        <v>776</v>
      </c>
      <c r="J5" s="2" t="s">
        <v>777</v>
      </c>
      <c r="K5" s="2" t="s">
        <v>37</v>
      </c>
      <c r="L5">
        <v>1.8</v>
      </c>
    </row>
    <row r="6" spans="1:12" x14ac:dyDescent="0.25">
      <c r="A6" s="2" t="s">
        <v>707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744</v>
      </c>
      <c r="G6">
        <v>0.1</v>
      </c>
      <c r="H6">
        <v>50</v>
      </c>
      <c r="I6" s="2" t="s">
        <v>776</v>
      </c>
      <c r="J6" s="2" t="s">
        <v>777</v>
      </c>
      <c r="K6" s="2" t="s">
        <v>37</v>
      </c>
      <c r="L6">
        <v>2.2000000000000002</v>
      </c>
    </row>
    <row r="7" spans="1:12" x14ac:dyDescent="0.25">
      <c r="A7" s="2" t="s">
        <v>708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745</v>
      </c>
      <c r="G7">
        <v>0.1</v>
      </c>
      <c r="H7">
        <v>50</v>
      </c>
      <c r="I7" s="2" t="s">
        <v>776</v>
      </c>
      <c r="J7" s="2" t="s">
        <v>777</v>
      </c>
      <c r="K7" s="2" t="s">
        <v>37</v>
      </c>
      <c r="L7">
        <v>2.7</v>
      </c>
    </row>
    <row r="8" spans="1:12" x14ac:dyDescent="0.25">
      <c r="A8" s="2" t="s">
        <v>709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746</v>
      </c>
      <c r="G8">
        <v>0.1</v>
      </c>
      <c r="H8">
        <v>50</v>
      </c>
      <c r="I8" s="2" t="s">
        <v>776</v>
      </c>
      <c r="J8" s="2" t="s">
        <v>777</v>
      </c>
      <c r="K8" s="2" t="s">
        <v>37</v>
      </c>
      <c r="L8">
        <v>3.3</v>
      </c>
    </row>
    <row r="9" spans="1:12" x14ac:dyDescent="0.25">
      <c r="A9" s="2" t="s">
        <v>710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747</v>
      </c>
      <c r="G9">
        <v>0.1</v>
      </c>
      <c r="H9">
        <v>50</v>
      </c>
      <c r="I9" s="2" t="s">
        <v>776</v>
      </c>
      <c r="J9" s="2" t="s">
        <v>777</v>
      </c>
      <c r="K9" s="2" t="s">
        <v>37</v>
      </c>
      <c r="L9">
        <v>3.9</v>
      </c>
    </row>
    <row r="10" spans="1:12" x14ac:dyDescent="0.25">
      <c r="A10" s="2" t="s">
        <v>711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748</v>
      </c>
      <c r="G10">
        <v>0.1</v>
      </c>
      <c r="H10">
        <v>50</v>
      </c>
      <c r="I10" s="2" t="s">
        <v>776</v>
      </c>
      <c r="J10" s="2" t="s">
        <v>777</v>
      </c>
      <c r="K10" s="2" t="s">
        <v>37</v>
      </c>
      <c r="L10">
        <v>4.7</v>
      </c>
    </row>
    <row r="11" spans="1:12" x14ac:dyDescent="0.25">
      <c r="A11" s="2" t="s">
        <v>712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749</v>
      </c>
      <c r="G11">
        <v>0.1</v>
      </c>
      <c r="H11">
        <v>50</v>
      </c>
      <c r="I11" s="2" t="s">
        <v>776</v>
      </c>
      <c r="J11" s="2" t="s">
        <v>777</v>
      </c>
      <c r="K11" s="2" t="s">
        <v>37</v>
      </c>
      <c r="L11">
        <v>5.6</v>
      </c>
    </row>
    <row r="12" spans="1:12" x14ac:dyDescent="0.25">
      <c r="A12" s="2" t="s">
        <v>713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750</v>
      </c>
      <c r="G12">
        <v>0.1</v>
      </c>
      <c r="H12">
        <v>50</v>
      </c>
      <c r="I12" s="2" t="s">
        <v>776</v>
      </c>
      <c r="J12" s="2" t="s">
        <v>777</v>
      </c>
      <c r="K12" s="2" t="s">
        <v>37</v>
      </c>
      <c r="L12">
        <v>6.8</v>
      </c>
    </row>
    <row r="13" spans="1:12" x14ac:dyDescent="0.25">
      <c r="A13" s="2" t="s">
        <v>714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751</v>
      </c>
      <c r="G13">
        <v>0.1</v>
      </c>
      <c r="H13">
        <v>50</v>
      </c>
      <c r="I13" s="2" t="s">
        <v>776</v>
      </c>
      <c r="J13" s="2" t="s">
        <v>777</v>
      </c>
      <c r="K13" s="2" t="s">
        <v>37</v>
      </c>
      <c r="L13">
        <v>8.1999999999999993</v>
      </c>
    </row>
    <row r="14" spans="1:12" x14ac:dyDescent="0.25">
      <c r="A14" s="2" t="s">
        <v>715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752</v>
      </c>
      <c r="G14">
        <v>0.1</v>
      </c>
      <c r="H14">
        <v>50</v>
      </c>
      <c r="I14" s="2" t="s">
        <v>776</v>
      </c>
      <c r="J14" s="2" t="s">
        <v>777</v>
      </c>
      <c r="K14" s="2" t="s">
        <v>37</v>
      </c>
      <c r="L14">
        <v>10</v>
      </c>
    </row>
    <row r="15" spans="1:12" x14ac:dyDescent="0.25">
      <c r="A15" s="2" t="s">
        <v>716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753</v>
      </c>
      <c r="G15">
        <v>0.1</v>
      </c>
      <c r="H15">
        <v>50</v>
      </c>
      <c r="I15" s="2" t="s">
        <v>776</v>
      </c>
      <c r="J15" s="2" t="s">
        <v>777</v>
      </c>
      <c r="K15" s="2" t="s">
        <v>37</v>
      </c>
      <c r="L15">
        <v>12</v>
      </c>
    </row>
    <row r="16" spans="1:12" x14ac:dyDescent="0.25">
      <c r="A16" s="2" t="s">
        <v>717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754</v>
      </c>
      <c r="G16">
        <v>0.1</v>
      </c>
      <c r="H16">
        <v>50</v>
      </c>
      <c r="I16" s="2" t="s">
        <v>776</v>
      </c>
      <c r="J16" s="2" t="s">
        <v>777</v>
      </c>
      <c r="K16" s="2" t="s">
        <v>37</v>
      </c>
      <c r="L16">
        <v>15</v>
      </c>
    </row>
    <row r="17" spans="1:12" x14ac:dyDescent="0.25">
      <c r="A17" s="2" t="s">
        <v>718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755</v>
      </c>
      <c r="G17">
        <v>0.1</v>
      </c>
      <c r="H17">
        <v>50</v>
      </c>
      <c r="I17" s="2" t="s">
        <v>776</v>
      </c>
      <c r="J17" s="2" t="s">
        <v>777</v>
      </c>
      <c r="K17" s="2" t="s">
        <v>37</v>
      </c>
      <c r="L17">
        <v>18</v>
      </c>
    </row>
    <row r="18" spans="1:12" x14ac:dyDescent="0.25">
      <c r="A18" s="2" t="s">
        <v>719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756</v>
      </c>
      <c r="G18">
        <v>0.1</v>
      </c>
      <c r="H18">
        <v>50</v>
      </c>
      <c r="I18" s="2" t="s">
        <v>776</v>
      </c>
      <c r="J18" s="2" t="s">
        <v>777</v>
      </c>
      <c r="K18" s="2" t="s">
        <v>37</v>
      </c>
      <c r="L18">
        <v>22</v>
      </c>
    </row>
    <row r="19" spans="1:12" x14ac:dyDescent="0.25">
      <c r="A19" s="2" t="s">
        <v>720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757</v>
      </c>
      <c r="G19">
        <v>0.1</v>
      </c>
      <c r="H19">
        <v>50</v>
      </c>
      <c r="I19" s="2" t="s">
        <v>776</v>
      </c>
      <c r="J19" s="2" t="s">
        <v>777</v>
      </c>
      <c r="K19" s="2" t="s">
        <v>37</v>
      </c>
      <c r="L19">
        <v>27</v>
      </c>
    </row>
    <row r="20" spans="1:12" x14ac:dyDescent="0.25">
      <c r="A20" s="2" t="s">
        <v>721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758</v>
      </c>
      <c r="G20">
        <v>0.1</v>
      </c>
      <c r="H20">
        <v>50</v>
      </c>
      <c r="I20" s="2" t="s">
        <v>776</v>
      </c>
      <c r="J20" s="2" t="s">
        <v>777</v>
      </c>
      <c r="K20" s="2" t="s">
        <v>37</v>
      </c>
      <c r="L20">
        <v>33</v>
      </c>
    </row>
    <row r="21" spans="1:12" x14ac:dyDescent="0.25">
      <c r="A21" s="2" t="s">
        <v>722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759</v>
      </c>
      <c r="G21">
        <v>0.1</v>
      </c>
      <c r="H21">
        <v>50</v>
      </c>
      <c r="I21" s="2" t="s">
        <v>776</v>
      </c>
      <c r="J21" s="2" t="s">
        <v>777</v>
      </c>
      <c r="K21" s="2" t="s">
        <v>37</v>
      </c>
      <c r="L21">
        <v>39</v>
      </c>
    </row>
    <row r="22" spans="1:12" x14ac:dyDescent="0.25">
      <c r="A22" s="2" t="s">
        <v>723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760</v>
      </c>
      <c r="G22">
        <v>0.1</v>
      </c>
      <c r="H22">
        <v>50</v>
      </c>
      <c r="I22" s="2" t="s">
        <v>776</v>
      </c>
      <c r="J22" s="2" t="s">
        <v>777</v>
      </c>
      <c r="K22" s="2" t="s">
        <v>37</v>
      </c>
      <c r="L22">
        <v>47</v>
      </c>
    </row>
    <row r="23" spans="1:12" x14ac:dyDescent="0.25">
      <c r="A23" s="2" t="s">
        <v>724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761</v>
      </c>
      <c r="G23">
        <v>0.1</v>
      </c>
      <c r="H23">
        <v>50</v>
      </c>
      <c r="I23" s="2" t="s">
        <v>776</v>
      </c>
      <c r="J23" s="2" t="s">
        <v>777</v>
      </c>
      <c r="K23" s="2" t="s">
        <v>37</v>
      </c>
      <c r="L23">
        <v>56</v>
      </c>
    </row>
    <row r="24" spans="1:12" x14ac:dyDescent="0.25">
      <c r="A24" s="2" t="s">
        <v>725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762</v>
      </c>
      <c r="G24">
        <v>0.1</v>
      </c>
      <c r="H24">
        <v>50</v>
      </c>
      <c r="I24" s="2" t="s">
        <v>776</v>
      </c>
      <c r="J24" s="2" t="s">
        <v>777</v>
      </c>
      <c r="K24" s="2" t="s">
        <v>37</v>
      </c>
      <c r="L24">
        <v>68</v>
      </c>
    </row>
    <row r="25" spans="1:12" x14ac:dyDescent="0.25">
      <c r="A25" s="2" t="s">
        <v>726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763</v>
      </c>
      <c r="G25">
        <v>0.1</v>
      </c>
      <c r="H25">
        <v>50</v>
      </c>
      <c r="I25" s="2" t="s">
        <v>776</v>
      </c>
      <c r="J25" s="2" t="s">
        <v>777</v>
      </c>
      <c r="K25" s="2" t="s">
        <v>37</v>
      </c>
      <c r="L25">
        <v>82</v>
      </c>
    </row>
    <row r="26" spans="1:12" x14ac:dyDescent="0.25">
      <c r="A26" s="2" t="s">
        <v>727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776</v>
      </c>
      <c r="J26" s="2" t="s">
        <v>777</v>
      </c>
      <c r="K26" s="2" t="s">
        <v>37</v>
      </c>
      <c r="L26">
        <v>100</v>
      </c>
    </row>
    <row r="27" spans="1:12" x14ac:dyDescent="0.25">
      <c r="A27" s="2" t="s">
        <v>728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764</v>
      </c>
      <c r="G27">
        <v>0.1</v>
      </c>
      <c r="H27">
        <v>50</v>
      </c>
      <c r="I27" s="2" t="s">
        <v>776</v>
      </c>
      <c r="J27" s="2" t="s">
        <v>777</v>
      </c>
      <c r="K27" s="2" t="s">
        <v>37</v>
      </c>
      <c r="L27">
        <v>120</v>
      </c>
    </row>
    <row r="28" spans="1:12" x14ac:dyDescent="0.25">
      <c r="A28" s="2" t="s">
        <v>729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765</v>
      </c>
      <c r="G28">
        <v>0.1</v>
      </c>
      <c r="H28">
        <v>50</v>
      </c>
      <c r="I28" s="2" t="s">
        <v>776</v>
      </c>
      <c r="J28" s="2" t="s">
        <v>777</v>
      </c>
      <c r="K28" s="2" t="s">
        <v>37</v>
      </c>
      <c r="L28">
        <v>150</v>
      </c>
    </row>
    <row r="29" spans="1:12" x14ac:dyDescent="0.25">
      <c r="A29" s="2" t="s">
        <v>730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766</v>
      </c>
      <c r="G29">
        <v>0.1</v>
      </c>
      <c r="H29">
        <v>50</v>
      </c>
      <c r="I29" s="2" t="s">
        <v>776</v>
      </c>
      <c r="J29" s="2" t="s">
        <v>777</v>
      </c>
      <c r="K29" s="2" t="s">
        <v>37</v>
      </c>
      <c r="L29">
        <v>180</v>
      </c>
    </row>
    <row r="30" spans="1:12" x14ac:dyDescent="0.25">
      <c r="A30" s="2" t="s">
        <v>731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767</v>
      </c>
      <c r="G30">
        <v>0.1</v>
      </c>
      <c r="H30">
        <v>50</v>
      </c>
      <c r="I30" s="2" t="s">
        <v>776</v>
      </c>
      <c r="J30" s="2" t="s">
        <v>777</v>
      </c>
      <c r="K30" s="2" t="s">
        <v>37</v>
      </c>
      <c r="L30">
        <v>220</v>
      </c>
    </row>
    <row r="31" spans="1:12" x14ac:dyDescent="0.25">
      <c r="A31" s="2" t="s">
        <v>732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768</v>
      </c>
      <c r="G31">
        <v>0.1</v>
      </c>
      <c r="H31">
        <v>50</v>
      </c>
      <c r="I31" s="2" t="s">
        <v>776</v>
      </c>
      <c r="J31" s="2" t="s">
        <v>777</v>
      </c>
      <c r="K31" s="2" t="s">
        <v>37</v>
      </c>
      <c r="L31">
        <v>270</v>
      </c>
    </row>
    <row r="32" spans="1:12" x14ac:dyDescent="0.25">
      <c r="A32" s="2" t="s">
        <v>733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769</v>
      </c>
      <c r="G32">
        <v>0.1</v>
      </c>
      <c r="H32">
        <v>50</v>
      </c>
      <c r="I32" s="2" t="s">
        <v>776</v>
      </c>
      <c r="J32" s="2" t="s">
        <v>777</v>
      </c>
      <c r="K32" s="2" t="s">
        <v>37</v>
      </c>
      <c r="L32">
        <v>330</v>
      </c>
    </row>
    <row r="33" spans="1:12" x14ac:dyDescent="0.25">
      <c r="A33" s="2" t="s">
        <v>734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770</v>
      </c>
      <c r="G33">
        <v>0.1</v>
      </c>
      <c r="H33">
        <v>50</v>
      </c>
      <c r="I33" s="2" t="s">
        <v>776</v>
      </c>
      <c r="J33" s="2" t="s">
        <v>777</v>
      </c>
      <c r="K33" s="2" t="s">
        <v>37</v>
      </c>
      <c r="L33">
        <v>390</v>
      </c>
    </row>
    <row r="34" spans="1:12" x14ac:dyDescent="0.25">
      <c r="A34" s="2" t="s">
        <v>735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771</v>
      </c>
      <c r="G34">
        <v>0.1</v>
      </c>
      <c r="H34">
        <v>50</v>
      </c>
      <c r="I34" s="2" t="s">
        <v>776</v>
      </c>
      <c r="J34" s="2" t="s">
        <v>777</v>
      </c>
      <c r="K34" s="2" t="s">
        <v>37</v>
      </c>
      <c r="L34">
        <v>470</v>
      </c>
    </row>
    <row r="35" spans="1:12" x14ac:dyDescent="0.25">
      <c r="A35" s="2" t="s">
        <v>736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772</v>
      </c>
      <c r="G35">
        <v>0.1</v>
      </c>
      <c r="H35">
        <v>50</v>
      </c>
      <c r="I35" s="2" t="s">
        <v>776</v>
      </c>
      <c r="J35" s="2" t="s">
        <v>777</v>
      </c>
      <c r="K35" s="2" t="s">
        <v>37</v>
      </c>
      <c r="L35">
        <v>560</v>
      </c>
    </row>
    <row r="36" spans="1:12" x14ac:dyDescent="0.25">
      <c r="A36" s="2" t="s">
        <v>737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773</v>
      </c>
      <c r="G36">
        <v>0.1</v>
      </c>
      <c r="H36">
        <v>50</v>
      </c>
      <c r="I36" s="2" t="s">
        <v>776</v>
      </c>
      <c r="J36" s="2" t="s">
        <v>777</v>
      </c>
      <c r="K36" s="2" t="s">
        <v>37</v>
      </c>
      <c r="L36">
        <v>680</v>
      </c>
    </row>
    <row r="37" spans="1:12" x14ac:dyDescent="0.25">
      <c r="A37" s="2" t="s">
        <v>738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774</v>
      </c>
      <c r="G37">
        <v>0.1</v>
      </c>
      <c r="H37">
        <v>50</v>
      </c>
      <c r="I37" s="2" t="s">
        <v>776</v>
      </c>
      <c r="J37" s="2" t="s">
        <v>777</v>
      </c>
      <c r="K37" s="2" t="s">
        <v>37</v>
      </c>
      <c r="L37">
        <v>820</v>
      </c>
    </row>
    <row r="38" spans="1:12" x14ac:dyDescent="0.25">
      <c r="A38" s="2" t="s">
        <v>739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775</v>
      </c>
      <c r="G38">
        <v>0.1</v>
      </c>
      <c r="H38">
        <v>50</v>
      </c>
      <c r="I38" s="2" t="s">
        <v>776</v>
      </c>
      <c r="J38" s="2" t="s">
        <v>777</v>
      </c>
      <c r="K38" s="2" t="s">
        <v>37</v>
      </c>
      <c r="L38">
        <v>1000</v>
      </c>
    </row>
    <row r="39" spans="1:12" x14ac:dyDescent="0.25">
      <c r="A39" s="2" t="s">
        <v>886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776</v>
      </c>
      <c r="J39" s="2" t="s">
        <v>859</v>
      </c>
      <c r="K39" t="s">
        <v>860</v>
      </c>
      <c r="L39">
        <v>4700</v>
      </c>
    </row>
    <row r="40" spans="1:12" x14ac:dyDescent="0.25">
      <c r="A40" s="2" t="s">
        <v>888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810</v>
      </c>
      <c r="G40" s="11">
        <v>0.1</v>
      </c>
      <c r="H40">
        <v>35</v>
      </c>
      <c r="I40" s="2" t="s">
        <v>776</v>
      </c>
      <c r="J40" s="2" t="s">
        <v>861</v>
      </c>
      <c r="K40" t="s">
        <v>862</v>
      </c>
      <c r="L40">
        <v>10000</v>
      </c>
    </row>
    <row r="41" spans="1:12" x14ac:dyDescent="0.25">
      <c r="A41" s="2" t="s">
        <v>887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812</v>
      </c>
      <c r="G41" s="11">
        <v>0.1</v>
      </c>
      <c r="H41">
        <v>25</v>
      </c>
      <c r="I41" s="2" t="s">
        <v>776</v>
      </c>
      <c r="J41" s="2" t="s">
        <v>861</v>
      </c>
      <c r="K41" t="s">
        <v>862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5" x14ac:dyDescent="0.25"/>
  <cols>
    <col min="1" max="1" width="27.5703125" bestFit="1" customWidth="1"/>
    <col min="2" max="2" width="23.140625" bestFit="1" customWidth="1"/>
    <col min="3" max="3" width="12.140625" bestFit="1" customWidth="1"/>
    <col min="4" max="4" width="29.42578125" bestFit="1" customWidth="1"/>
    <col min="5" max="5" width="14.140625" bestFit="1" customWidth="1"/>
    <col min="6" max="6" width="8.140625" bestFit="1" customWidth="1"/>
    <col min="7" max="7" width="12.140625" bestFit="1" customWidth="1"/>
    <col min="8" max="8" width="13" bestFit="1" customWidth="1"/>
    <col min="9" max="9" width="8.85546875" bestFit="1" customWidth="1"/>
    <col min="10" max="10" width="30.140625" bestFit="1" customWidth="1"/>
    <col min="11" max="11" width="16.85546875" bestFit="1" customWidth="1"/>
    <col min="12" max="12" width="14.85546875" bestFit="1" customWidth="1"/>
    <col min="13" max="13" width="19.140625" customWidth="1"/>
    <col min="14" max="14" width="18.425781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701</v>
      </c>
      <c r="I1" s="6" t="s">
        <v>784</v>
      </c>
      <c r="J1" s="6" t="s">
        <v>12</v>
      </c>
      <c r="K1" s="6" t="s">
        <v>8</v>
      </c>
      <c r="L1" s="9" t="s">
        <v>783</v>
      </c>
      <c r="M1" s="6" t="s">
        <v>13</v>
      </c>
      <c r="N1" s="6" t="s">
        <v>9</v>
      </c>
    </row>
    <row r="2" spans="1:14" x14ac:dyDescent="0.25">
      <c r="A2" s="2" t="s">
        <v>785</v>
      </c>
      <c r="B2" s="2" t="s">
        <v>804</v>
      </c>
      <c r="C2" s="2" t="s">
        <v>27</v>
      </c>
      <c r="D2" s="2" t="s">
        <v>805</v>
      </c>
      <c r="E2" s="2" t="s">
        <v>39</v>
      </c>
      <c r="F2" s="2" t="s">
        <v>775</v>
      </c>
      <c r="G2">
        <v>0.1</v>
      </c>
      <c r="H2">
        <v>50</v>
      </c>
      <c r="I2" s="2" t="s">
        <v>823</v>
      </c>
      <c r="J2" s="2" t="s">
        <v>824</v>
      </c>
      <c r="K2" s="2" t="s">
        <v>123</v>
      </c>
      <c r="L2">
        <v>1</v>
      </c>
    </row>
    <row r="3" spans="1:14" x14ac:dyDescent="0.25">
      <c r="A3" s="2" t="s">
        <v>786</v>
      </c>
      <c r="B3" s="2" t="s">
        <v>804</v>
      </c>
      <c r="C3" s="2" t="s">
        <v>27</v>
      </c>
      <c r="D3" s="2" t="s">
        <v>805</v>
      </c>
      <c r="E3" s="2" t="s">
        <v>39</v>
      </c>
      <c r="F3" s="2" t="s">
        <v>806</v>
      </c>
      <c r="G3">
        <v>0.1</v>
      </c>
      <c r="H3">
        <v>50</v>
      </c>
      <c r="I3" s="2" t="s">
        <v>823</v>
      </c>
      <c r="J3" s="2" t="s">
        <v>824</v>
      </c>
      <c r="K3" s="2" t="s">
        <v>123</v>
      </c>
      <c r="L3">
        <v>1.5</v>
      </c>
    </row>
    <row r="4" spans="1:14" x14ac:dyDescent="0.25">
      <c r="A4" s="2" t="s">
        <v>787</v>
      </c>
      <c r="B4" s="2" t="s">
        <v>804</v>
      </c>
      <c r="C4" s="2" t="s">
        <v>27</v>
      </c>
      <c r="D4" s="2" t="s">
        <v>805</v>
      </c>
      <c r="E4" s="2" t="s">
        <v>39</v>
      </c>
      <c r="F4" s="2" t="s">
        <v>807</v>
      </c>
      <c r="G4">
        <v>0.1</v>
      </c>
      <c r="H4">
        <v>50</v>
      </c>
      <c r="I4" s="2" t="s">
        <v>823</v>
      </c>
      <c r="J4" s="2" t="s">
        <v>824</v>
      </c>
      <c r="K4" s="2" t="s">
        <v>123</v>
      </c>
      <c r="L4">
        <v>2.2000000000000002</v>
      </c>
    </row>
    <row r="5" spans="1:14" x14ac:dyDescent="0.25">
      <c r="A5" s="2" t="s">
        <v>788</v>
      </c>
      <c r="B5" s="2" t="s">
        <v>804</v>
      </c>
      <c r="C5" s="2" t="s">
        <v>27</v>
      </c>
      <c r="D5" s="2" t="s">
        <v>805</v>
      </c>
      <c r="E5" s="2" t="s">
        <v>39</v>
      </c>
      <c r="F5" s="2" t="s">
        <v>808</v>
      </c>
      <c r="G5">
        <v>0.1</v>
      </c>
      <c r="H5">
        <v>50</v>
      </c>
      <c r="I5" s="2" t="s">
        <v>823</v>
      </c>
      <c r="J5" s="2" t="s">
        <v>824</v>
      </c>
      <c r="K5" s="2" t="s">
        <v>123</v>
      </c>
      <c r="L5">
        <v>3.3</v>
      </c>
    </row>
    <row r="6" spans="1:14" x14ac:dyDescent="0.25">
      <c r="A6" s="2" t="s">
        <v>789</v>
      </c>
      <c r="B6" s="2" t="s">
        <v>804</v>
      </c>
      <c r="C6" s="2" t="s">
        <v>27</v>
      </c>
      <c r="D6" s="2" t="s">
        <v>805</v>
      </c>
      <c r="E6" s="2" t="s">
        <v>39</v>
      </c>
      <c r="F6" s="2" t="s">
        <v>41</v>
      </c>
      <c r="G6">
        <v>0.1</v>
      </c>
      <c r="H6">
        <v>50</v>
      </c>
      <c r="I6" s="2" t="s">
        <v>823</v>
      </c>
      <c r="J6" s="2" t="s">
        <v>824</v>
      </c>
      <c r="K6" s="2" t="s">
        <v>123</v>
      </c>
      <c r="L6">
        <v>4.7</v>
      </c>
    </row>
    <row r="7" spans="1:14" x14ac:dyDescent="0.25">
      <c r="A7" s="2" t="s">
        <v>790</v>
      </c>
      <c r="B7" s="2" t="s">
        <v>804</v>
      </c>
      <c r="C7" s="2" t="s">
        <v>27</v>
      </c>
      <c r="D7" s="2" t="s">
        <v>805</v>
      </c>
      <c r="E7" s="2" t="s">
        <v>39</v>
      </c>
      <c r="F7" s="2" t="s">
        <v>809</v>
      </c>
      <c r="G7">
        <v>0.1</v>
      </c>
      <c r="H7">
        <v>50</v>
      </c>
      <c r="I7" s="2" t="s">
        <v>823</v>
      </c>
      <c r="J7" s="2" t="s">
        <v>824</v>
      </c>
      <c r="K7" s="2" t="s">
        <v>123</v>
      </c>
      <c r="L7">
        <v>6.8</v>
      </c>
    </row>
    <row r="8" spans="1:14" x14ac:dyDescent="0.25">
      <c r="A8" s="2" t="s">
        <v>791</v>
      </c>
      <c r="B8" s="2" t="s">
        <v>804</v>
      </c>
      <c r="C8" s="2" t="s">
        <v>27</v>
      </c>
      <c r="D8" s="2" t="s">
        <v>805</v>
      </c>
      <c r="E8" s="2" t="s">
        <v>39</v>
      </c>
      <c r="F8" s="2" t="s">
        <v>810</v>
      </c>
      <c r="G8">
        <v>0.1</v>
      </c>
      <c r="H8">
        <v>50</v>
      </c>
      <c r="I8" s="2" t="s">
        <v>823</v>
      </c>
      <c r="J8" s="2" t="s">
        <v>824</v>
      </c>
      <c r="K8" s="2" t="s">
        <v>123</v>
      </c>
      <c r="L8">
        <v>10</v>
      </c>
    </row>
    <row r="9" spans="1:14" x14ac:dyDescent="0.25">
      <c r="A9" s="2" t="s">
        <v>792</v>
      </c>
      <c r="B9" s="2" t="s">
        <v>804</v>
      </c>
      <c r="C9" s="2" t="s">
        <v>27</v>
      </c>
      <c r="D9" s="2" t="s">
        <v>805</v>
      </c>
      <c r="E9" s="2" t="s">
        <v>39</v>
      </c>
      <c r="F9" s="2" t="s">
        <v>811</v>
      </c>
      <c r="G9">
        <v>0.1</v>
      </c>
      <c r="H9">
        <v>50</v>
      </c>
      <c r="I9" s="2" t="s">
        <v>823</v>
      </c>
      <c r="J9" s="2" t="s">
        <v>824</v>
      </c>
      <c r="K9" s="2" t="s">
        <v>123</v>
      </c>
      <c r="L9">
        <v>15</v>
      </c>
    </row>
    <row r="10" spans="1:14" x14ac:dyDescent="0.25">
      <c r="A10" s="2" t="s">
        <v>793</v>
      </c>
      <c r="B10" s="2" t="s">
        <v>804</v>
      </c>
      <c r="C10" s="2" t="s">
        <v>27</v>
      </c>
      <c r="D10" s="2" t="s">
        <v>805</v>
      </c>
      <c r="E10" s="2" t="s">
        <v>39</v>
      </c>
      <c r="F10" s="2" t="s">
        <v>812</v>
      </c>
      <c r="G10">
        <v>0.1</v>
      </c>
      <c r="H10">
        <v>50</v>
      </c>
      <c r="I10" s="2" t="s">
        <v>823</v>
      </c>
      <c r="J10" s="2" t="s">
        <v>824</v>
      </c>
      <c r="K10" s="2" t="s">
        <v>123</v>
      </c>
      <c r="L10">
        <v>22</v>
      </c>
    </row>
    <row r="11" spans="1:14" x14ac:dyDescent="0.25">
      <c r="A11" s="2" t="s">
        <v>794</v>
      </c>
      <c r="B11" s="2" t="s">
        <v>804</v>
      </c>
      <c r="C11" s="2" t="s">
        <v>27</v>
      </c>
      <c r="D11" s="2" t="s">
        <v>805</v>
      </c>
      <c r="E11" s="2" t="s">
        <v>39</v>
      </c>
      <c r="F11" s="2" t="s">
        <v>813</v>
      </c>
      <c r="G11">
        <v>0.1</v>
      </c>
      <c r="H11">
        <v>50</v>
      </c>
      <c r="I11" s="2" t="s">
        <v>823</v>
      </c>
      <c r="J11" s="2" t="s">
        <v>824</v>
      </c>
      <c r="K11" s="2" t="s">
        <v>123</v>
      </c>
      <c r="L11">
        <v>33</v>
      </c>
    </row>
    <row r="12" spans="1:14" x14ac:dyDescent="0.25">
      <c r="A12" s="2" t="s">
        <v>795</v>
      </c>
      <c r="B12" s="2" t="s">
        <v>804</v>
      </c>
      <c r="C12" s="2" t="s">
        <v>27</v>
      </c>
      <c r="D12" s="2" t="s">
        <v>805</v>
      </c>
      <c r="E12" s="2" t="s">
        <v>39</v>
      </c>
      <c r="F12" s="2" t="s">
        <v>814</v>
      </c>
      <c r="G12">
        <v>0.1</v>
      </c>
      <c r="H12">
        <v>50</v>
      </c>
      <c r="I12" s="2" t="s">
        <v>823</v>
      </c>
      <c r="J12" s="2" t="s">
        <v>824</v>
      </c>
      <c r="K12" s="2" t="s">
        <v>123</v>
      </c>
      <c r="L12">
        <v>47</v>
      </c>
    </row>
    <row r="13" spans="1:14" x14ac:dyDescent="0.25">
      <c r="A13" s="2" t="s">
        <v>796</v>
      </c>
      <c r="B13" s="2" t="s">
        <v>804</v>
      </c>
      <c r="C13" s="2" t="s">
        <v>27</v>
      </c>
      <c r="D13" s="2" t="s">
        <v>805</v>
      </c>
      <c r="E13" s="2" t="s">
        <v>39</v>
      </c>
      <c r="F13" s="2" t="s">
        <v>815</v>
      </c>
      <c r="G13">
        <v>0.1</v>
      </c>
      <c r="H13">
        <v>50</v>
      </c>
      <c r="I13" s="2" t="s">
        <v>823</v>
      </c>
      <c r="J13" s="2" t="s">
        <v>824</v>
      </c>
      <c r="K13" s="2" t="s">
        <v>123</v>
      </c>
      <c r="L13">
        <v>68</v>
      </c>
    </row>
    <row r="14" spans="1:14" x14ac:dyDescent="0.25">
      <c r="A14" s="2" t="s">
        <v>797</v>
      </c>
      <c r="B14" s="2" t="s">
        <v>804</v>
      </c>
      <c r="C14" s="2" t="s">
        <v>27</v>
      </c>
      <c r="D14" s="2" t="s">
        <v>805</v>
      </c>
      <c r="E14" s="2" t="s">
        <v>39</v>
      </c>
      <c r="F14" s="2" t="s">
        <v>816</v>
      </c>
      <c r="G14">
        <v>0.1</v>
      </c>
      <c r="H14">
        <v>50</v>
      </c>
      <c r="I14" s="2" t="s">
        <v>823</v>
      </c>
      <c r="J14" s="2" t="s">
        <v>824</v>
      </c>
      <c r="K14" s="2" t="s">
        <v>123</v>
      </c>
      <c r="L14">
        <v>100</v>
      </c>
    </row>
    <row r="15" spans="1:14" x14ac:dyDescent="0.25">
      <c r="A15" s="2" t="s">
        <v>798</v>
      </c>
      <c r="B15" s="2" t="s">
        <v>804</v>
      </c>
      <c r="C15" s="2" t="s">
        <v>27</v>
      </c>
      <c r="D15" s="2" t="s">
        <v>805</v>
      </c>
      <c r="E15" s="2" t="s">
        <v>39</v>
      </c>
      <c r="F15" s="2" t="s">
        <v>817</v>
      </c>
      <c r="G15">
        <v>0.1</v>
      </c>
      <c r="H15">
        <v>50</v>
      </c>
      <c r="I15" s="2" t="s">
        <v>823</v>
      </c>
      <c r="J15" s="2" t="s">
        <v>824</v>
      </c>
      <c r="K15" s="2" t="s">
        <v>123</v>
      </c>
      <c r="L15">
        <v>150</v>
      </c>
    </row>
    <row r="16" spans="1:14" x14ac:dyDescent="0.25">
      <c r="A16" s="2" t="s">
        <v>799</v>
      </c>
      <c r="B16" s="2" t="s">
        <v>804</v>
      </c>
      <c r="C16" s="2" t="s">
        <v>27</v>
      </c>
      <c r="D16" s="2" t="s">
        <v>805</v>
      </c>
      <c r="E16" s="2" t="s">
        <v>39</v>
      </c>
      <c r="F16" s="2" t="s">
        <v>818</v>
      </c>
      <c r="G16">
        <v>0.1</v>
      </c>
      <c r="H16">
        <v>50</v>
      </c>
      <c r="I16" s="2" t="s">
        <v>823</v>
      </c>
      <c r="J16" s="2" t="s">
        <v>824</v>
      </c>
      <c r="K16" s="2" t="s">
        <v>123</v>
      </c>
      <c r="L16">
        <v>220</v>
      </c>
    </row>
    <row r="17" spans="1:14" x14ac:dyDescent="0.25">
      <c r="A17" s="2" t="s">
        <v>800</v>
      </c>
      <c r="B17" s="2" t="s">
        <v>804</v>
      </c>
      <c r="C17" s="2" t="s">
        <v>27</v>
      </c>
      <c r="D17" s="2" t="s">
        <v>805</v>
      </c>
      <c r="E17" s="2" t="s">
        <v>39</v>
      </c>
      <c r="F17" s="2" t="s">
        <v>819</v>
      </c>
      <c r="G17">
        <v>0.1</v>
      </c>
      <c r="H17">
        <v>50</v>
      </c>
      <c r="I17" s="2" t="s">
        <v>823</v>
      </c>
      <c r="J17" s="2" t="s">
        <v>824</v>
      </c>
      <c r="K17" s="2" t="s">
        <v>123</v>
      </c>
      <c r="L17">
        <v>330</v>
      </c>
    </row>
    <row r="18" spans="1:14" x14ac:dyDescent="0.25">
      <c r="A18" s="2" t="s">
        <v>801</v>
      </c>
      <c r="B18" s="2" t="s">
        <v>804</v>
      </c>
      <c r="C18" s="2" t="s">
        <v>27</v>
      </c>
      <c r="D18" s="2" t="s">
        <v>805</v>
      </c>
      <c r="E18" s="2" t="s">
        <v>39</v>
      </c>
      <c r="F18" s="2" t="s">
        <v>820</v>
      </c>
      <c r="G18">
        <v>0.1</v>
      </c>
      <c r="H18">
        <v>50</v>
      </c>
      <c r="I18" s="2" t="s">
        <v>823</v>
      </c>
      <c r="J18" s="2" t="s">
        <v>824</v>
      </c>
      <c r="K18" s="2" t="s">
        <v>123</v>
      </c>
      <c r="L18">
        <v>470</v>
      </c>
    </row>
    <row r="19" spans="1:14" x14ac:dyDescent="0.25">
      <c r="A19" s="2" t="s">
        <v>802</v>
      </c>
      <c r="B19" s="2" t="s">
        <v>804</v>
      </c>
      <c r="C19" s="2" t="s">
        <v>27</v>
      </c>
      <c r="D19" s="2" t="s">
        <v>805</v>
      </c>
      <c r="E19" s="2" t="s">
        <v>39</v>
      </c>
      <c r="F19" s="2" t="s">
        <v>821</v>
      </c>
      <c r="G19">
        <v>0.1</v>
      </c>
      <c r="H19">
        <v>50</v>
      </c>
      <c r="I19" s="2" t="s">
        <v>823</v>
      </c>
      <c r="J19" s="2" t="s">
        <v>824</v>
      </c>
      <c r="K19" s="2" t="s">
        <v>123</v>
      </c>
      <c r="L19">
        <v>680</v>
      </c>
    </row>
    <row r="20" spans="1:14" x14ac:dyDescent="0.25">
      <c r="A20" s="2" t="s">
        <v>803</v>
      </c>
      <c r="B20" s="2" t="s">
        <v>804</v>
      </c>
      <c r="C20" s="2" t="s">
        <v>27</v>
      </c>
      <c r="D20" s="2" t="s">
        <v>805</v>
      </c>
      <c r="E20" s="2" t="s">
        <v>39</v>
      </c>
      <c r="F20" s="2" t="s">
        <v>822</v>
      </c>
      <c r="G20">
        <v>0.1</v>
      </c>
      <c r="H20">
        <v>50</v>
      </c>
      <c r="I20" s="2" t="s">
        <v>823</v>
      </c>
      <c r="J20" s="2" t="s">
        <v>824</v>
      </c>
      <c r="K20" s="2" t="s">
        <v>123</v>
      </c>
      <c r="L20">
        <v>1000</v>
      </c>
    </row>
    <row r="21" spans="1:14" x14ac:dyDescent="0.25">
      <c r="A21" s="2" t="s">
        <v>914</v>
      </c>
      <c r="B21" t="s">
        <v>910</v>
      </c>
      <c r="C21" s="2" t="s">
        <v>27</v>
      </c>
      <c r="D21" s="2" t="s">
        <v>805</v>
      </c>
      <c r="E21" s="2" t="s">
        <v>39</v>
      </c>
      <c r="F21" s="2" t="s">
        <v>911</v>
      </c>
      <c r="G21">
        <v>20</v>
      </c>
      <c r="H21">
        <v>10</v>
      </c>
      <c r="I21" t="s">
        <v>912</v>
      </c>
      <c r="J21" s="2" t="s">
        <v>913</v>
      </c>
      <c r="K21" t="s">
        <v>909</v>
      </c>
      <c r="L21">
        <v>2200</v>
      </c>
      <c r="M21" s="2" t="s">
        <v>970</v>
      </c>
      <c r="N21" t="s">
        <v>971</v>
      </c>
    </row>
    <row r="22" spans="1:14" x14ac:dyDescent="0.25">
      <c r="A22" t="s">
        <v>920</v>
      </c>
      <c r="B22" t="s">
        <v>921</v>
      </c>
      <c r="C22" s="2" t="s">
        <v>27</v>
      </c>
      <c r="D22" s="2" t="s">
        <v>805</v>
      </c>
      <c r="E22" s="2" t="s">
        <v>39</v>
      </c>
      <c r="F22" s="2" t="s">
        <v>822</v>
      </c>
      <c r="G22">
        <v>20</v>
      </c>
      <c r="H22">
        <v>25</v>
      </c>
      <c r="I22" t="s">
        <v>912</v>
      </c>
      <c r="J22" s="2" t="s">
        <v>922</v>
      </c>
      <c r="K22" t="s">
        <v>923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7"/>
  <sheetViews>
    <sheetView zoomScaleNormal="100" workbookViewId="0">
      <selection activeCell="B8" sqref="B8"/>
    </sheetView>
  </sheetViews>
  <sheetFormatPr defaultRowHeight="15" x14ac:dyDescent="0.25"/>
  <cols>
    <col min="1" max="1" width="14.85546875" customWidth="1"/>
    <col min="2" max="2" width="22.140625" customWidth="1"/>
    <col min="3" max="3" width="12" customWidth="1"/>
    <col min="4" max="4" width="14.140625" customWidth="1"/>
    <col min="5" max="5" width="12.85546875" customWidth="1"/>
    <col min="6" max="6" width="17.85546875" customWidth="1"/>
    <col min="7" max="7" width="16.85546875" customWidth="1"/>
    <col min="8" max="8" width="18.140625" customWidth="1"/>
    <col min="9" max="9" width="16.85546875" customWidth="1"/>
    <col min="10" max="10" width="18.140625" customWidth="1"/>
    <col min="11" max="11" width="16.85546875" customWidth="1"/>
    <col min="12" max="12" width="18.140625" customWidth="1"/>
    <col min="13" max="13" width="16.85546875" customWidth="1"/>
    <col min="14" max="14" width="18" bestFit="1" customWidth="1"/>
    <col min="15" max="15" width="13.5703125" bestFit="1" customWidth="1"/>
    <col min="16" max="16" width="8.5703125" bestFit="1" customWidth="1"/>
  </cols>
  <sheetData>
    <row r="1" spans="1:16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839</v>
      </c>
      <c r="O1" s="1" t="s">
        <v>84</v>
      </c>
      <c r="P1" s="1" t="s">
        <v>25</v>
      </c>
    </row>
    <row r="2" spans="1:16" x14ac:dyDescent="0.2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2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25">
      <c r="A4" s="2" t="s">
        <v>838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840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25">
      <c r="A5" t="s">
        <v>871</v>
      </c>
      <c r="B5" t="s">
        <v>872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873</v>
      </c>
      <c r="H5" s="2" t="str">
        <f t="shared" ref="H5:H6" si="2">CONCATENATE("Footprints\Inductance\",I5,".PcbLib")</f>
        <v>Footprints\Inductance\.PcbLib</v>
      </c>
      <c r="I5" s="2"/>
      <c r="J5" s="2" t="str">
        <f t="shared" ref="J5:J6" si="3">CONCATENATE("Footprints\Inductance\",K5,".PcbLib")</f>
        <v>Footprints\Inductance\.PcbLib</v>
      </c>
      <c r="K5" s="2"/>
      <c r="L5" s="2" t="str">
        <f t="shared" ref="L5:L6" si="4">CONCATENATE("Footprints\Inductance\",M5,".PcbLib")</f>
        <v>Footprints\Inductance\.PcbLib</v>
      </c>
      <c r="M5" s="2"/>
      <c r="N5">
        <v>4.7</v>
      </c>
      <c r="O5">
        <v>5.5</v>
      </c>
      <c r="P5" t="str">
        <f>CONCATENATE(N5, " мк")</f>
        <v>4,7 мк</v>
      </c>
    </row>
    <row r="6" spans="1:16" x14ac:dyDescent="0.25">
      <c r="A6" t="s">
        <v>898</v>
      </c>
      <c r="B6" t="s">
        <v>899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2"/>
        <v>Footprints\Inductance\.PcbLib</v>
      </c>
      <c r="I6" s="2"/>
      <c r="J6" s="2" t="str">
        <f t="shared" si="3"/>
        <v>Footprints\Inductance\.PcbLib</v>
      </c>
      <c r="K6" s="2"/>
      <c r="L6" s="2" t="str">
        <f t="shared" si="4"/>
        <v>Footprints\Inductance\.PcbLib</v>
      </c>
      <c r="M6" s="2"/>
      <c r="N6">
        <v>22</v>
      </c>
      <c r="O6">
        <v>5</v>
      </c>
      <c r="P6" t="str">
        <f>CONCATENATE(N6, " мк")</f>
        <v>22 мк</v>
      </c>
    </row>
    <row r="7" spans="1:16" x14ac:dyDescent="0.25">
      <c r="A7" t="s">
        <v>957</v>
      </c>
      <c r="B7" t="s">
        <v>958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959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>
        <v>22</v>
      </c>
      <c r="O7" s="2" t="s">
        <v>960</v>
      </c>
      <c r="P7" t="str">
        <f>CONCATENATE(N7,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1"/>
  <sheetViews>
    <sheetView workbookViewId="0">
      <selection activeCell="G18" sqref="G18"/>
    </sheetView>
  </sheetViews>
  <sheetFormatPr defaultRowHeight="15" x14ac:dyDescent="0.25"/>
  <cols>
    <col min="1" max="1" width="14.85546875" customWidth="1"/>
    <col min="2" max="2" width="15.85546875" customWidth="1"/>
    <col min="3" max="3" width="12.5703125" customWidth="1"/>
    <col min="4" max="4" width="14.5703125" customWidth="1"/>
    <col min="5" max="5" width="12.85546875" customWidth="1"/>
    <col min="6" max="6" width="28" customWidth="1"/>
    <col min="7" max="7" width="16.85546875" customWidth="1"/>
    <col min="8" max="8" width="20.85546875" customWidth="1"/>
    <col min="9" max="9" width="16.855468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2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122</v>
      </c>
    </row>
    <row r="4" spans="1:20" x14ac:dyDescent="0.2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128</v>
      </c>
    </row>
    <row r="5" spans="1:20" x14ac:dyDescent="0.2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25">
      <c r="A6" t="s">
        <v>375</v>
      </c>
      <c r="B6" t="s">
        <v>377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 t="shared" ref="F6:H11" si="0">CONCATENATE("Footprints\",G6,".PcbLib")</f>
        <v>Footprints\0805SB.PcbLib</v>
      </c>
      <c r="G6" t="s">
        <v>376</v>
      </c>
      <c r="H6" t="str">
        <f t="shared" si="0"/>
        <v>Footprints\1206SB.PcbLib</v>
      </c>
      <c r="I6" t="s">
        <v>1007</v>
      </c>
    </row>
    <row r="7" spans="1:20" x14ac:dyDescent="0.25">
      <c r="A7" t="s">
        <v>882</v>
      </c>
      <c r="B7" t="s">
        <v>883</v>
      </c>
      <c r="C7" t="str">
        <f t="shared" ref="C7" si="1">A7</f>
        <v>CBM432AST23</v>
      </c>
      <c r="D7" t="str">
        <f>CONCATENATE("Schematic\precision_shunt_regulator",".SchLib")</f>
        <v>Schematic\precision_shunt_regulator.SchLib</v>
      </c>
      <c r="E7" t="s">
        <v>884</v>
      </c>
      <c r="F7" t="str">
        <f t="shared" si="0"/>
        <v>Footprints\SOT23-3.PcbLib</v>
      </c>
      <c r="G7" t="s">
        <v>18</v>
      </c>
    </row>
    <row r="8" spans="1:20" x14ac:dyDescent="0.25">
      <c r="A8" t="s">
        <v>906</v>
      </c>
      <c r="B8" t="s">
        <v>905</v>
      </c>
      <c r="C8" t="str">
        <f>A8</f>
        <v>UMW TL431 0.5%</v>
      </c>
      <c r="D8" t="str">
        <f>CONCATENATE("Schematic\",Таблица8[[#This Row],[Library Ref]],".SchLib")</f>
        <v>Schematic\precision_shunt_regulator.SchLib</v>
      </c>
      <c r="E8" t="s">
        <v>884</v>
      </c>
      <c r="F8" t="str">
        <f t="shared" si="0"/>
        <v>Footprints\SOT23-3.PcbLib</v>
      </c>
      <c r="G8" t="s">
        <v>18</v>
      </c>
    </row>
    <row r="9" spans="1:20" x14ac:dyDescent="0.25">
      <c r="A9" t="s">
        <v>918</v>
      </c>
      <c r="B9" t="s">
        <v>916</v>
      </c>
      <c r="C9" t="str">
        <f>A9</f>
        <v>Fuse 20x5 on clips FC-M</v>
      </c>
      <c r="D9" t="str">
        <f>CONCATENATE("Schematic\",Таблица8[[#This Row],[Library Ref]],".SchLib")</f>
        <v>Schematic\fuse.SchLib</v>
      </c>
      <c r="E9" t="s">
        <v>917</v>
      </c>
      <c r="F9" t="str">
        <f t="shared" si="0"/>
        <v>Footprints\fuse_20x5_on_clips_FC-M.PcbLib</v>
      </c>
      <c r="G9" t="s">
        <v>915</v>
      </c>
    </row>
    <row r="10" spans="1:20" x14ac:dyDescent="0.25">
      <c r="A10" t="s">
        <v>965</v>
      </c>
      <c r="B10" t="s">
        <v>966</v>
      </c>
      <c r="C10" t="str">
        <f>A10</f>
        <v>DHT22</v>
      </c>
      <c r="D10" t="str">
        <f>CONCATENATE("Schematic\",A10,".SchLib")</f>
        <v>Schematic\DHT22.SchLib</v>
      </c>
      <c r="E10" t="str">
        <f>A10</f>
        <v>DHT22</v>
      </c>
      <c r="F10" t="str">
        <f t="shared" si="0"/>
        <v>Footprints\DHT22.PcbLib</v>
      </c>
      <c r="G10" t="s">
        <v>965</v>
      </c>
    </row>
    <row r="11" spans="1:20" x14ac:dyDescent="0.25">
      <c r="A11" t="s">
        <v>996</v>
      </c>
      <c r="B11" t="s">
        <v>997</v>
      </c>
      <c r="C11" t="str">
        <f>A11</f>
        <v>cooler4040</v>
      </c>
      <c r="D11" t="str">
        <f>CONCATENATE("Schematic\",A11,".SchLib")</f>
        <v>Schematic\cooler4040.SchLib</v>
      </c>
      <c r="E11" t="str">
        <f>A11</f>
        <v>cooler4040</v>
      </c>
      <c r="F11" t="str">
        <f t="shared" si="0"/>
        <v>Footprints\cooler4040.PcbLib</v>
      </c>
      <c r="G11" t="s">
        <v>996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6"/>
  <sheetViews>
    <sheetView topLeftCell="A10" zoomScale="145" zoomScaleNormal="145" workbookViewId="0">
      <selection activeCell="D28" sqref="D28"/>
    </sheetView>
  </sheetViews>
  <sheetFormatPr defaultRowHeight="15" x14ac:dyDescent="0.25"/>
  <cols>
    <col min="1" max="1" width="14.85546875" customWidth="1"/>
    <col min="2" max="2" width="13.5703125" customWidth="1"/>
    <col min="3" max="3" width="13.140625" customWidth="1"/>
    <col min="4" max="4" width="45.85546875" customWidth="1"/>
    <col min="5" max="5" width="17.140625" customWidth="1"/>
    <col min="6" max="6" width="44" customWidth="1"/>
    <col min="7" max="7" width="16.85546875" customWidth="1"/>
    <col min="8" max="8" width="44.42578125" customWidth="1"/>
    <col min="9" max="9" width="23.85546875" customWidth="1"/>
  </cols>
  <sheetData>
    <row r="1" spans="1: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2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2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25">
      <c r="A4" t="s">
        <v>109</v>
      </c>
      <c r="B4" t="s">
        <v>110</v>
      </c>
      <c r="C4" s="2" t="s">
        <v>109</v>
      </c>
      <c r="D4" t="s">
        <v>354</v>
      </c>
      <c r="E4" s="2" t="s">
        <v>115</v>
      </c>
      <c r="F4" t="s">
        <v>355</v>
      </c>
      <c r="G4" t="s">
        <v>109</v>
      </c>
    </row>
    <row r="5" spans="1:9" x14ac:dyDescent="0.25">
      <c r="A5" t="s">
        <v>111</v>
      </c>
      <c r="B5" t="s">
        <v>112</v>
      </c>
      <c r="C5" s="2" t="s">
        <v>111</v>
      </c>
      <c r="D5" t="s">
        <v>356</v>
      </c>
      <c r="E5" s="2" t="s">
        <v>116</v>
      </c>
      <c r="F5" t="s">
        <v>357</v>
      </c>
      <c r="G5" t="s">
        <v>111</v>
      </c>
    </row>
    <row r="6" spans="1:9" x14ac:dyDescent="0.25">
      <c r="A6" t="s">
        <v>117</v>
      </c>
      <c r="B6" t="s">
        <v>118</v>
      </c>
      <c r="C6" s="2" t="s">
        <v>117</v>
      </c>
      <c r="D6" t="s">
        <v>358</v>
      </c>
      <c r="E6" s="2" t="s">
        <v>119</v>
      </c>
      <c r="F6" t="s">
        <v>359</v>
      </c>
      <c r="G6" t="s">
        <v>117</v>
      </c>
      <c r="H6" t="s">
        <v>364</v>
      </c>
      <c r="I6" t="s">
        <v>338</v>
      </c>
    </row>
    <row r="7" spans="1:9" x14ac:dyDescent="0.25">
      <c r="A7" t="s">
        <v>1030</v>
      </c>
      <c r="B7" t="s">
        <v>120</v>
      </c>
      <c r="C7" s="2" t="s">
        <v>1030</v>
      </c>
      <c r="D7" t="s">
        <v>837</v>
      </c>
      <c r="E7" s="2" t="s">
        <v>835</v>
      </c>
      <c r="F7" t="s">
        <v>1031</v>
      </c>
      <c r="G7" t="s">
        <v>1030</v>
      </c>
    </row>
    <row r="8" spans="1:9" x14ac:dyDescent="0.25">
      <c r="A8" t="s">
        <v>335</v>
      </c>
      <c r="B8" t="s">
        <v>336</v>
      </c>
      <c r="C8" s="2" t="s">
        <v>335</v>
      </c>
      <c r="D8" t="s">
        <v>360</v>
      </c>
      <c r="E8" t="s">
        <v>121</v>
      </c>
      <c r="F8" t="s">
        <v>361</v>
      </c>
      <c r="G8" t="s">
        <v>335</v>
      </c>
      <c r="H8" t="s">
        <v>374</v>
      </c>
      <c r="I8" t="s">
        <v>362</v>
      </c>
    </row>
    <row r="9" spans="1:9" x14ac:dyDescent="0.25">
      <c r="A9" t="s">
        <v>337</v>
      </c>
      <c r="B9" t="s">
        <v>834</v>
      </c>
      <c r="C9" s="2" t="s">
        <v>337</v>
      </c>
      <c r="D9" t="s">
        <v>1029</v>
      </c>
      <c r="E9" t="s">
        <v>1028</v>
      </c>
      <c r="F9" t="s">
        <v>363</v>
      </c>
      <c r="G9" t="s">
        <v>337</v>
      </c>
    </row>
    <row r="10" spans="1:9" x14ac:dyDescent="0.25">
      <c r="A10" t="s">
        <v>348</v>
      </c>
      <c r="B10" t="s">
        <v>349</v>
      </c>
      <c r="C10" s="2" t="s">
        <v>348</v>
      </c>
      <c r="D10" t="s">
        <v>360</v>
      </c>
      <c r="E10" t="s">
        <v>121</v>
      </c>
      <c r="F10" t="s">
        <v>365</v>
      </c>
      <c r="G10" t="s">
        <v>348</v>
      </c>
    </row>
    <row r="11" spans="1:9" x14ac:dyDescent="0.25">
      <c r="A11" t="s">
        <v>366</v>
      </c>
      <c r="B11" t="s">
        <v>367</v>
      </c>
      <c r="C11" s="2" t="s">
        <v>366</v>
      </c>
      <c r="D11" t="s">
        <v>368</v>
      </c>
      <c r="E11" t="s">
        <v>369</v>
      </c>
      <c r="F11" t="s">
        <v>370</v>
      </c>
      <c r="G11" t="s">
        <v>366</v>
      </c>
    </row>
    <row r="12" spans="1:9" x14ac:dyDescent="0.25">
      <c r="A12" t="s">
        <v>371</v>
      </c>
      <c r="B12" t="s">
        <v>372</v>
      </c>
      <c r="C12" s="2" t="s">
        <v>371</v>
      </c>
      <c r="D12" t="s">
        <v>368</v>
      </c>
      <c r="E12" t="s">
        <v>369</v>
      </c>
      <c r="F12" t="s">
        <v>373</v>
      </c>
      <c r="G12" t="s">
        <v>371</v>
      </c>
    </row>
    <row r="13" spans="1:9" x14ac:dyDescent="0.25">
      <c r="A13" t="s">
        <v>832</v>
      </c>
      <c r="B13" t="s">
        <v>833</v>
      </c>
      <c r="C13" s="2"/>
      <c r="D13" t="s">
        <v>837</v>
      </c>
      <c r="E13" t="s">
        <v>835</v>
      </c>
      <c r="F13" t="s">
        <v>836</v>
      </c>
      <c r="G13" t="s">
        <v>832</v>
      </c>
    </row>
    <row r="14" spans="1:9" x14ac:dyDescent="0.25">
      <c r="A14" t="s">
        <v>863</v>
      </c>
      <c r="B14" t="s">
        <v>864</v>
      </c>
      <c r="C14" s="2" t="s">
        <v>865</v>
      </c>
      <c r="D14" t="s">
        <v>866</v>
      </c>
      <c r="E14" t="s">
        <v>865</v>
      </c>
      <c r="F14" t="s">
        <v>867</v>
      </c>
      <c r="G14" t="s">
        <v>865</v>
      </c>
    </row>
    <row r="15" spans="1:9" x14ac:dyDescent="0.25">
      <c r="A15" t="s">
        <v>932</v>
      </c>
      <c r="B15" t="s">
        <v>935</v>
      </c>
      <c r="C15" s="2" t="s">
        <v>932</v>
      </c>
      <c r="D15" t="s">
        <v>933</v>
      </c>
      <c r="E15" t="s">
        <v>932</v>
      </c>
      <c r="F15" t="s">
        <v>934</v>
      </c>
      <c r="G15" t="s">
        <v>932</v>
      </c>
    </row>
    <row r="16" spans="1:9" x14ac:dyDescent="0.25">
      <c r="A16" t="s">
        <v>982</v>
      </c>
      <c r="B16" t="s">
        <v>990</v>
      </c>
      <c r="C16" s="2" t="s">
        <v>983</v>
      </c>
      <c r="D16" t="s">
        <v>984</v>
      </c>
      <c r="E16" t="s">
        <v>982</v>
      </c>
      <c r="F16" t="s">
        <v>985</v>
      </c>
      <c r="G16" t="s">
        <v>982</v>
      </c>
    </row>
    <row r="17" spans="1:7" x14ac:dyDescent="0.25">
      <c r="A17" t="s">
        <v>986</v>
      </c>
      <c r="B17" t="s">
        <v>989</v>
      </c>
      <c r="C17" s="2" t="s">
        <v>987</v>
      </c>
      <c r="D17" t="s">
        <v>988</v>
      </c>
      <c r="E17" t="s">
        <v>986</v>
      </c>
      <c r="F17" t="s">
        <v>991</v>
      </c>
      <c r="G17" t="s">
        <v>992</v>
      </c>
    </row>
    <row r="18" spans="1:7" x14ac:dyDescent="0.25">
      <c r="A18" t="s">
        <v>993</v>
      </c>
      <c r="B18" t="s">
        <v>994</v>
      </c>
      <c r="C18" s="2" t="s">
        <v>993</v>
      </c>
      <c r="D18" t="s">
        <v>350</v>
      </c>
      <c r="E18" t="s">
        <v>113</v>
      </c>
      <c r="F18" t="s">
        <v>995</v>
      </c>
      <c r="G18" t="s">
        <v>993</v>
      </c>
    </row>
    <row r="19" spans="1:7" x14ac:dyDescent="0.25">
      <c r="A19" t="s">
        <v>998</v>
      </c>
      <c r="B19" t="s">
        <v>1002</v>
      </c>
      <c r="C19" s="2" t="s">
        <v>999</v>
      </c>
      <c r="D19" t="s">
        <v>1000</v>
      </c>
      <c r="E19" t="s">
        <v>998</v>
      </c>
      <c r="F19" t="s">
        <v>1001</v>
      </c>
      <c r="G19" t="s">
        <v>998</v>
      </c>
    </row>
    <row r="20" spans="1:7" x14ac:dyDescent="0.25">
      <c r="A20" t="s">
        <v>1005</v>
      </c>
      <c r="B20" t="s">
        <v>989</v>
      </c>
      <c r="C20" s="2" t="s">
        <v>1006</v>
      </c>
      <c r="D20" t="s">
        <v>988</v>
      </c>
      <c r="E20" t="s">
        <v>986</v>
      </c>
      <c r="F20" t="s">
        <v>1004</v>
      </c>
      <c r="G20" t="s">
        <v>1003</v>
      </c>
    </row>
    <row r="21" spans="1:7" x14ac:dyDescent="0.25">
      <c r="A21" t="s">
        <v>1008</v>
      </c>
      <c r="B21" t="s">
        <v>1012</v>
      </c>
      <c r="C21" s="2" t="s">
        <v>1008</v>
      </c>
      <c r="D21" t="s">
        <v>358</v>
      </c>
      <c r="E21" t="s">
        <v>119</v>
      </c>
      <c r="F21" t="s">
        <v>1009</v>
      </c>
      <c r="G21" t="s">
        <v>1008</v>
      </c>
    </row>
    <row r="22" spans="1:7" x14ac:dyDescent="0.25">
      <c r="A22" t="s">
        <v>1011</v>
      </c>
      <c r="B22" t="s">
        <v>1010</v>
      </c>
      <c r="C22" s="2" t="s">
        <v>1011</v>
      </c>
      <c r="D22" t="s">
        <v>354</v>
      </c>
      <c r="E22" t="s">
        <v>115</v>
      </c>
      <c r="F22" t="s">
        <v>1013</v>
      </c>
      <c r="G22" t="s">
        <v>1011</v>
      </c>
    </row>
    <row r="23" spans="1:7" x14ac:dyDescent="0.25">
      <c r="A23" t="s">
        <v>1014</v>
      </c>
      <c r="B23" t="s">
        <v>1015</v>
      </c>
      <c r="C23" s="2" t="s">
        <v>1014</v>
      </c>
      <c r="D23" t="s">
        <v>356</v>
      </c>
      <c r="E23" t="s">
        <v>116</v>
      </c>
      <c r="F23" t="s">
        <v>1016</v>
      </c>
      <c r="G23" t="s">
        <v>1014</v>
      </c>
    </row>
    <row r="24" spans="1:7" x14ac:dyDescent="0.25">
      <c r="A24" t="s">
        <v>1018</v>
      </c>
      <c r="B24" t="s">
        <v>1017</v>
      </c>
      <c r="C24" s="2" t="s">
        <v>1018</v>
      </c>
      <c r="D24" t="s">
        <v>358</v>
      </c>
      <c r="E24" t="s">
        <v>119</v>
      </c>
      <c r="F24" t="s">
        <v>1021</v>
      </c>
      <c r="G24" t="s">
        <v>1018</v>
      </c>
    </row>
    <row r="25" spans="1:7" x14ac:dyDescent="0.25">
      <c r="A25" t="s">
        <v>1024</v>
      </c>
      <c r="B25" t="s">
        <v>1027</v>
      </c>
      <c r="C25" s="2" t="s">
        <v>1024</v>
      </c>
      <c r="D25" t="s">
        <v>354</v>
      </c>
      <c r="E25" t="s">
        <v>115</v>
      </c>
      <c r="F25" t="s">
        <v>1022</v>
      </c>
      <c r="G25" t="s">
        <v>1024</v>
      </c>
    </row>
    <row r="26" spans="1:7" x14ac:dyDescent="0.25">
      <c r="A26" t="s">
        <v>1025</v>
      </c>
      <c r="B26" t="s">
        <v>1026</v>
      </c>
      <c r="C26" s="2" t="s">
        <v>1025</v>
      </c>
      <c r="D26" t="s">
        <v>1019</v>
      </c>
      <c r="E26" t="s">
        <v>1020</v>
      </c>
      <c r="F26" t="s">
        <v>1023</v>
      </c>
      <c r="G26" t="s">
        <v>1025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2025-01-23T10:39:07Z</dcterms:modified>
</cp:coreProperties>
</file>