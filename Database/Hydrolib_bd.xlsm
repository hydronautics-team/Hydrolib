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filterPrivacy="1" codeName="ЭтаКнига"/>
  <xr:revisionPtr revIDLastSave="0" documentId="13_ncr:1_{7A841FB4-71D1-4ECC-A1D0-A5259F640236}" xr6:coauthVersionLast="47" xr6:coauthVersionMax="47" xr10:uidLastSave="{00000000-0000-0000-0000-000000000000}"/>
  <bookViews>
    <workbookView xWindow="-108" yWindow="-108" windowWidth="23256" windowHeight="12576" firstSheet="2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</workbook>
</file>

<file path=xl/calcChain.xml><?xml version="1.0" encoding="utf-8"?>
<calcChain xmlns="http://schemas.openxmlformats.org/spreadsheetml/2006/main">
  <c r="C4" i="6" l="1"/>
  <c r="C5" i="6"/>
  <c r="D2" i="6"/>
  <c r="D3" i="6"/>
  <c r="D4" i="6"/>
  <c r="D5" i="6"/>
  <c r="F2" i="6"/>
  <c r="F3" i="6"/>
  <c r="F4" i="6"/>
  <c r="G5" i="6"/>
  <c r="F5" i="6" s="1"/>
  <c r="E5" i="6"/>
  <c r="G4" i="6"/>
  <c r="E4" i="6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D2" i="1"/>
  <c r="C3" i="8"/>
  <c r="F3" i="8"/>
  <c r="C4" i="1"/>
  <c r="D4" i="1"/>
  <c r="E4" i="1"/>
  <c r="F4" i="1"/>
  <c r="K2" i="7"/>
  <c r="J2" i="8"/>
  <c r="B2" i="8"/>
  <c r="F2" i="8"/>
  <c r="C2" i="8"/>
  <c r="C2" i="7"/>
  <c r="B2" i="7"/>
  <c r="F2" i="7"/>
  <c r="G3" i="6"/>
  <c r="G2" i="6"/>
  <c r="C3" i="6"/>
  <c r="E3" i="6"/>
  <c r="E2" i="6"/>
  <c r="C2" i="6"/>
  <c r="F5" i="5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0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1" xr16:uid="{D8C58BCC-C573-42A7-95CA-60E0EBCAC4FF}" name="TVS" type="4" refreshedVersion="0" background="1">
    <webPr xml="1" sourceData="1" url="C:\Users\1\Desktop\testlib\Готовое\TVS.xml" htmlTables="1" htmlFormat="all"/>
  </connection>
  <connection id="12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<sst xmlns="http://schemas.openxmlformats.org/spreadsheetml/2006/main" count="252" uniqueCount="131">
  <si>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</si>
  <si>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</si>
  <si>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</si>
  <si>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</si>
  <si>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</si>
  <si>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</si>
  <si>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</si>
  <si>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</si>
  <si>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</si>
  <si>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</si>
  <si>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</si>
  <si>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</si>
  <si>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</si>
  <si>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</si>
  <si>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</si>
  <si>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</si>
  <si>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</si>
  <si>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</si>
  <si>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</si>
  <si>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</si>
  <si>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</si>
  <si>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</si>
  <si>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</si>
  <si>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</si>
  <si>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</si>
  <si>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</si>
  <si>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</si>
  <si>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Резистор</t>
  </si>
  <si>
    <t>1 к</t>
  </si>
  <si>
    <t>Capacitor</t>
  </si>
  <si>
    <t>Конденсатор</t>
  </si>
  <si>
    <t>Schematic\Resistor.SchLib</t>
  </si>
  <si>
    <t>Schematic\Capacitor.SchLib</t>
  </si>
  <si>
    <t>0,1 мк</t>
  </si>
  <si>
    <t>Footprints/Resistor_SMD.PcbLib</t>
  </si>
  <si>
    <t>Footprints/Capacitor_Ceramic_SMD.PcdLib</t>
  </si>
  <si>
    <t>0603R</t>
  </si>
  <si>
    <t>0805R</t>
  </si>
  <si>
    <t>Footprint Path 3</t>
  </si>
  <si>
    <t>Footprint Ref 3</t>
  </si>
  <si>
    <t>1206R</t>
  </si>
  <si>
    <t>Footprint Path 4</t>
  </si>
  <si>
    <t>Footprint Ref 4</t>
  </si>
  <si>
    <t>2512R</t>
  </si>
  <si>
    <t>0603C</t>
  </si>
  <si>
    <t>0805C</t>
  </si>
  <si>
    <t>Capacitor_polar</t>
  </si>
  <si>
    <t>Полярный конденсатор</t>
  </si>
  <si>
    <t>Footprints/Capacitor_Electrolytic_SMD.PcbLib</t>
  </si>
  <si>
    <t>4,7 мк</t>
  </si>
  <si>
    <t>TC_A (3216)</t>
  </si>
  <si>
    <t>TC_B (3528)</t>
  </si>
  <si>
    <t>TC_C (6032)</t>
  </si>
  <si>
    <t>TC_D (7343)</t>
  </si>
  <si>
    <t>Footprint Path 5</t>
  </si>
  <si>
    <t>Footprint Ref 5</t>
  </si>
  <si>
    <t>TC_E (7343H)</t>
  </si>
  <si>
    <t>Footprint Path 6</t>
  </si>
  <si>
    <t>Footprint Ref 6</t>
  </si>
  <si>
    <t>Footprint Path 7</t>
  </si>
  <si>
    <t>Footprint Ref 7</t>
  </si>
  <si>
    <t>Footprints/Capacitor_Electrolytic_THT.PcbLib</t>
  </si>
  <si>
    <t>RADIAL-2 8mm</t>
  </si>
  <si>
    <t>RADIAL-2 10mm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</si>
  <si>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</si>
  <si>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</si>
  <si>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</si>
  <si>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</si>
  <si>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</si>
  <si>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</si>
  <si>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</si>
  <si>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</si>
  <si>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</si>
  <si>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</si>
  <si>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LED_SMD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</si>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</sst>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0" fontId="0" fillId="0" borderId="0" xfId="0" applyNumberFormat="1"/>
  </cellXfs>
  <cellStyles count="1">
    <cellStyle name="Обычный" xfId="0" builtinId="0"/>
  </cellStyles>
  <dxfs count="43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9" Name="Resistors" RootElement="Resistors" SchemaID="Schema9" ShowImportExportValidationErrors="false" AutoFit="true" Append="false" PreserveSortAFLayout="true" PreserveFormat="true">
    <DataBinding FileBinding="true" ConnectionID="8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9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0" DataBindingLoadMode="1"/>
  </Map>
  <Map ID="6" Name="TVS" RootElement="TVS" SchemaID="Schema6" ShowImportExportValidationErrors="false" AutoFit="true" Append="false" PreserveSortAFLayout="true" PreserveFormat="true">
    <DataBinding FileBinding="true" ConnectionID="11" DataBindingLoadMode="1"/>
  </Map>
  <Map ID="5" Name="Zener" RootElement="Zener" SchemaID="Schema5" ShowImportExportValidationErrors="false" AutoFit="true" Append="false" PreserveSortAFLayout="true" PreserveFormat="true">
    <DataBinding FileBinding="true" ConnectionID="1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42" connectionId="4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4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9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2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3" tableType="xml" totalsRowShown="0" connectionId="11">
  <autoFilter ref="A1:K3" xr:uid="{35EAFB53-5120-48E8-B7CF-F527619EF3EB}"/>
  <tableColumns count="11">
    <tableColumn id="1" xr3:uid="{8FF51BCB-1CBC-41C4-B0E3-6994AEB249EF}" uniqueName="PartNumber" name="Part Number">
      <xmlColumnPr mapId="6" xpath="/TVS/Part/PartNumber" xmlDataType="string"/>
    </tableColumn>
    <tableColumn id="2" xr3:uid="{254709FF-71DC-4C18-A11E-3F482A74905F}" uniqueName="Description" name="Description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>
      <calculatedColumnFormula>A2</calculatedColumnFormula>
      <xmlColumnPr mapId="6" xpath="/TVS/Part/Comment" xmlDataType="string"/>
    </tableColumn>
    <tableColumn id="4" xr3:uid="{83178ADA-1817-4EF5-A805-49E80CF47276}" uniqueName="LibraryPath" name="Library Path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>
      <xmlColumnPr mapId="6" xpath="/TVS/Part/LibraryRef" xmlDataType="string"/>
    </tableColumn>
    <tableColumn id="6" xr3:uid="{C5C7E783-B9B8-469C-B255-FC24F12E71DC}" uniqueName="FootprintPath1" name="Footprint Path 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>
      <xmlColumnPr mapId="6" xpath="/TVS/Part/FootprintRef1" xmlDataType="string"/>
    </tableColumn>
    <tableColumn id="8" xr3:uid="{16B3AEE3-BEA7-4870-9494-F8A0EC5E9CCD}" uniqueName="VoltageNominal" name="Voltage nominal (V)">
      <xmlColumnPr mapId="6" xpath="/TVS/Part/VoltageNominal" xmlDataType="string"/>
    </tableColumn>
    <tableColumn id="9" xr3:uid="{7DDE345A-D145-4A55-B781-91F88095B1FE}" uniqueName="Power" name="Power (W)">
      <xmlColumnPr mapId="6" xpath="/TVS/Part/Power" xmlDataType="string"/>
    </tableColumn>
    <tableColumn id="10" xr3:uid="{EBB777BC-3BC6-4EF4-AC63-F94C7CFCFC0E}" uniqueName="Value" name="Value">
      <xmlColumnPr mapId="6" xpath="/TVS/Part/Value" xmlDataType="string"/>
    </tableColumn>
    <tableColumn id="11" xr3:uid="{031238E8-E993-4BD3-9F1D-0FAC431BDD7F}" uniqueName="Inteface" name="Interface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40" connectionId="10">
  <autoFilter ref="A1:I6" xr:uid="{11DAD5D3-6841-4BFD-8583-65DE6E00D680}"/>
  <tableColumns count="9">
    <tableColumn id="1" xr3:uid="{59488B22-9EFD-4960-9418-72616CC8F6CC}" uniqueName="PartNumber" name="Part Number" dataDxfId="39">
      <xmlColumnPr mapId="8" xpath="/Transistors/Part/PartNumber" xmlDataType="string"/>
    </tableColumn>
    <tableColumn id="2" xr3:uid="{B6051881-2BC5-4D5F-9AEE-A86DF4412A4C}" uniqueName="Description" name="Description" dataDxfId="38">
      <xmlColumnPr mapId="8" xpath="/Transistors/Part/Description" xmlDataType="string"/>
    </tableColumn>
    <tableColumn id="3" xr3:uid="{377CEA9C-B3A1-4F57-920A-BA1AC9164370}" uniqueName="Comment" name="Comment" dataDxfId="3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36">
      <xmlColumnPr mapId="8" xpath="/Transistors/Part/LibraryPath" xmlDataType="string"/>
    </tableColumn>
    <tableColumn id="5" xr3:uid="{02693066-D721-4B47-BEE5-D678B96A10FB}" uniqueName="LibraryRef" name="Library Ref" dataDxfId="3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3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2" tableType="xml" totalsRowShown="0" headerRowDxfId="33" dataDxfId="32" connectionId="8">
  <autoFilter ref="A1:N2" xr:uid="{02061886-A591-4FD8-8C5B-3D1D2DB1F417}"/>
  <tableColumns count="14">
    <tableColumn id="1" xr3:uid="{1DE1C76C-B7F9-47FB-9EB0-156A2D87FD9E}" uniqueName="PartNumber" name="Part Number" dataDxfId="31">
      <xmlColumnPr mapId="9" xpath="/Resistors/Part/PartNumber" xmlDataType="string"/>
    </tableColumn>
    <tableColumn id="2" xr3:uid="{64E60790-EB9B-4A0D-B52C-7CB5A6F82DE8}" uniqueName="Description" name="Description" dataDxfId="30">
      <xmlColumnPr mapId="9" xpath="/Resistors/Part/Description" xmlDataType="string"/>
    </tableColumn>
    <tableColumn id="3" xr3:uid="{497E7478-3EE2-4F8D-A572-C738B7321387}" uniqueName="Comment" name="Comment" dataDxfId="29">
      <xmlColumnPr mapId="9" xpath="/Resistors/Part/Comment" xmlDataType="string"/>
    </tableColumn>
    <tableColumn id="4" xr3:uid="{255B034D-70D9-458C-8FA7-FEB8317A497F}" uniqueName="LibraryPath" name="Library Path" dataDxfId="28">
      <xmlColumnPr mapId="9" xpath="/Resistors/Part/LibraryPath" xmlDataType="string"/>
    </tableColumn>
    <tableColumn id="5" xr3:uid="{A3865419-9EA5-4AAA-B07F-FF52D437DC02}" uniqueName="LibraryRef" name="Library Ref" dataDxfId="27">
      <xmlColumnPr mapId="9" xpath="/Resistors/Part/LibraryRef" xmlDataType="string"/>
    </tableColumn>
    <tableColumn id="6" xr3:uid="{CE64E0F7-2F9E-477F-8D1B-040D90CB5685}" uniqueName="Value" name="Value" dataDxfId="26">
      <xmlColumnPr mapId="9" xpath="/Resistors/Part/Value" xmlDataType="string"/>
    </tableColumn>
    <tableColumn id="7" xr3:uid="{41F7703B-5A2D-47F6-B9C9-B9D386FC3CF8}" uniqueName="FootprintPath1" name="Footprint Path 1" dataDxfId="25">
      <xmlColumnPr mapId="9" xpath="/Resistors/Part/FootprintPath1" xmlDataType="string"/>
    </tableColumn>
    <tableColumn id="8" xr3:uid="{429E7452-DB30-417B-B5E7-8F2AA238A5A4}" uniqueName="FootprintRef1" name="Footprint Ref 1" dataDxfId="24">
      <xmlColumnPr mapId="9" xpath="/Resistors/Part/FootprintRef1" xmlDataType="string"/>
    </tableColumn>
    <tableColumn id="9" xr3:uid="{298A4272-57F5-45C2-AFCD-965909B2DD40}" uniqueName="FootprintPath2" name="Footprint Path 2" dataDxfId="23">
      <xmlColumnPr mapId="9" xpath="/Resistors/Part/FootprintPath2" xmlDataType="string"/>
    </tableColumn>
    <tableColumn id="10" xr3:uid="{5E217B5D-6ACC-4540-B99E-39835DE9B5AD}" uniqueName="FootprintRef2" name="Footprint Ref 2" dataDxfId="22">
      <xmlColumnPr mapId="9" xpath="/Resistors/Part/FootprintRef2" xmlDataType="string"/>
    </tableColumn>
    <tableColumn id="11" xr3:uid="{2334B57C-78D1-472F-90FA-52F299D17996}" uniqueName="FootprintPath3" name="Footprint Path 3" dataDxfId="21">
      <xmlColumnPr mapId="9" xpath="/Resistors/Part/FootprintPath3" xmlDataType="string"/>
    </tableColumn>
    <tableColumn id="12" xr3:uid="{CE6D1B76-86DB-4BB5-B08C-5172CD9AEB92}" uniqueName="FootprintRef3" name="Footprint Ref 3" dataDxfId="20">
      <xmlColumnPr mapId="9" xpath="/Resistors/Part/FootprintRef3" xmlDataType="string"/>
    </tableColumn>
    <tableColumn id="13" xr3:uid="{687D638D-A43B-4A58-8F97-2721414A608C}" uniqueName="FootprintPath4" name="Footprint Path 4" dataDxfId="19">
      <xmlColumnPr mapId="9" xpath="/Resistors/Part/FootprintPath4" xmlDataType="string"/>
    </tableColumn>
    <tableColumn id="14" xr3:uid="{F0FD1873-DBEF-4B39-9FCA-E48EB3E6741F}" uniqueName="FootprintRef4" name="Footprint Ref 4" dataDxfId="18">
      <xmlColumnPr mapId="9" xpath="/Resistors/Part/FootprintRef4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17" connectionId="1">
  <autoFilter ref="A1:T3" xr:uid="{1041C5C1-00FD-47DC-8B7C-9DEBE212D9D4}"/>
  <tableColumns count="20">
    <tableColumn id="1" xr3:uid="{55BDD111-6381-449E-BF2B-3FEC8107762D}" uniqueName="PartNumber" name="Part Number" dataDxfId="16">
      <xmlColumnPr mapId="18" xpath="/Capacitors/Part/PartNumber" xmlDataType="string"/>
    </tableColumn>
    <tableColumn id="2" xr3:uid="{0D3E1F2C-B0CC-4A36-A41B-2F2DAEC98E3B}" uniqueName="Description" name="Description" dataDxfId="15">
      <xmlColumnPr mapId="18" xpath="/Capacitors/Part/Description" xmlDataType="string"/>
    </tableColumn>
    <tableColumn id="3" xr3:uid="{16739D52-8082-4E8D-B1E1-B82F60766E2A}" uniqueName="Comment" name="Comment" dataDxfId="14">
      <xmlColumnPr mapId="18" xpath="/Capacitors/Part/Comment" xmlDataType="string"/>
    </tableColumn>
    <tableColumn id="4" xr3:uid="{AC1F3F2E-0C78-451D-9178-0A9D15C49726}" uniqueName="LibraryPath" name="Library Path" dataDxfId="13">
      <xmlColumnPr mapId="18" xpath="/Capacitors/Part/LibraryPath" xmlDataType="string"/>
    </tableColumn>
    <tableColumn id="5" xr3:uid="{9169ABA3-E41E-40E0-B785-3D3B749D70BB}" uniqueName="LibraryRef" name="Library Ref" dataDxfId="12">
      <xmlColumnPr mapId="18" xpath="/Capacitors/Part/LibraryRef" xmlDataType="string"/>
    </tableColumn>
    <tableColumn id="6" xr3:uid="{01EADD2D-36E6-41EE-B894-B537CCE6649E}" uniqueName="Value" name="Value" dataDxfId="11">
      <xmlColumnPr mapId="18" xpath="/Capacitors/Part/Value" xmlDataType="string"/>
    </tableColumn>
    <tableColumn id="7" xr3:uid="{EC779EF2-47DD-4E8F-A8D2-159E83C79180}" uniqueName="FootprintPath1" name="Footprint Path 1" dataDxfId="10">
      <xmlColumnPr mapId="18" xpath="/Capacitors/Part/FootprintPath1" xmlDataType="string"/>
    </tableColumn>
    <tableColumn id="8" xr3:uid="{C244A49A-3E6F-4B22-983D-FFA97DB3DFF6}" uniqueName="FootprintRef1" name="Footprint Ref 1" dataDxfId="9">
      <xmlColumnPr mapId="18" xpath="/Capacitors/Part/FootprintRef1" xmlDataType="string"/>
    </tableColumn>
    <tableColumn id="9" xr3:uid="{85136BD9-A68F-40E0-9A6F-E71ECA929F04}" uniqueName="FootprintPath2" name="Footprint Path 2" dataDxfId="8">
      <xmlColumnPr mapId="18" xpath="/Capacitors/Part/FootprintPath2" xmlDataType="string"/>
    </tableColumn>
    <tableColumn id="10" xr3:uid="{9FB3A5B2-04CB-44F8-A289-C2FB25F43941}" uniqueName="FootprintRef2" name="Footprint Ref 2" dataDxfId="7">
      <xmlColumnPr mapId="18" xpath="/Capacitors/Part/FootprintRef2" xmlDataType="string"/>
    </tableColumn>
    <tableColumn id="11" xr3:uid="{50FA7750-FC9E-444C-8D52-C6B51BBD63C1}" uniqueName="FootprintPath3" name="Footprint Path 3">
      <xmlColumnPr mapId="18" xpath="/Capacitors/Part/FootprintPath3" xmlDataType="string"/>
    </tableColumn>
    <tableColumn id="12" xr3:uid="{CB4B7F73-4E19-42EF-9940-4C2907529981}" uniqueName="FootprintRef3" name="Footprint Ref 3">
      <xmlColumnPr mapId="18" xpath="/Capacitors/Part/FootprintRef3" xmlDataType="string"/>
    </tableColumn>
    <tableColumn id="13" xr3:uid="{6B23463C-82AA-426D-ACBC-49A19C1D46FA}" uniqueName="FootprintPath4" name="Footprint Path 4">
      <xmlColumnPr mapId="18" xpath="/Capacitors/Part/FootprintPath4" xmlDataType="string"/>
    </tableColumn>
    <tableColumn id="14" xr3:uid="{AD691620-AB1F-42E2-B1E4-053F5C2B80E9}" uniqueName="FootprintRef4" name="Footprint Ref 4">
      <xmlColumnPr mapId="18" xpath="/Capacitors/Part/FootprintRef4" xmlDataType="string"/>
    </tableColumn>
    <tableColumn id="15" xr3:uid="{FD0F620C-73A8-49FB-B6E9-F06F81ED3185}" uniqueName="FootprintPath5" name="Footprint Path 5">
      <xmlColumnPr mapId="18" xpath="/Capacitors/Part/FootprintPath5" xmlDataType="string"/>
    </tableColumn>
    <tableColumn id="16" xr3:uid="{F3B1D3FD-D16A-41B6-BA7D-FAFB3CCAEEC4}" uniqueName="FootprintRef5" name="Footprint Ref 5">
      <xmlColumnPr mapId="18" xpath="/Capacitors/Part/FootprintRef5" xmlDataType="string"/>
    </tableColumn>
    <tableColumn id="17" xr3:uid="{130B1CD3-35EC-447E-93DF-ED8F8DC7A59A}" uniqueName="FootprintPath6" name="Footprint Path 6">
      <xmlColumnPr mapId="18" xpath="/Capacitors/Part/FootprintPath6" xmlDataType="string"/>
    </tableColumn>
    <tableColumn id="18" xr3:uid="{77AF5D99-AE0B-40E5-8972-14E04BB93BB4}" uniqueName="FootprintRef6" name="Footprint Ref 6">
      <xmlColumnPr mapId="18" xpath="/Capacitors/Part/FootprintRef6" xmlDataType="string"/>
    </tableColumn>
    <tableColumn id="19" xr3:uid="{6809872D-01AC-4EF6-B33F-6B8DA2D054C9}" uniqueName="FootprintPath7" name="Footprint Path 7">
      <xmlColumnPr mapId="18" xpath="/Capacitors/Part/FootprintPath7" xmlDataType="string"/>
    </tableColumn>
    <tableColumn id="20" xr3:uid="{352E5BAE-89D3-4F1C-AA92-CDC22EDD2B11}" uniqueName="FootprintRef7" name="Footprint Ref 7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2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6" connectionId="7">
  <autoFilter ref="A1:I5" xr:uid="{071F457A-0F82-4CD6-80C4-65E86DBEF353}"/>
  <tableColumns count="9">
    <tableColumn id="1" xr3:uid="{AE9DCB61-0A9B-41D9-AC76-56D9ED6F9D71}" uniqueName="PartNumber" name="Part Number">
      <xmlColumnPr mapId="11" xpath="/Other/Part/PartNumber" xmlDataType="string"/>
    </tableColumn>
    <tableColumn id="2" xr3:uid="{8662C04B-9C7C-48A2-ACC7-0FAAF1F41588}" uniqueName="Description" name="Description">
      <xmlColumnPr mapId="11" xpath="/Other/Part/Description" xmlDataType="string"/>
    </tableColumn>
    <tableColumn id="3" xr3:uid="{7CF3CA75-1923-4F19-999C-14E1807BD3F5}" uniqueName="Comment" name="Comment" dataDxfId="5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>
      <xmlColumnPr mapId="11" xpath="/Other/Part/FootprintPath1" xmlDataType="string"/>
    </tableColumn>
    <tableColumn id="7" xr3:uid="{78484622-732C-4ACF-9F43-B1AC2CDD73FA}" uniqueName="FootprintRef1" name="Footprint Ref 1">
      <xmlColumnPr mapId="11" xpath="/Other/Part/FootprintRef1" xmlDataType="string"/>
    </tableColumn>
    <tableColumn id="8" xr3:uid="{9B1D9BE1-3884-44C5-88CA-6A2CCE154C24}" uniqueName="FootprintPath2" name="Footprint Path 2">
      <xmlColumnPr mapId="11" xpath="/Other/Part/FootprintPath2" xmlDataType="string"/>
    </tableColumn>
    <tableColumn id="9" xr3:uid="{41DD9B28-B52E-42E2-980C-18F4A1B9EC96}" uniqueName="FootprintRef2" name="Footprint Ref 2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5" tableType="xml" totalsRowShown="0" headerRowDxfId="4" connectionId="5">
  <autoFilter ref="A1:G5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3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CONCATENATE("Schematic\Connectors\",IF(ISNUMBER(FIND("PLS",A2)),"PLS\",),IF(ISNUMBER(FIND("CWF",A2)),"CWF\",),A2,".SchLib")</calculatedColumnFormula>
      <xmlColumnPr mapId="12" xpath="/Connectors/Part/LibraryPath" xmlDataType="string"/>
    </tableColumn>
    <tableColumn id="5" xr3:uid="{43D9150A-4AEB-4A49-B4F9-D5A0C121AEE7}" uniqueName="LibraryRef" name="Library Ref">
      <calculatedColumnFormula>A2</calculatedColumnFormula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D14" sqref="D14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64</v>
      </c>
      <c r="B2" s="2" t="s">
        <v>65</v>
      </c>
      <c r="C2" s="2" t="str">
        <f>A2</f>
        <v>STM32F407VGT6</v>
      </c>
      <c r="D2" s="2" t="str">
        <f>CONCATENATE("Schematic\TVS\",A2,".SchLib")</f>
        <v>Schematic\TVS\STM32F407VGT6.SchLib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69</v>
      </c>
    </row>
    <row r="3" spans="1:20" x14ac:dyDescent="0.3">
      <c r="A3" s="2" t="s">
        <v>66</v>
      </c>
      <c r="B3" s="2" t="s">
        <v>67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68</v>
      </c>
    </row>
    <row r="4" spans="1:20" x14ac:dyDescent="0.3">
      <c r="A4" s="2" t="s">
        <v>93</v>
      </c>
      <c r="B4" s="2" t="s">
        <v>94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95</v>
      </c>
    </row>
    <row r="5" spans="1:20" x14ac:dyDescent="0.3">
      <c r="A5" t="s">
        <v>106</v>
      </c>
      <c r="B5" t="s">
        <v>65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107</v>
      </c>
    </row>
    <row r="6" spans="1:20" x14ac:dyDescent="0.3">
      <c r="A6" t="s">
        <v>108</v>
      </c>
      <c r="B6" t="s">
        <v>109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95</v>
      </c>
    </row>
    <row r="7" spans="1:20" x14ac:dyDescent="0.3">
      <c r="A7" t="s">
        <v>110</v>
      </c>
      <c r="B7" t="s">
        <v>111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112</v>
      </c>
    </row>
    <row r="8" spans="1:20" x14ac:dyDescent="0.3">
      <c r="A8" t="s">
        <v>113</v>
      </c>
      <c r="B8" t="s">
        <v>114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115</v>
      </c>
    </row>
    <row r="9" spans="1:20" x14ac:dyDescent="0.3">
      <c r="A9" t="s">
        <v>116</v>
      </c>
      <c r="B9" t="s">
        <v>117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118</v>
      </c>
    </row>
    <row r="10" spans="1:20" x14ac:dyDescent="0.3">
      <c r="A10" t="s">
        <v>119</v>
      </c>
      <c r="B10" t="s">
        <v>111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112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101</v>
      </c>
    </row>
    <row r="2" spans="1:9" x14ac:dyDescent="0.3">
      <c r="A2" s="2" t="s">
        <v>102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103</v>
      </c>
      <c r="E2" s="2" t="s">
        <v>104</v>
      </c>
      <c r="F2" s="2" t="str">
        <f>CONCATENATE("Footprints\",G2,".PcbLib")</f>
        <v>Footprints\SMC.PcbLib</v>
      </c>
      <c r="G2" s="2" t="s">
        <v>105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sqref="A1:K2"/>
    </sheetView>
  </sheetViews>
  <sheetFormatPr defaultRowHeight="14.4" x14ac:dyDescent="0.3"/>
  <cols>
    <col min="1" max="1" width="14.77734375" customWidth="1"/>
    <col min="2" max="2" width="45.88671875" customWidth="1"/>
    <col min="3" max="3" width="11.21875" customWidth="1"/>
    <col min="4" max="4" width="13" customWidth="1"/>
    <col min="5" max="5" width="11.88671875" customWidth="1"/>
    <col min="6" max="6" width="23.5546875" customWidth="1"/>
    <col min="7" max="7" width="15.33203125" customWidth="1"/>
    <col min="8" max="8" width="19.6640625" customWidth="1"/>
    <col min="9" max="9" width="21.21875" customWidth="1"/>
    <col min="10" max="10" width="11.77734375" customWidth="1"/>
    <col min="11" max="11" width="8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86</v>
      </c>
      <c r="J1" t="s">
        <v>88</v>
      </c>
      <c r="K1" t="s">
        <v>25</v>
      </c>
    </row>
    <row r="2" spans="1:11" ht="13.05" customHeight="1" x14ac:dyDescent="0.3">
      <c r="A2" s="2" t="s">
        <v>87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90</v>
      </c>
      <c r="E2" s="2" t="s">
        <v>91</v>
      </c>
      <c r="F2" s="2" t="str">
        <f>CONCATENATE("Footprints\",G2,".PcbLib")</f>
        <v>Footprints\SOD-323.PcbLib</v>
      </c>
      <c r="G2" s="2" t="s">
        <v>89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3"/>
  <sheetViews>
    <sheetView workbookViewId="0">
      <selection activeCell="C25" sqref="C25"/>
    </sheetView>
  </sheetViews>
  <sheetFormatPr defaultRowHeight="14.4" x14ac:dyDescent="0.3"/>
  <cols>
    <col min="1" max="1" width="20.33203125" customWidth="1"/>
    <col min="2" max="2" width="21.218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88</v>
      </c>
      <c r="J1" t="s">
        <v>25</v>
      </c>
      <c r="K1" t="s">
        <v>99</v>
      </c>
    </row>
    <row r="2" spans="1:11" x14ac:dyDescent="0.3">
      <c r="A2" s="2" t="s">
        <v>92</v>
      </c>
      <c r="B2" s="2" t="str">
        <f>CONCATENATE("Защитный диод на ", H2," В, рассеиваемая мощность ", I2," Вт")</f>
        <v>Защитный диод на 24 В, рассеиваемая мощность 600 Вт</v>
      </c>
      <c r="C2" s="2" t="str">
        <f>A2</f>
        <v>SMBJ24A</v>
      </c>
      <c r="D2" s="2" t="str">
        <f>CONCATENATE("Schematic\TVS\",E2,".SchLib")</f>
        <v>Schematic\TVS\TVS_1_1dir.SchLib</v>
      </c>
      <c r="E2" s="2" t="s">
        <v>97</v>
      </c>
      <c r="F2" s="2" t="str">
        <f>CONCATENATE("Footprints\",G2,".PcbLib")</f>
        <v>Footprints\SOT23-3.PcbLib</v>
      </c>
      <c r="G2" s="2" t="s">
        <v>18</v>
      </c>
      <c r="H2" s="2">
        <v>24</v>
      </c>
      <c r="I2" s="2">
        <v>600</v>
      </c>
      <c r="J2" s="2" t="str">
        <f>CONCATENATE(H2," В")</f>
        <v>24 В</v>
      </c>
      <c r="K2" s="2"/>
    </row>
    <row r="3" spans="1:11" x14ac:dyDescent="0.3">
      <c r="A3" s="2" t="s">
        <v>96</v>
      </c>
      <c r="B3" s="2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s="2" t="str">
        <f>A3</f>
        <v>PSM712</v>
      </c>
      <c r="D3" s="2" t="str">
        <f>CONCATENATE("Schematic\TVS\",E3,".SchLib")</f>
        <v>Schematic\TVS\TVS_2_2dir.SchLib</v>
      </c>
      <c r="E3" s="2" t="s">
        <v>98</v>
      </c>
      <c r="F3" s="2" t="str">
        <f>CONCATENATE("Footprints\",G3,".PcbLib")</f>
        <v>Footprints\SOT23-3.PcbLib</v>
      </c>
      <c r="G3" s="2" t="s">
        <v>18</v>
      </c>
      <c r="H3" s="2"/>
      <c r="I3" s="2"/>
      <c r="J3" s="2"/>
      <c r="K3" s="2" t="s">
        <v>100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sqref="A1:I6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0.441406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T2"/>
  <sheetViews>
    <sheetView workbookViewId="0">
      <selection sqref="A1:N2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/>
      <c r="P1" s="1"/>
      <c r="Q1" s="1"/>
      <c r="R1" s="1"/>
      <c r="S1" s="1"/>
      <c r="T1" s="1"/>
    </row>
    <row r="2" spans="1:20" ht="15.6" x14ac:dyDescent="0.3">
      <c r="A2" s="3" t="s">
        <v>26</v>
      </c>
      <c r="B2" s="3" t="s">
        <v>27</v>
      </c>
      <c r="C2" s="3" t="s">
        <v>26</v>
      </c>
      <c r="D2" s="3" t="s">
        <v>31</v>
      </c>
      <c r="E2" s="3" t="s">
        <v>26</v>
      </c>
      <c r="F2" s="3" t="s">
        <v>28</v>
      </c>
      <c r="G2" s="3" t="s">
        <v>34</v>
      </c>
      <c r="H2" s="3" t="s">
        <v>36</v>
      </c>
      <c r="I2" s="3" t="s">
        <v>34</v>
      </c>
      <c r="J2" s="3" t="s">
        <v>37</v>
      </c>
      <c r="K2" s="3" t="s">
        <v>34</v>
      </c>
      <c r="L2" s="3" t="s">
        <v>40</v>
      </c>
      <c r="M2" s="3" t="s">
        <v>34</v>
      </c>
      <c r="N2" s="3" t="s">
        <v>43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G12" sqref="G12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  <col min="15" max="15" width="18.21875" customWidth="1"/>
    <col min="16" max="16" width="16.88671875" customWidth="1"/>
    <col min="17" max="17" width="18.21875" customWidth="1"/>
    <col min="18" max="18" width="16.88671875" customWidth="1"/>
    <col min="19" max="19" width="18.21875" customWidth="1"/>
    <col min="20" max="20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 t="s">
        <v>54</v>
      </c>
      <c r="P1" s="1" t="s">
        <v>55</v>
      </c>
      <c r="Q1" s="1" t="s">
        <v>57</v>
      </c>
      <c r="R1" s="1" t="s">
        <v>58</v>
      </c>
      <c r="S1" s="1" t="s">
        <v>59</v>
      </c>
      <c r="T1" s="1" t="s">
        <v>60</v>
      </c>
    </row>
    <row r="2" spans="1:20" ht="15.6" x14ac:dyDescent="0.3">
      <c r="A2" s="3" t="s">
        <v>29</v>
      </c>
      <c r="B2" s="3" t="s">
        <v>30</v>
      </c>
      <c r="C2" s="3" t="s">
        <v>29</v>
      </c>
      <c r="D2" s="3" t="s">
        <v>32</v>
      </c>
      <c r="E2" s="3" t="s">
        <v>29</v>
      </c>
      <c r="F2" s="3" t="s">
        <v>33</v>
      </c>
      <c r="G2" s="3" t="s">
        <v>35</v>
      </c>
      <c r="H2" s="3" t="s">
        <v>44</v>
      </c>
      <c r="I2" s="3" t="s">
        <v>35</v>
      </c>
      <c r="J2" s="3" t="s">
        <v>45</v>
      </c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5.6" x14ac:dyDescent="0.3">
      <c r="A3" s="3" t="s">
        <v>46</v>
      </c>
      <c r="B3" s="3" t="s">
        <v>47</v>
      </c>
      <c r="C3" s="3" t="s">
        <v>46</v>
      </c>
      <c r="D3" s="3" t="s">
        <v>32</v>
      </c>
      <c r="E3" s="3" t="s">
        <v>46</v>
      </c>
      <c r="F3" s="3" t="s">
        <v>49</v>
      </c>
      <c r="G3" s="3" t="s">
        <v>48</v>
      </c>
      <c r="H3" s="3" t="s">
        <v>50</v>
      </c>
      <c r="I3" s="3" t="s">
        <v>48</v>
      </c>
      <c r="J3" s="3" t="s">
        <v>51</v>
      </c>
      <c r="K3" s="3" t="s">
        <v>48</v>
      </c>
      <c r="L3" s="3" t="s">
        <v>52</v>
      </c>
      <c r="M3" s="3" t="s">
        <v>48</v>
      </c>
      <c r="N3" s="3" t="s">
        <v>53</v>
      </c>
      <c r="O3" s="3" t="s">
        <v>48</v>
      </c>
      <c r="P3" s="3" t="s">
        <v>56</v>
      </c>
      <c r="Q3" s="3" t="s">
        <v>61</v>
      </c>
      <c r="R3" s="2" t="s">
        <v>62</v>
      </c>
      <c r="S3" s="3" t="s">
        <v>61</v>
      </c>
      <c r="T3" s="2" t="s">
        <v>63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18.2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0.6640625" customWidth="1"/>
  </cols>
  <sheetData>
    <row r="1" spans="1:13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38</v>
      </c>
      <c r="K1" s="1" t="s">
        <v>39</v>
      </c>
      <c r="L1" s="1" t="s">
        <v>41</v>
      </c>
      <c r="M1" s="1" t="s">
        <v>42</v>
      </c>
    </row>
    <row r="2" spans="1:13" x14ac:dyDescent="0.3">
      <c r="A2" s="2" t="s">
        <v>120</v>
      </c>
      <c r="B2" s="2" t="s">
        <v>121</v>
      </c>
      <c r="C2" s="2" t="str">
        <f>A2</f>
        <v>Inductance</v>
      </c>
      <c r="D2" s="2" t="s">
        <v>122</v>
      </c>
      <c r="E2" s="2" t="s">
        <v>120</v>
      </c>
      <c r="F2" s="2" t="str">
        <f>CONCATENATE("Footprints\Inductance\",G2,".PcbLib")</f>
        <v>Footprints\Inductance\0603L.PcbLib</v>
      </c>
      <c r="G2" s="2" t="s">
        <v>123</v>
      </c>
      <c r="H2" s="2" t="str">
        <f>CONCATENATE("Footprints\Inductance\",I2,".PcbLib")</f>
        <v>Footprints\Inductance\1210L.PcbLib</v>
      </c>
      <c r="I2" s="2" t="s">
        <v>124</v>
      </c>
      <c r="J2" s="2" t="str">
        <f>CONCATENATE("Footprints\Inductance\",K2,".PcbLib")</f>
        <v>Footprints\Inductance\1212L.PcbLib</v>
      </c>
      <c r="K2" s="2" t="s">
        <v>125</v>
      </c>
      <c r="L2" s="2" t="str">
        <f>CONCATENATE("Footprints\Inductance\",M2,".PcbLib")</f>
        <v>Footprints\Inductance\12.8x12.8.PcbLib</v>
      </c>
      <c r="M2" s="2" t="s">
        <v>126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G21" sqref="G21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0.33203125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70</v>
      </c>
      <c r="B2" s="2" t="s">
        <v>71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72</v>
      </c>
      <c r="H2" s="2" t="str">
        <f>CONCATENATE("Footprints\Buttons\",I2,".PcbLib")</f>
        <v>Footprints\Buttons\Button_SMD_6x6.PcbLib</v>
      </c>
      <c r="I2" s="2" t="s">
        <v>73</v>
      </c>
    </row>
    <row r="3" spans="1:20" x14ac:dyDescent="0.3">
      <c r="A3" s="2" t="s">
        <v>75</v>
      </c>
      <c r="B3" s="2" t="s">
        <v>76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Footprints\LED_SMD.PcbLib</v>
      </c>
      <c r="G3" s="2" t="s">
        <v>74</v>
      </c>
      <c r="H3" s="2"/>
      <c r="I3" s="2"/>
    </row>
    <row r="4" spans="1:20" x14ac:dyDescent="0.3">
      <c r="A4" s="2" t="s">
        <v>77</v>
      </c>
      <c r="B4" s="2" t="s">
        <v>78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/>
      <c r="G4" s="2"/>
      <c r="H4" s="2"/>
      <c r="I4" s="2"/>
    </row>
    <row r="5" spans="1:20" x14ac:dyDescent="0.3">
      <c r="A5" s="2" t="s">
        <v>79</v>
      </c>
      <c r="B5" s="2" t="s">
        <v>80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CONCATENATE("Footprints\",G5,".PcbLib")</f>
        <v>Footprints\QSMD3.2x2.5.PcbLib</v>
      </c>
      <c r="G5" s="2" t="s">
        <v>81</v>
      </c>
      <c r="H5" s="2"/>
      <c r="I5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5"/>
  <sheetViews>
    <sheetView tabSelected="1" workbookViewId="0">
      <selection activeCell="G12" sqref="G12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14.109375" customWidth="1"/>
    <col min="5" max="5" width="12.77734375" customWidth="1"/>
    <col min="6" max="6" width="22.88671875" customWidth="1"/>
    <col min="7" max="7" width="16.88671875" customWidth="1"/>
    <col min="8" max="8" width="12.21875" customWidth="1"/>
    <col min="9" max="9" width="13.4414062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">
      <c r="A2" s="2" t="s">
        <v>82</v>
      </c>
      <c r="B2" s="2" t="s">
        <v>83</v>
      </c>
      <c r="C2" s="2" t="str">
        <f>A2</f>
        <v>IDC-10</v>
      </c>
      <c r="D2" s="4" t="str">
        <f t="shared" ref="D2:D5" si="0">CONCATENATE("Schematic\Connectors\",IF(ISNUMBER(FIND("PLS",A2)),"PLS\",),IF(ISNUMBER(FIND("CWF",A2)),"CWF\",),A2,".SchLib")</f>
        <v>Schematic\Connectors\IDC-10.SchLib</v>
      </c>
      <c r="E2" s="2" t="str">
        <f>A2</f>
        <v>IDC-10</v>
      </c>
      <c r="F2" s="4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">
      <c r="A3" s="2" t="s">
        <v>84</v>
      </c>
      <c r="B3" s="2" t="s">
        <v>83</v>
      </c>
      <c r="C3" s="2" t="str">
        <f>A3</f>
        <v>D-SUB-26</v>
      </c>
      <c r="D3" s="4" t="str">
        <f t="shared" si="0"/>
        <v>Schematic\Connectors\D-SUB-26.SchLib</v>
      </c>
      <c r="E3" s="2" t="str">
        <f>A3</f>
        <v>D-SUB-26</v>
      </c>
      <c r="F3" s="4" t="str">
        <f t="shared" si="1"/>
        <v>Footprints\Connectors\D-SUB-26.PcbLib</v>
      </c>
      <c r="G3" s="2" t="str">
        <f>A3</f>
        <v>D-SUB-26</v>
      </c>
    </row>
    <row r="4" spans="1:9" x14ac:dyDescent="0.3">
      <c r="A4" t="s">
        <v>127</v>
      </c>
      <c r="B4" t="s">
        <v>128</v>
      </c>
      <c r="C4" s="2" t="str">
        <f t="shared" ref="C4:C5" si="2">A4</f>
        <v>PLS4</v>
      </c>
      <c r="D4" t="str">
        <f t="shared" si="0"/>
        <v>Schematic\Connectors\PLS\PLS4.SchLib</v>
      </c>
      <c r="E4" t="str">
        <f t="shared" ref="E4:E5" si="3">A4</f>
        <v>PLS4</v>
      </c>
      <c r="F4" t="str">
        <f t="shared" si="1"/>
        <v>Footprints\Connectors\PLS\PLS4.PcbLib</v>
      </c>
      <c r="G4" t="str">
        <f t="shared" ref="G4:G5" si="4">A4</f>
        <v>PLS4</v>
      </c>
    </row>
    <row r="5" spans="1:9" x14ac:dyDescent="0.3">
      <c r="A5" t="s">
        <v>129</v>
      </c>
      <c r="B5" t="s">
        <v>130</v>
      </c>
      <c r="C5" s="2" t="str">
        <f t="shared" si="2"/>
        <v>CWF-5</v>
      </c>
      <c r="D5" t="str">
        <f t="shared" si="0"/>
        <v>Schematic\Connectors\CWF\CWF-5.SchLib</v>
      </c>
      <c r="E5" t="str">
        <f t="shared" si="3"/>
        <v>CWF-5</v>
      </c>
      <c r="F5" t="str">
        <f t="shared" si="1"/>
        <v>Footprints\Connectors\CWF\CWF-5.PcbLib</v>
      </c>
      <c r="G5" t="str">
        <f t="shared" si="4"/>
        <v>CWF-5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2024-10-23T20:03:10Z</dcterms:modified>
</cp:coreProperties>
</file>