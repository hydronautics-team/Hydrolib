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4790EBC4-CE17-4EB8-AD74-E10223AE7E4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L17" i="10" l="1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<sst xmlns="http://schemas.openxmlformats.org/spreadsheetml/2006/main" count="3278" uniqueCount="1351">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</sst>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3" borderId="5" xfId="0" applyFill="1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6" tableType="xml" totalsRowShown="0" headerRowDxfId="137" connectionId="6">
  <autoFilter ref="A1:L46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0" tableType="xml" totalsRowShown="0" dataDxfId="132" connectionId="19">
  <autoFilter ref="A1:L10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3" tableType="xml" totalsRowShown="0" headerRowDxfId="119" connectionId="18">
  <autoFilter ref="A1:L13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6" tableType="xml" totalsRowShown="0" headerRowDxfId="61" headerRowBorderDxfId="60" tableBorderDxfId="59" connectionId="2">
  <autoFilter ref="A1:N46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7" tableType="xml" totalsRowShown="0" headerRowDxfId="41" connectionId="9">
  <autoFilter ref="A1:Q17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9" tableType="xml" totalsRowShown="0" headerRowDxfId="3" connectionId="7">
  <autoFilter ref="A1:K49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6"/>
  <sheetViews>
    <sheetView tabSelected="1" topLeftCell="A29" zoomScale="107" zoomScaleNormal="145" workbookViewId="0">
      <selection activeCell="D45" sqref="D45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3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3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3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3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3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3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3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3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3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3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3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3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3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3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3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3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3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3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3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3">
      <c r="A38" t="s">
        <v>1215</v>
      </c>
      <c r="B38" t="s">
        <v>1216</v>
      </c>
      <c r="C38" s="2" t="str">
        <f t="shared" ref="C38" si="15">A38</f>
        <v>USB2514BM2</v>
      </c>
      <c r="D38" t="s">
        <v>1313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3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3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3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3">
      <c r="A42" t="s">
        <v>1224</v>
      </c>
      <c r="B42" t="s">
        <v>1225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3">
      <c r="A43" t="s">
        <v>1268</v>
      </c>
      <c r="B43" t="s">
        <v>1269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>CONCATENATE("Footprints\",G43,".PcbLib")</f>
        <v>Footprints\HTSSOP-20.PcbLib</v>
      </c>
      <c r="G43" t="s">
        <v>1314</v>
      </c>
    </row>
    <row r="44" spans="1:7" x14ac:dyDescent="0.3">
      <c r="A44" s="36" t="s">
        <v>1315</v>
      </c>
      <c r="B44" s="37" t="s">
        <v>1316</v>
      </c>
      <c r="C44" s="30" t="str">
        <f>A44</f>
        <v>IXDN602</v>
      </c>
      <c r="D44" s="37" t="str">
        <f>CONCATENATE("Schematic\",A44,".SchLib")</f>
        <v>Schematic\IXDN602.SchLib</v>
      </c>
      <c r="E44" s="37" t="str">
        <f>A44</f>
        <v>IXDN602</v>
      </c>
      <c r="F44" s="37" t="str">
        <f>CONCATENATE("Footprints\",G44,".PcbLib")</f>
        <v>Footprints\SOIC-8.PcbLib</v>
      </c>
      <c r="G44" s="37" t="s">
        <v>78</v>
      </c>
    </row>
    <row r="45" spans="1:7" x14ac:dyDescent="0.3">
      <c r="A45" s="38" t="s">
        <v>1317</v>
      </c>
      <c r="B45" s="19" t="s">
        <v>1318</v>
      </c>
      <c r="C45" s="21" t="str">
        <f>A45</f>
        <v>LMC555</v>
      </c>
      <c r="D45" s="19" t="str">
        <f>CONCATENATE("Schematic\",A33,".SchLib")</f>
        <v>Schematic\LM393.SchLib</v>
      </c>
      <c r="E45" s="19" t="str">
        <f>A33</f>
        <v>LM393</v>
      </c>
      <c r="F45" s="19" t="str">
        <f>CONCATENATE("Footprints\",G45,".PcbLib")</f>
        <v>Footprints\SOIC-8.PcbLib</v>
      </c>
      <c r="G45" s="19" t="s">
        <v>78</v>
      </c>
    </row>
    <row r="46" spans="1:7" x14ac:dyDescent="0.3">
      <c r="A46" s="39" t="s">
        <v>1319</v>
      </c>
      <c r="B46" s="40" t="s">
        <v>1320</v>
      </c>
      <c r="C46" s="41" t="str">
        <f>A46</f>
        <v>MC3306A</v>
      </c>
      <c r="D46" s="40" t="str">
        <f>CONCATENATE("Schematic\",A46,".SchLib")</f>
        <v>Schematic\MC3306A.SchLib</v>
      </c>
      <c r="E46" s="40" t="str">
        <f>A46</f>
        <v>MC3306A</v>
      </c>
      <c r="F46" s="40" t="str">
        <f>CONCATENATE("Footprints\",G46,".PcbLib")</f>
        <v>Footprints\SOIC-8.PcbLib</v>
      </c>
      <c r="G46" s="40" t="s">
        <v>78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E20" sqref="E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2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5">
        <v>3</v>
      </c>
    </row>
    <row r="3" spans="1:10" x14ac:dyDescent="0.3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391</v>
      </c>
      <c r="I3" s="15">
        <v>3</v>
      </c>
    </row>
    <row r="4" spans="1:10" x14ac:dyDescent="0.3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5" t="s">
        <v>343</v>
      </c>
    </row>
    <row r="5" spans="1:10" x14ac:dyDescent="0.3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5">
        <v>45</v>
      </c>
      <c r="I5" s="15">
        <v>10</v>
      </c>
    </row>
    <row r="6" spans="1:10" x14ac:dyDescent="0.3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5">
        <v>8</v>
      </c>
    </row>
    <row r="7" spans="1:10" x14ac:dyDescent="0.3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5" t="s">
        <v>957</v>
      </c>
    </row>
    <row r="8" spans="1:10" x14ac:dyDescent="0.3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5">
        <v>70</v>
      </c>
      <c r="I8" s="15" t="s">
        <v>1034</v>
      </c>
    </row>
    <row r="9" spans="1:10" x14ac:dyDescent="0.3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5">
        <v>5</v>
      </c>
    </row>
    <row r="10" spans="1:10" x14ac:dyDescent="0.3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5">
        <v>5</v>
      </c>
    </row>
    <row r="11" spans="1:10" x14ac:dyDescent="0.3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5">
        <v>5</v>
      </c>
    </row>
    <row r="12" spans="1:10" x14ac:dyDescent="0.3">
      <c r="A12" t="s">
        <v>1321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5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" customHeight="1" x14ac:dyDescent="0.3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3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3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3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0"/>
  <sheetViews>
    <sheetView topLeftCell="B1" workbookViewId="0">
      <selection activeCell="A10" sqref="A10:L10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1322</v>
      </c>
      <c r="B10" t="s">
        <v>1323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3"/>
  <sheetViews>
    <sheetView zoomScale="85" zoomScaleNormal="85" workbookViewId="0">
      <selection activeCell="A2" sqref="A2:A13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841</v>
      </c>
      <c r="B8" s="1" t="s">
        <v>842</v>
      </c>
      <c r="C8" s="2" t="str">
        <f t="shared" ref="C8:C13" si="2"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6" x14ac:dyDescent="0.3">
      <c r="A9" s="1" t="s">
        <v>940</v>
      </c>
      <c r="B9" s="1" t="s">
        <v>941</v>
      </c>
      <c r="C9" s="2" t="str">
        <f t="shared" si="2"/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6" x14ac:dyDescent="0.3">
      <c r="A10" s="1" t="s">
        <v>967</v>
      </c>
      <c r="B10" s="1" t="s">
        <v>970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6" x14ac:dyDescent="0.3">
      <c r="A11" s="1" t="s">
        <v>1273</v>
      </c>
      <c r="B11" s="1" t="s">
        <v>1274</v>
      </c>
      <c r="C11" s="2" t="str">
        <f t="shared" si="2"/>
        <v>SIR426DP-T1-GE3</v>
      </c>
      <c r="D11" s="3" t="s">
        <v>1275</v>
      </c>
      <c r="E11" s="1" t="s">
        <v>1273</v>
      </c>
      <c r="F11" t="str">
        <f>CONCATENATE("Footprints\",G11,".PcbLib")</f>
        <v>Footprints\PowerPAK_SO-8.PcbLib</v>
      </c>
      <c r="G11" s="1" t="s">
        <v>1311</v>
      </c>
      <c r="J11" t="s">
        <v>1276</v>
      </c>
    </row>
    <row r="12" spans="1:19" ht="15.6" x14ac:dyDescent="0.3">
      <c r="A12" s="35" t="s">
        <v>1305</v>
      </c>
      <c r="B12" s="1" t="s">
        <v>1306</v>
      </c>
      <c r="C12" s="2" t="str">
        <f t="shared" si="2"/>
        <v>PDTC114ET</v>
      </c>
      <c r="D12" s="3" t="s">
        <v>1307</v>
      </c>
      <c r="E12" s="1" t="s">
        <v>1305</v>
      </c>
      <c r="F12" t="str">
        <f>CONCATENATE("Footprints\",G12,".PcbLib")</f>
        <v>Footprints\SOT23-3.PcbLib</v>
      </c>
      <c r="G12" s="3" t="s">
        <v>18</v>
      </c>
      <c r="J12" t="s">
        <v>1309</v>
      </c>
      <c r="K12" t="s">
        <v>1308</v>
      </c>
    </row>
    <row r="13" spans="1:19" ht="15.6" x14ac:dyDescent="0.3">
      <c r="A13" s="1" t="s">
        <v>1324</v>
      </c>
      <c r="B13" s="1" t="s">
        <v>5</v>
      </c>
      <c r="C13" s="2" t="str">
        <f t="shared" si="2"/>
        <v>IRFH7084</v>
      </c>
      <c r="D13" s="1" t="s">
        <v>1325</v>
      </c>
      <c r="E13" s="1" t="s">
        <v>1326</v>
      </c>
      <c r="F13" t="str">
        <f>CONCATENATE("Footprints\",G13,".PcbLib")</f>
        <v>Footprints\PQFN_5x6.PcbLib</v>
      </c>
      <c r="G13" s="1" t="s">
        <v>1327</v>
      </c>
      <c r="J13" t="s">
        <v>1276</v>
      </c>
      <c r="K13" t="s">
        <v>1328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7" zoomScale="85" zoomScaleNormal="85" workbookViewId="0">
      <selection activeCell="H181" sqref="H181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3" t="s">
        <v>1140</v>
      </c>
      <c r="O1" s="1"/>
    </row>
    <row r="2" spans="1:15" ht="15.6" x14ac:dyDescent="0.3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5"/>
    </row>
    <row r="3" spans="1:15" ht="15.6" x14ac:dyDescent="0.3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6"/>
    </row>
    <row r="4" spans="1:15" ht="15.6" x14ac:dyDescent="0.3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5"/>
    </row>
    <row r="5" spans="1:15" ht="15.6" x14ac:dyDescent="0.3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6"/>
    </row>
    <row r="6" spans="1:15" ht="15.6" x14ac:dyDescent="0.3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5"/>
    </row>
    <row r="7" spans="1:15" ht="15.6" x14ac:dyDescent="0.3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6"/>
    </row>
    <row r="8" spans="1:15" ht="15.6" x14ac:dyDescent="0.3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5"/>
    </row>
    <row r="9" spans="1:15" ht="15.6" x14ac:dyDescent="0.3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6"/>
    </row>
    <row r="10" spans="1:15" ht="15.6" x14ac:dyDescent="0.3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5"/>
    </row>
    <row r="11" spans="1:15" ht="15.6" x14ac:dyDescent="0.3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6"/>
    </row>
    <row r="12" spans="1:15" ht="15.6" x14ac:dyDescent="0.3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5"/>
    </row>
    <row r="13" spans="1:15" ht="15.6" x14ac:dyDescent="0.3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6"/>
    </row>
    <row r="14" spans="1:15" ht="15.6" x14ac:dyDescent="0.3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5"/>
    </row>
    <row r="15" spans="1:15" ht="15.6" x14ac:dyDescent="0.3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6"/>
    </row>
    <row r="16" spans="1:15" ht="15.6" x14ac:dyDescent="0.3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5"/>
    </row>
    <row r="17" spans="1:14" ht="15.6" x14ac:dyDescent="0.3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6"/>
    </row>
    <row r="18" spans="1:14" ht="15.6" x14ac:dyDescent="0.3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5"/>
    </row>
    <row r="19" spans="1:14" ht="15.6" x14ac:dyDescent="0.3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6"/>
    </row>
    <row r="20" spans="1:14" ht="15.6" x14ac:dyDescent="0.3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5"/>
    </row>
    <row r="21" spans="1:14" ht="15.6" x14ac:dyDescent="0.3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6"/>
    </row>
    <row r="22" spans="1:14" ht="15.6" x14ac:dyDescent="0.3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5"/>
    </row>
    <row r="23" spans="1:14" ht="15.6" x14ac:dyDescent="0.3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6"/>
    </row>
    <row r="24" spans="1:14" ht="15.6" x14ac:dyDescent="0.3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5"/>
    </row>
    <row r="25" spans="1:14" ht="15.6" x14ac:dyDescent="0.3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6"/>
    </row>
    <row r="26" spans="1:14" ht="15.6" x14ac:dyDescent="0.3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5"/>
    </row>
    <row r="27" spans="1:14" ht="15.6" x14ac:dyDescent="0.3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6"/>
    </row>
    <row r="28" spans="1:14" ht="15.6" x14ac:dyDescent="0.3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5"/>
    </row>
    <row r="29" spans="1:14" ht="15.6" x14ac:dyDescent="0.3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6"/>
    </row>
    <row r="30" spans="1:14" ht="15.6" x14ac:dyDescent="0.3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5"/>
    </row>
    <row r="31" spans="1:14" ht="15.6" x14ac:dyDescent="0.3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6"/>
    </row>
    <row r="32" spans="1:14" ht="15.6" x14ac:dyDescent="0.3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5"/>
    </row>
    <row r="33" spans="1:14" ht="15.6" x14ac:dyDescent="0.3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6"/>
    </row>
    <row r="34" spans="1:14" ht="15.6" x14ac:dyDescent="0.3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5"/>
    </row>
    <row r="35" spans="1:14" ht="15.6" x14ac:dyDescent="0.3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6"/>
    </row>
    <row r="36" spans="1:14" ht="15.6" x14ac:dyDescent="0.3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5"/>
    </row>
    <row r="37" spans="1:14" ht="15.6" x14ac:dyDescent="0.3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6"/>
    </row>
    <row r="38" spans="1:14" ht="15.6" x14ac:dyDescent="0.3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5"/>
    </row>
    <row r="39" spans="1:14" ht="15.6" x14ac:dyDescent="0.3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6"/>
    </row>
    <row r="40" spans="1:14" ht="15.6" x14ac:dyDescent="0.3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5"/>
    </row>
    <row r="41" spans="1:14" ht="15.6" x14ac:dyDescent="0.3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6"/>
    </row>
    <row r="42" spans="1:14" ht="15.6" x14ac:dyDescent="0.3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5"/>
    </row>
    <row r="43" spans="1:14" ht="15.6" x14ac:dyDescent="0.3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6"/>
    </row>
    <row r="44" spans="1:14" ht="15.6" x14ac:dyDescent="0.3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5"/>
    </row>
    <row r="45" spans="1:14" ht="15.6" x14ac:dyDescent="0.3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6"/>
    </row>
    <row r="46" spans="1:14" ht="15.6" x14ac:dyDescent="0.3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5"/>
    </row>
    <row r="47" spans="1:14" ht="15.6" x14ac:dyDescent="0.3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6"/>
    </row>
    <row r="48" spans="1:14" ht="15.6" x14ac:dyDescent="0.3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5"/>
    </row>
    <row r="49" spans="1:14" ht="15.6" x14ac:dyDescent="0.3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6"/>
    </row>
    <row r="50" spans="1:14" ht="15.6" x14ac:dyDescent="0.3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5"/>
    </row>
    <row r="51" spans="1:14" ht="15.6" x14ac:dyDescent="0.3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6"/>
    </row>
    <row r="52" spans="1:14" ht="15.6" x14ac:dyDescent="0.3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5"/>
    </row>
    <row r="53" spans="1:14" ht="15.6" x14ac:dyDescent="0.3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6"/>
    </row>
    <row r="54" spans="1:14" ht="15.6" x14ac:dyDescent="0.3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5"/>
    </row>
    <row r="55" spans="1:14" ht="15.6" x14ac:dyDescent="0.3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6"/>
    </row>
    <row r="56" spans="1:14" ht="15.6" x14ac:dyDescent="0.3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5"/>
    </row>
    <row r="57" spans="1:14" ht="15.6" x14ac:dyDescent="0.3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6"/>
    </row>
    <row r="58" spans="1:14" ht="15.6" x14ac:dyDescent="0.3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5"/>
    </row>
    <row r="59" spans="1:14" ht="15.6" x14ac:dyDescent="0.3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6"/>
    </row>
    <row r="60" spans="1:14" ht="15.6" x14ac:dyDescent="0.3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5"/>
    </row>
    <row r="61" spans="1:14" ht="15.6" x14ac:dyDescent="0.3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6"/>
    </row>
    <row r="62" spans="1:14" ht="15.6" x14ac:dyDescent="0.3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5"/>
    </row>
    <row r="63" spans="1:14" ht="15.6" x14ac:dyDescent="0.3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6"/>
    </row>
    <row r="64" spans="1:14" ht="15.6" x14ac:dyDescent="0.3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5"/>
    </row>
    <row r="65" spans="1:14" ht="15.6" x14ac:dyDescent="0.3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6"/>
    </row>
    <row r="66" spans="1:14" ht="15.6" x14ac:dyDescent="0.3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5"/>
    </row>
    <row r="67" spans="1:14" ht="15.6" x14ac:dyDescent="0.3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26"/>
    </row>
    <row r="68" spans="1:14" ht="15.6" x14ac:dyDescent="0.3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5"/>
    </row>
    <row r="69" spans="1:14" ht="15.6" x14ac:dyDescent="0.3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6"/>
    </row>
    <row r="70" spans="1:14" ht="15.6" x14ac:dyDescent="0.3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5"/>
    </row>
    <row r="71" spans="1:14" ht="15.6" x14ac:dyDescent="0.3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6"/>
    </row>
    <row r="72" spans="1:14" ht="15.6" x14ac:dyDescent="0.3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5"/>
    </row>
    <row r="73" spans="1:14" ht="15.6" x14ac:dyDescent="0.3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6"/>
    </row>
    <row r="74" spans="1:14" ht="15.6" x14ac:dyDescent="0.3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5"/>
    </row>
    <row r="75" spans="1:14" ht="15.6" x14ac:dyDescent="0.3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6"/>
    </row>
    <row r="76" spans="1:14" ht="15.6" x14ac:dyDescent="0.3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5"/>
    </row>
    <row r="77" spans="1:14" ht="15" customHeight="1" x14ac:dyDescent="0.3">
      <c r="A77" s="3" t="s">
        <v>1285</v>
      </c>
      <c r="B77" s="3" t="s">
        <v>1286</v>
      </c>
      <c r="C77" s="3" t="s">
        <v>26</v>
      </c>
      <c r="D77" s="3" t="s">
        <v>29</v>
      </c>
      <c r="E77" s="3" t="s">
        <v>26</v>
      </c>
      <c r="F77" s="3" t="s">
        <v>1287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6"/>
    </row>
    <row r="78" spans="1:14" ht="15.6" x14ac:dyDescent="0.3">
      <c r="A78" s="3" t="s">
        <v>203</v>
      </c>
      <c r="B78" s="3" t="s">
        <v>597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5"/>
    </row>
    <row r="79" spans="1:14" ht="15.6" x14ac:dyDescent="0.3">
      <c r="A79" s="3" t="s">
        <v>205</v>
      </c>
      <c r="B79" s="3" t="s">
        <v>598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6"/>
    </row>
    <row r="80" spans="1:14" ht="15.6" x14ac:dyDescent="0.3">
      <c r="A80" s="3" t="s">
        <v>207</v>
      </c>
      <c r="B80" s="3" t="s">
        <v>599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898</v>
      </c>
      <c r="K80" s="1" t="s">
        <v>897</v>
      </c>
      <c r="L80" s="1"/>
      <c r="M80" s="1"/>
      <c r="N80" s="25"/>
    </row>
    <row r="81" spans="1:14" ht="15.6" x14ac:dyDescent="0.3">
      <c r="A81" s="3" t="s">
        <v>209</v>
      </c>
      <c r="B81" s="3" t="s">
        <v>600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6"/>
    </row>
    <row r="82" spans="1:14" ht="15.6" x14ac:dyDescent="0.3">
      <c r="A82" s="3" t="s">
        <v>484</v>
      </c>
      <c r="B82" s="3" t="s">
        <v>601</v>
      </c>
      <c r="C82" s="3" t="s">
        <v>26</v>
      </c>
      <c r="D82" s="3" t="s">
        <v>29</v>
      </c>
      <c r="E82" s="3" t="s">
        <v>26</v>
      </c>
      <c r="F82" s="3" t="s">
        <v>431</v>
      </c>
      <c r="G82" s="4">
        <v>0.01</v>
      </c>
      <c r="H82" s="3" t="s">
        <v>136</v>
      </c>
      <c r="I82" s="3" t="s">
        <v>32</v>
      </c>
      <c r="J82" s="1" t="s">
        <v>1204</v>
      </c>
      <c r="K82" s="1" t="s">
        <v>1206</v>
      </c>
      <c r="L82" s="1"/>
      <c r="M82" s="1"/>
      <c r="N82" s="25"/>
    </row>
    <row r="83" spans="1:14" ht="15.6" x14ac:dyDescent="0.3">
      <c r="A83" s="3" t="s">
        <v>211</v>
      </c>
      <c r="B83" s="3" t="s">
        <v>602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6"/>
    </row>
    <row r="84" spans="1:14" ht="15.6" x14ac:dyDescent="0.3">
      <c r="A84" s="3" t="s">
        <v>213</v>
      </c>
      <c r="B84" s="3" t="s">
        <v>603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5"/>
    </row>
    <row r="85" spans="1:14" ht="15.6" x14ac:dyDescent="0.3">
      <c r="A85" s="3" t="s">
        <v>485</v>
      </c>
      <c r="B85" s="3" t="s">
        <v>604</v>
      </c>
      <c r="C85" s="3" t="s">
        <v>26</v>
      </c>
      <c r="D85" s="3" t="s">
        <v>29</v>
      </c>
      <c r="E85" s="3" t="s">
        <v>26</v>
      </c>
      <c r="F85" s="3" t="s">
        <v>432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6"/>
    </row>
    <row r="86" spans="1:14" ht="15.6" x14ac:dyDescent="0.3">
      <c r="A86" s="3" t="s">
        <v>486</v>
      </c>
      <c r="B86" s="3" t="s">
        <v>605</v>
      </c>
      <c r="C86" s="3" t="s">
        <v>26</v>
      </c>
      <c r="D86" s="3" t="s">
        <v>29</v>
      </c>
      <c r="E86" s="3" t="s">
        <v>26</v>
      </c>
      <c r="F86" s="3" t="s">
        <v>433</v>
      </c>
      <c r="G86" s="4">
        <v>0.01</v>
      </c>
      <c r="H86" s="3" t="s">
        <v>136</v>
      </c>
      <c r="I86" s="3" t="s">
        <v>32</v>
      </c>
      <c r="J86" s="3" t="s">
        <v>898</v>
      </c>
      <c r="K86" s="1" t="s">
        <v>897</v>
      </c>
      <c r="L86" s="1"/>
      <c r="M86" s="1"/>
      <c r="N86" s="25"/>
    </row>
    <row r="87" spans="1:14" ht="15.6" x14ac:dyDescent="0.3">
      <c r="A87" s="3" t="s">
        <v>487</v>
      </c>
      <c r="B87" s="3" t="s">
        <v>606</v>
      </c>
      <c r="C87" s="3" t="s">
        <v>26</v>
      </c>
      <c r="D87" s="3" t="s">
        <v>29</v>
      </c>
      <c r="E87" s="3" t="s">
        <v>26</v>
      </c>
      <c r="F87" s="3" t="s">
        <v>434</v>
      </c>
      <c r="G87" s="4">
        <v>0.01</v>
      </c>
      <c r="H87" s="3" t="s">
        <v>136</v>
      </c>
      <c r="I87" s="3" t="s">
        <v>32</v>
      </c>
      <c r="J87" s="3" t="s">
        <v>1154</v>
      </c>
      <c r="K87" s="1" t="s">
        <v>1155</v>
      </c>
      <c r="L87" s="1"/>
      <c r="M87" s="1"/>
      <c r="N87" s="26"/>
    </row>
    <row r="88" spans="1:14" ht="15.6" x14ac:dyDescent="0.3">
      <c r="A88" s="3" t="s">
        <v>488</v>
      </c>
      <c r="B88" s="3" t="s">
        <v>607</v>
      </c>
      <c r="C88" s="3" t="s">
        <v>26</v>
      </c>
      <c r="D88" s="3" t="s">
        <v>29</v>
      </c>
      <c r="E88" s="3" t="s">
        <v>26</v>
      </c>
      <c r="F88" s="3" t="s">
        <v>435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5"/>
    </row>
    <row r="89" spans="1:14" ht="15.6" x14ac:dyDescent="0.3">
      <c r="A89" s="3" t="s">
        <v>489</v>
      </c>
      <c r="B89" s="3" t="s">
        <v>608</v>
      </c>
      <c r="C89" s="3" t="s">
        <v>26</v>
      </c>
      <c r="D89" s="3" t="s">
        <v>29</v>
      </c>
      <c r="E89" s="3" t="s">
        <v>26</v>
      </c>
      <c r="F89" s="3" t="s">
        <v>436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6"/>
    </row>
    <row r="90" spans="1:14" ht="15.6" x14ac:dyDescent="0.3">
      <c r="A90" s="3" t="s">
        <v>490</v>
      </c>
      <c r="B90" s="3" t="s">
        <v>609</v>
      </c>
      <c r="C90" s="3" t="s">
        <v>26</v>
      </c>
      <c r="D90" s="3" t="s">
        <v>29</v>
      </c>
      <c r="E90" s="3" t="s">
        <v>26</v>
      </c>
      <c r="F90" s="3" t="s">
        <v>437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5"/>
    </row>
    <row r="91" spans="1:14" ht="15.6" x14ac:dyDescent="0.3">
      <c r="A91" s="3" t="s">
        <v>491</v>
      </c>
      <c r="B91" s="3" t="s">
        <v>610</v>
      </c>
      <c r="C91" s="3" t="s">
        <v>26</v>
      </c>
      <c r="D91" s="3" t="s">
        <v>29</v>
      </c>
      <c r="E91" s="3" t="s">
        <v>26</v>
      </c>
      <c r="F91" s="3" t="s">
        <v>438</v>
      </c>
      <c r="G91" s="4">
        <v>0.01</v>
      </c>
      <c r="H91" s="3" t="s">
        <v>136</v>
      </c>
      <c r="I91" s="3" t="s">
        <v>32</v>
      </c>
      <c r="J91" s="1" t="s">
        <v>1204</v>
      </c>
      <c r="K91" s="1" t="s">
        <v>1207</v>
      </c>
      <c r="L91" s="1"/>
      <c r="M91" s="1"/>
      <c r="N91" s="26"/>
    </row>
    <row r="92" spans="1:14" ht="15.6" x14ac:dyDescent="0.3">
      <c r="A92" s="3" t="s">
        <v>215</v>
      </c>
      <c r="B92" s="3" t="s">
        <v>611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5"/>
    </row>
    <row r="93" spans="1:14" ht="15.6" x14ac:dyDescent="0.3">
      <c r="A93" s="3" t="s">
        <v>217</v>
      </c>
      <c r="B93" s="3" t="s">
        <v>612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6"/>
    </row>
    <row r="94" spans="1:14" ht="15.6" x14ac:dyDescent="0.3">
      <c r="A94" s="3" t="s">
        <v>219</v>
      </c>
      <c r="B94" s="3" t="s">
        <v>613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5"/>
    </row>
    <row r="95" spans="1:14" ht="15.6" x14ac:dyDescent="0.3">
      <c r="A95" s="3" t="s">
        <v>221</v>
      </c>
      <c r="B95" s="3" t="s">
        <v>614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6"/>
    </row>
    <row r="96" spans="1:14" ht="15.6" x14ac:dyDescent="0.3">
      <c r="A96" s="3" t="s">
        <v>223</v>
      </c>
      <c r="B96" s="3" t="s">
        <v>615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5"/>
    </row>
    <row r="97" spans="1:14" ht="15.6" x14ac:dyDescent="0.3">
      <c r="A97" s="3" t="s">
        <v>518</v>
      </c>
      <c r="B97" s="3" t="s">
        <v>616</v>
      </c>
      <c r="C97" s="3" t="s">
        <v>26</v>
      </c>
      <c r="D97" s="3" t="s">
        <v>29</v>
      </c>
      <c r="E97" s="3" t="s">
        <v>26</v>
      </c>
      <c r="F97" s="3" t="s">
        <v>694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6"/>
    </row>
    <row r="98" spans="1:14" ht="15.6" x14ac:dyDescent="0.3">
      <c r="A98" s="3" t="s">
        <v>225</v>
      </c>
      <c r="B98" s="3" t="s">
        <v>617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5"/>
    </row>
    <row r="99" spans="1:14" ht="15" customHeight="1" x14ac:dyDescent="0.3">
      <c r="A99" s="3" t="s">
        <v>227</v>
      </c>
      <c r="B99" s="3" t="s">
        <v>618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1152</v>
      </c>
      <c r="K99" s="1" t="s">
        <v>1153</v>
      </c>
      <c r="L99" s="1" t="s">
        <v>1204</v>
      </c>
      <c r="M99" s="1" t="s">
        <v>1208</v>
      </c>
      <c r="N99" s="26"/>
    </row>
    <row r="100" spans="1:14" ht="15" customHeight="1" x14ac:dyDescent="0.3">
      <c r="A100" s="3" t="s">
        <v>1282</v>
      </c>
      <c r="B100" s="3" t="s">
        <v>1283</v>
      </c>
      <c r="C100" s="3" t="s">
        <v>26</v>
      </c>
      <c r="D100" s="3" t="s">
        <v>29</v>
      </c>
      <c r="E100" s="3" t="s">
        <v>26</v>
      </c>
      <c r="F100" s="3" t="s">
        <v>1284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6"/>
    </row>
    <row r="101" spans="1:14" ht="15.6" x14ac:dyDescent="0.3">
      <c r="A101" s="3" t="s">
        <v>229</v>
      </c>
      <c r="B101" s="3" t="s">
        <v>619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6"/>
    </row>
    <row r="102" spans="1:14" ht="15.6" x14ac:dyDescent="0.3">
      <c r="A102" s="3" t="s">
        <v>492</v>
      </c>
      <c r="B102" s="3" t="s">
        <v>620</v>
      </c>
      <c r="C102" s="3" t="s">
        <v>26</v>
      </c>
      <c r="D102" s="3" t="s">
        <v>29</v>
      </c>
      <c r="E102" s="3" t="s">
        <v>26</v>
      </c>
      <c r="F102" s="3" t="s">
        <v>439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5"/>
    </row>
    <row r="103" spans="1:14" ht="15" customHeight="1" x14ac:dyDescent="0.3">
      <c r="A103" s="3" t="s">
        <v>1288</v>
      </c>
      <c r="B103" s="3" t="s">
        <v>1289</v>
      </c>
      <c r="C103" s="3" t="s">
        <v>26</v>
      </c>
      <c r="D103" s="3" t="s">
        <v>29</v>
      </c>
      <c r="E103" s="3" t="s">
        <v>26</v>
      </c>
      <c r="F103" s="3" t="s">
        <v>1290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6"/>
    </row>
    <row r="104" spans="1:14" ht="15.6" x14ac:dyDescent="0.3">
      <c r="A104" s="3" t="s">
        <v>231</v>
      </c>
      <c r="B104" s="3" t="s">
        <v>621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5"/>
    </row>
    <row r="105" spans="1:14" ht="15.6" x14ac:dyDescent="0.3">
      <c r="A105" s="3" t="s">
        <v>233</v>
      </c>
      <c r="B105" s="3" t="s">
        <v>622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6"/>
    </row>
    <row r="106" spans="1:14" ht="15.6" x14ac:dyDescent="0.3">
      <c r="A106" s="3" t="s">
        <v>235</v>
      </c>
      <c r="B106" s="3" t="s">
        <v>623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5"/>
    </row>
    <row r="107" spans="1:14" ht="15.6" x14ac:dyDescent="0.3">
      <c r="A107" s="3" t="s">
        <v>237</v>
      </c>
      <c r="B107" s="3" t="s">
        <v>624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6"/>
    </row>
    <row r="108" spans="1:14" ht="15.6" x14ac:dyDescent="0.3">
      <c r="A108" s="3" t="s">
        <v>239</v>
      </c>
      <c r="B108" s="3" t="s">
        <v>625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1204</v>
      </c>
      <c r="K108" s="1" t="s">
        <v>1209</v>
      </c>
      <c r="L108" s="1"/>
      <c r="M108" s="1"/>
      <c r="N108" s="25"/>
    </row>
    <row r="109" spans="1:14" ht="15.6" x14ac:dyDescent="0.3">
      <c r="A109" s="3" t="s">
        <v>241</v>
      </c>
      <c r="B109" s="3" t="s">
        <v>626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1204</v>
      </c>
      <c r="K109" s="1" t="s">
        <v>1210</v>
      </c>
      <c r="L109" s="1"/>
      <c r="M109" s="1"/>
      <c r="N109" s="26"/>
    </row>
    <row r="110" spans="1:14" ht="15.6" x14ac:dyDescent="0.3">
      <c r="A110" s="3" t="s">
        <v>243</v>
      </c>
      <c r="B110" s="3" t="s">
        <v>627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5"/>
    </row>
    <row r="111" spans="1:14" ht="15.6" x14ac:dyDescent="0.3">
      <c r="A111" s="3" t="s">
        <v>493</v>
      </c>
      <c r="B111" s="3" t="s">
        <v>628</v>
      </c>
      <c r="C111" s="3" t="s">
        <v>26</v>
      </c>
      <c r="D111" s="3" t="s">
        <v>29</v>
      </c>
      <c r="E111" s="3" t="s">
        <v>26</v>
      </c>
      <c r="F111" s="3" t="s">
        <v>440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6"/>
    </row>
    <row r="112" spans="1:14" ht="15.6" x14ac:dyDescent="0.3">
      <c r="A112" s="3" t="s">
        <v>494</v>
      </c>
      <c r="B112" s="3" t="s">
        <v>629</v>
      </c>
      <c r="C112" s="3" t="s">
        <v>26</v>
      </c>
      <c r="D112" s="3" t="s">
        <v>29</v>
      </c>
      <c r="E112" s="3" t="s">
        <v>26</v>
      </c>
      <c r="F112" s="3" t="s">
        <v>441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5"/>
    </row>
    <row r="113" spans="1:14" ht="15.6" x14ac:dyDescent="0.3">
      <c r="A113" s="3" t="s">
        <v>853</v>
      </c>
      <c r="B113" s="3" t="s">
        <v>855</v>
      </c>
      <c r="C113" s="3" t="s">
        <v>26</v>
      </c>
      <c r="D113" s="3" t="s">
        <v>29</v>
      </c>
      <c r="E113" s="3" t="s">
        <v>26</v>
      </c>
      <c r="F113" s="1" t="s">
        <v>854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6"/>
    </row>
    <row r="114" spans="1:14" ht="15.6" x14ac:dyDescent="0.3">
      <c r="A114" s="3" t="s">
        <v>495</v>
      </c>
      <c r="B114" s="3" t="s">
        <v>630</v>
      </c>
      <c r="C114" s="3" t="s">
        <v>26</v>
      </c>
      <c r="D114" s="3" t="s">
        <v>29</v>
      </c>
      <c r="E114" s="3" t="s">
        <v>26</v>
      </c>
      <c r="F114" s="3" t="s">
        <v>442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5"/>
    </row>
    <row r="115" spans="1:14" ht="15.6" x14ac:dyDescent="0.3">
      <c r="A115" s="3" t="s">
        <v>496</v>
      </c>
      <c r="B115" s="3" t="s">
        <v>631</v>
      </c>
      <c r="C115" s="3" t="s">
        <v>26</v>
      </c>
      <c r="D115" s="3" t="s">
        <v>29</v>
      </c>
      <c r="E115" s="3" t="s">
        <v>26</v>
      </c>
      <c r="F115" s="3" t="s">
        <v>443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6"/>
    </row>
    <row r="116" spans="1:14" ht="15.6" x14ac:dyDescent="0.3">
      <c r="A116" s="3" t="s">
        <v>497</v>
      </c>
      <c r="B116" s="3" t="s">
        <v>632</v>
      </c>
      <c r="C116" s="3" t="s">
        <v>26</v>
      </c>
      <c r="D116" s="3" t="s">
        <v>29</v>
      </c>
      <c r="E116" s="3" t="s">
        <v>26</v>
      </c>
      <c r="F116" s="3" t="s">
        <v>444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5"/>
    </row>
    <row r="117" spans="1:14" ht="15.6" x14ac:dyDescent="0.3">
      <c r="A117" s="3" t="s">
        <v>498</v>
      </c>
      <c r="B117" s="3" t="s">
        <v>633</v>
      </c>
      <c r="C117" s="3" t="s">
        <v>26</v>
      </c>
      <c r="D117" s="3" t="s">
        <v>29</v>
      </c>
      <c r="E117" s="3" t="s">
        <v>26</v>
      </c>
      <c r="F117" s="3" t="s">
        <v>445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6"/>
    </row>
    <row r="118" spans="1:14" ht="15.6" x14ac:dyDescent="0.3">
      <c r="A118" s="3" t="s">
        <v>499</v>
      </c>
      <c r="B118" s="3" t="s">
        <v>634</v>
      </c>
      <c r="C118" s="3" t="s">
        <v>26</v>
      </c>
      <c r="D118" s="3" t="s">
        <v>29</v>
      </c>
      <c r="E118" s="3" t="s">
        <v>26</v>
      </c>
      <c r="F118" s="3" t="s">
        <v>446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5"/>
    </row>
    <row r="119" spans="1:14" ht="15.6" x14ac:dyDescent="0.3">
      <c r="A119" s="3" t="s">
        <v>245</v>
      </c>
      <c r="B119" s="3" t="s">
        <v>635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6"/>
    </row>
    <row r="120" spans="1:14" ht="15.6" x14ac:dyDescent="0.3">
      <c r="A120" s="3" t="s">
        <v>247</v>
      </c>
      <c r="B120" s="3" t="s">
        <v>636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5"/>
    </row>
    <row r="121" spans="1:14" ht="15.6" x14ac:dyDescent="0.3">
      <c r="A121" s="3" t="s">
        <v>249</v>
      </c>
      <c r="B121" s="3" t="s">
        <v>637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6"/>
    </row>
    <row r="122" spans="1:14" ht="15.6" x14ac:dyDescent="0.3">
      <c r="A122" s="3" t="s">
        <v>251</v>
      </c>
      <c r="B122" s="3" t="s">
        <v>638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5"/>
    </row>
    <row r="123" spans="1:14" ht="15.6" x14ac:dyDescent="0.3">
      <c r="A123" s="3" t="s">
        <v>253</v>
      </c>
      <c r="B123" s="3" t="s">
        <v>639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6"/>
    </row>
    <row r="124" spans="1:14" ht="15.6" x14ac:dyDescent="0.3">
      <c r="A124" s="3" t="s">
        <v>519</v>
      </c>
      <c r="B124" s="3" t="s">
        <v>640</v>
      </c>
      <c r="C124" s="3" t="s">
        <v>26</v>
      </c>
      <c r="D124" s="3" t="s">
        <v>29</v>
      </c>
      <c r="E124" s="3" t="s">
        <v>26</v>
      </c>
      <c r="F124" s="3" t="s">
        <v>695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5"/>
    </row>
    <row r="125" spans="1:14" ht="15.6" x14ac:dyDescent="0.3">
      <c r="A125" s="3" t="s">
        <v>255</v>
      </c>
      <c r="B125" s="3" t="s">
        <v>641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6"/>
    </row>
    <row r="126" spans="1:14" ht="15.6" x14ac:dyDescent="0.3">
      <c r="A126" s="3" t="s">
        <v>257</v>
      </c>
      <c r="B126" s="3" t="s">
        <v>642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1204</v>
      </c>
      <c r="K126" s="1" t="s">
        <v>1211</v>
      </c>
      <c r="L126" s="1"/>
      <c r="M126" s="1"/>
      <c r="N126" s="25"/>
    </row>
    <row r="127" spans="1:14" ht="15.6" x14ac:dyDescent="0.3">
      <c r="A127" s="3" t="s">
        <v>259</v>
      </c>
      <c r="B127" s="3" t="s">
        <v>643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6"/>
    </row>
    <row r="128" spans="1:14" ht="15.6" x14ac:dyDescent="0.3">
      <c r="A128" s="3" t="s">
        <v>261</v>
      </c>
      <c r="B128" s="3" t="s">
        <v>644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5"/>
    </row>
    <row r="129" spans="1:14" ht="15.6" x14ac:dyDescent="0.3">
      <c r="A129" s="3" t="s">
        <v>263</v>
      </c>
      <c r="B129" s="3" t="s">
        <v>645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6"/>
    </row>
    <row r="130" spans="1:14" ht="15.6" x14ac:dyDescent="0.3">
      <c r="A130" s="3" t="s">
        <v>265</v>
      </c>
      <c r="B130" s="3" t="s">
        <v>646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5"/>
    </row>
    <row r="131" spans="1:14" ht="15.6" x14ac:dyDescent="0.3">
      <c r="A131" s="3" t="s">
        <v>267</v>
      </c>
      <c r="B131" s="3" t="s">
        <v>647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6"/>
    </row>
    <row r="132" spans="1:14" ht="15.6" x14ac:dyDescent="0.3">
      <c r="A132" s="3" t="s">
        <v>269</v>
      </c>
      <c r="B132" s="3" t="s">
        <v>648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5"/>
    </row>
    <row r="133" spans="1:14" ht="15.6" x14ac:dyDescent="0.3">
      <c r="A133" s="3" t="s">
        <v>271</v>
      </c>
      <c r="B133" s="3" t="s">
        <v>649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6"/>
    </row>
    <row r="134" spans="1:14" ht="15.6" x14ac:dyDescent="0.3">
      <c r="A134" s="3" t="s">
        <v>273</v>
      </c>
      <c r="B134" s="3" t="s">
        <v>650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5"/>
    </row>
    <row r="135" spans="1:14" ht="15.6" x14ac:dyDescent="0.3">
      <c r="A135" s="3" t="s">
        <v>275</v>
      </c>
      <c r="B135" s="3" t="s">
        <v>651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6"/>
    </row>
    <row r="136" spans="1:14" ht="15.6" x14ac:dyDescent="0.3">
      <c r="A136" s="3" t="s">
        <v>500</v>
      </c>
      <c r="B136" s="3" t="s">
        <v>652</v>
      </c>
      <c r="C136" s="3" t="s">
        <v>26</v>
      </c>
      <c r="D136" s="3" t="s">
        <v>29</v>
      </c>
      <c r="E136" s="3" t="s">
        <v>26</v>
      </c>
      <c r="F136" s="3" t="s">
        <v>447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5"/>
    </row>
    <row r="137" spans="1:14" ht="15.6" x14ac:dyDescent="0.3">
      <c r="A137" s="3" t="s">
        <v>501</v>
      </c>
      <c r="B137" s="3" t="s">
        <v>653</v>
      </c>
      <c r="C137" s="3" t="s">
        <v>26</v>
      </c>
      <c r="D137" s="3" t="s">
        <v>29</v>
      </c>
      <c r="E137" s="3" t="s">
        <v>26</v>
      </c>
      <c r="F137" s="3" t="s">
        <v>448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6"/>
    </row>
    <row r="138" spans="1:14" ht="15.6" x14ac:dyDescent="0.3">
      <c r="A138" s="3" t="s">
        <v>502</v>
      </c>
      <c r="B138" s="3" t="s">
        <v>654</v>
      </c>
      <c r="C138" s="3" t="s">
        <v>26</v>
      </c>
      <c r="D138" s="3" t="s">
        <v>29</v>
      </c>
      <c r="E138" s="3" t="s">
        <v>26</v>
      </c>
      <c r="F138" s="3" t="s">
        <v>449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5"/>
    </row>
    <row r="139" spans="1:14" ht="15.6" x14ac:dyDescent="0.3">
      <c r="A139" s="3" t="s">
        <v>503</v>
      </c>
      <c r="B139" s="3" t="s">
        <v>655</v>
      </c>
      <c r="C139" s="3" t="s">
        <v>26</v>
      </c>
      <c r="D139" s="3" t="s">
        <v>29</v>
      </c>
      <c r="E139" s="3" t="s">
        <v>26</v>
      </c>
      <c r="F139" s="3" t="s">
        <v>450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6"/>
    </row>
    <row r="140" spans="1:14" ht="15.6" x14ac:dyDescent="0.3">
      <c r="A140" s="3" t="s">
        <v>504</v>
      </c>
      <c r="B140" s="3" t="s">
        <v>656</v>
      </c>
      <c r="C140" s="3" t="s">
        <v>26</v>
      </c>
      <c r="D140" s="3" t="s">
        <v>29</v>
      </c>
      <c r="E140" s="3" t="s">
        <v>26</v>
      </c>
      <c r="F140" s="3" t="s">
        <v>451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5"/>
    </row>
    <row r="141" spans="1:14" ht="15.6" x14ac:dyDescent="0.3">
      <c r="A141" s="3" t="s">
        <v>505</v>
      </c>
      <c r="B141" s="3" t="s">
        <v>657</v>
      </c>
      <c r="C141" s="3" t="s">
        <v>26</v>
      </c>
      <c r="D141" s="3" t="s">
        <v>29</v>
      </c>
      <c r="E141" s="3" t="s">
        <v>26</v>
      </c>
      <c r="F141" s="3" t="s">
        <v>452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6"/>
    </row>
    <row r="142" spans="1:14" ht="15.6" x14ac:dyDescent="0.3">
      <c r="A142" s="3" t="s">
        <v>506</v>
      </c>
      <c r="B142" s="3" t="s">
        <v>658</v>
      </c>
      <c r="C142" s="3" t="s">
        <v>26</v>
      </c>
      <c r="D142" s="3" t="s">
        <v>29</v>
      </c>
      <c r="E142" s="3" t="s">
        <v>26</v>
      </c>
      <c r="F142" s="3" t="s">
        <v>453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5"/>
    </row>
    <row r="143" spans="1:14" ht="15.6" x14ac:dyDescent="0.3">
      <c r="A143" s="3" t="s">
        <v>277</v>
      </c>
      <c r="B143" s="3" t="s">
        <v>659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6"/>
    </row>
    <row r="144" spans="1:14" ht="15.6" x14ac:dyDescent="0.3">
      <c r="A144" s="3" t="s">
        <v>279</v>
      </c>
      <c r="B144" s="3" t="s">
        <v>660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5"/>
    </row>
    <row r="145" spans="1:14" ht="15.6" x14ac:dyDescent="0.3">
      <c r="A145" s="3" t="s">
        <v>281</v>
      </c>
      <c r="B145" s="3" t="s">
        <v>661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6"/>
    </row>
    <row r="146" spans="1:14" ht="15.6" x14ac:dyDescent="0.3">
      <c r="A146" s="3" t="s">
        <v>283</v>
      </c>
      <c r="B146" s="3" t="s">
        <v>662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5"/>
    </row>
    <row r="147" spans="1:14" ht="15.6" x14ac:dyDescent="0.3">
      <c r="A147" s="3" t="s">
        <v>285</v>
      </c>
      <c r="B147" s="3" t="s">
        <v>663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6"/>
    </row>
    <row r="148" spans="1:14" ht="15.6" x14ac:dyDescent="0.3">
      <c r="A148" s="3" t="s">
        <v>520</v>
      </c>
      <c r="B148" s="3" t="s">
        <v>664</v>
      </c>
      <c r="C148" s="3" t="s">
        <v>26</v>
      </c>
      <c r="D148" s="3" t="s">
        <v>29</v>
      </c>
      <c r="E148" s="3" t="s">
        <v>26</v>
      </c>
      <c r="F148" s="3" t="s">
        <v>696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5"/>
    </row>
    <row r="149" spans="1:14" ht="15.6" x14ac:dyDescent="0.3">
      <c r="A149" s="3" t="s">
        <v>287</v>
      </c>
      <c r="B149" s="3" t="s">
        <v>665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6"/>
    </row>
    <row r="150" spans="1:14" ht="15.6" x14ac:dyDescent="0.3">
      <c r="A150" s="3" t="s">
        <v>289</v>
      </c>
      <c r="B150" s="3" t="s">
        <v>666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5"/>
    </row>
    <row r="151" spans="1:14" ht="15.6" x14ac:dyDescent="0.3">
      <c r="A151" s="3" t="s">
        <v>291</v>
      </c>
      <c r="B151" s="3" t="s">
        <v>667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6"/>
    </row>
    <row r="152" spans="1:14" ht="15.6" x14ac:dyDescent="0.3">
      <c r="A152" s="3" t="s">
        <v>293</v>
      </c>
      <c r="B152" s="3" t="s">
        <v>668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5"/>
    </row>
    <row r="153" spans="1:14" ht="15.6" x14ac:dyDescent="0.3">
      <c r="A153" s="3" t="s">
        <v>295</v>
      </c>
      <c r="B153" s="3" t="s">
        <v>669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6"/>
    </row>
    <row r="154" spans="1:14" ht="15.6" x14ac:dyDescent="0.3">
      <c r="A154" s="3" t="s">
        <v>297</v>
      </c>
      <c r="B154" s="3" t="s">
        <v>670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5"/>
    </row>
    <row r="155" spans="1:14" ht="15.6" x14ac:dyDescent="0.3">
      <c r="A155" s="3" t="s">
        <v>299</v>
      </c>
      <c r="B155" s="3" t="s">
        <v>671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6"/>
    </row>
    <row r="156" spans="1:14" ht="15.6" x14ac:dyDescent="0.3">
      <c r="A156" s="3" t="s">
        <v>301</v>
      </c>
      <c r="B156" s="3" t="s">
        <v>672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5"/>
    </row>
    <row r="157" spans="1:14" ht="15.6" x14ac:dyDescent="0.3">
      <c r="A157" s="3" t="s">
        <v>507</v>
      </c>
      <c r="B157" s="3" t="s">
        <v>673</v>
      </c>
      <c r="C157" s="3" t="s">
        <v>26</v>
      </c>
      <c r="D157" s="3" t="s">
        <v>29</v>
      </c>
      <c r="E157" s="3" t="s">
        <v>26</v>
      </c>
      <c r="F157" s="3" t="s">
        <v>454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6"/>
    </row>
    <row r="158" spans="1:14" ht="15.6" x14ac:dyDescent="0.3">
      <c r="A158" s="3" t="s">
        <v>303</v>
      </c>
      <c r="B158" s="3" t="s">
        <v>674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5"/>
    </row>
    <row r="159" spans="1:14" ht="15.6" x14ac:dyDescent="0.3">
      <c r="A159" s="3" t="s">
        <v>305</v>
      </c>
      <c r="B159" s="3" t="s">
        <v>675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6"/>
    </row>
    <row r="160" spans="1:14" ht="15.6" x14ac:dyDescent="0.3">
      <c r="A160" s="3" t="s">
        <v>508</v>
      </c>
      <c r="B160" s="3" t="s">
        <v>676</v>
      </c>
      <c r="C160" s="3" t="s">
        <v>26</v>
      </c>
      <c r="D160" s="3" t="s">
        <v>29</v>
      </c>
      <c r="E160" s="3" t="s">
        <v>26</v>
      </c>
      <c r="F160" s="3" t="s">
        <v>455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5"/>
    </row>
    <row r="161" spans="1:14" ht="15.6" x14ac:dyDescent="0.3">
      <c r="A161" s="3" t="s">
        <v>509</v>
      </c>
      <c r="B161" s="3" t="s">
        <v>677</v>
      </c>
      <c r="C161" s="3" t="s">
        <v>26</v>
      </c>
      <c r="D161" s="3" t="s">
        <v>29</v>
      </c>
      <c r="E161" s="3" t="s">
        <v>26</v>
      </c>
      <c r="F161" s="3" t="s">
        <v>456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6"/>
    </row>
    <row r="162" spans="1:14" ht="15.6" x14ac:dyDescent="0.3">
      <c r="A162" s="3" t="s">
        <v>510</v>
      </c>
      <c r="B162" s="3" t="s">
        <v>678</v>
      </c>
      <c r="C162" s="3" t="s">
        <v>26</v>
      </c>
      <c r="D162" s="3" t="s">
        <v>29</v>
      </c>
      <c r="E162" s="3" t="s">
        <v>26</v>
      </c>
      <c r="F162" s="3" t="s">
        <v>457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5"/>
    </row>
    <row r="163" spans="1:14" ht="15.6" x14ac:dyDescent="0.3">
      <c r="A163" s="3" t="s">
        <v>511</v>
      </c>
      <c r="B163" s="3" t="s">
        <v>679</v>
      </c>
      <c r="C163" s="3" t="s">
        <v>26</v>
      </c>
      <c r="D163" s="3" t="s">
        <v>29</v>
      </c>
      <c r="E163" s="3" t="s">
        <v>26</v>
      </c>
      <c r="F163" s="3" t="s">
        <v>458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6"/>
    </row>
    <row r="164" spans="1:14" ht="15.6" x14ac:dyDescent="0.3">
      <c r="A164" s="3" t="s">
        <v>512</v>
      </c>
      <c r="B164" s="3" t="s">
        <v>680</v>
      </c>
      <c r="C164" s="3" t="s">
        <v>26</v>
      </c>
      <c r="D164" s="3" t="s">
        <v>29</v>
      </c>
      <c r="E164" s="3" t="s">
        <v>26</v>
      </c>
      <c r="F164" s="3" t="s">
        <v>459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5"/>
    </row>
    <row r="165" spans="1:14" ht="15.6" x14ac:dyDescent="0.3">
      <c r="A165" s="3" t="s">
        <v>513</v>
      </c>
      <c r="B165" s="3" t="s">
        <v>681</v>
      </c>
      <c r="C165" s="3" t="s">
        <v>26</v>
      </c>
      <c r="D165" s="3" t="s">
        <v>29</v>
      </c>
      <c r="E165" s="3" t="s">
        <v>26</v>
      </c>
      <c r="F165" s="3" t="s">
        <v>460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6"/>
    </row>
    <row r="166" spans="1:14" ht="15.6" x14ac:dyDescent="0.3">
      <c r="A166" s="3" t="s">
        <v>514</v>
      </c>
      <c r="B166" s="3" t="s">
        <v>682</v>
      </c>
      <c r="C166" s="3" t="s">
        <v>26</v>
      </c>
      <c r="D166" s="3" t="s">
        <v>29</v>
      </c>
      <c r="E166" s="3" t="s">
        <v>26</v>
      </c>
      <c r="F166" s="3" t="s">
        <v>461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5"/>
    </row>
    <row r="167" spans="1:14" ht="15.6" x14ac:dyDescent="0.3">
      <c r="A167" s="3" t="s">
        <v>307</v>
      </c>
      <c r="B167" s="3" t="s">
        <v>683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6"/>
    </row>
    <row r="168" spans="1:14" ht="15.6" x14ac:dyDescent="0.3">
      <c r="A168" s="3" t="s">
        <v>309</v>
      </c>
      <c r="B168" s="3" t="s">
        <v>684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5"/>
    </row>
    <row r="169" spans="1:14" ht="15.6" x14ac:dyDescent="0.3">
      <c r="A169" s="3" t="s">
        <v>311</v>
      </c>
      <c r="B169" s="3" t="s">
        <v>685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6"/>
    </row>
    <row r="170" spans="1:14" ht="15.6" x14ac:dyDescent="0.3">
      <c r="A170" s="3" t="s">
        <v>313</v>
      </c>
      <c r="B170" s="3" t="s">
        <v>686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5"/>
    </row>
    <row r="171" spans="1:14" ht="15.6" x14ac:dyDescent="0.3">
      <c r="A171" s="3" t="s">
        <v>315</v>
      </c>
      <c r="B171" s="3" t="s">
        <v>687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6"/>
    </row>
    <row r="172" spans="1:14" ht="15.6" x14ac:dyDescent="0.3">
      <c r="A172" s="3" t="s">
        <v>521</v>
      </c>
      <c r="B172" s="3" t="s">
        <v>688</v>
      </c>
      <c r="C172" s="3" t="s">
        <v>26</v>
      </c>
      <c r="D172" s="3" t="s">
        <v>29</v>
      </c>
      <c r="E172" s="3" t="s">
        <v>26</v>
      </c>
      <c r="F172" s="3" t="s">
        <v>697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5"/>
    </row>
    <row r="173" spans="1:14" ht="15.6" x14ac:dyDescent="0.3">
      <c r="A173" s="3" t="s">
        <v>317</v>
      </c>
      <c r="B173" s="3" t="s">
        <v>689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6"/>
    </row>
    <row r="174" spans="1:14" ht="15.6" x14ac:dyDescent="0.3">
      <c r="A174" s="3" t="s">
        <v>319</v>
      </c>
      <c r="B174" s="3" t="s">
        <v>690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5"/>
    </row>
    <row r="175" spans="1:14" ht="15.6" x14ac:dyDescent="0.3">
      <c r="A175" s="1" t="s">
        <v>888</v>
      </c>
      <c r="B175" s="1" t="s">
        <v>889</v>
      </c>
      <c r="C175" s="1" t="s">
        <v>888</v>
      </c>
      <c r="D175" s="3" t="s">
        <v>894</v>
      </c>
      <c r="E175" s="1" t="s">
        <v>893</v>
      </c>
      <c r="F175" s="1" t="s">
        <v>891</v>
      </c>
      <c r="G175" s="13">
        <v>0.5</v>
      </c>
      <c r="H175" s="3" t="s">
        <v>890</v>
      </c>
      <c r="I175" s="1" t="s">
        <v>892</v>
      </c>
      <c r="J175" s="1"/>
      <c r="K175" s="1"/>
      <c r="L175" s="1"/>
      <c r="M175" s="1"/>
      <c r="N175" s="26"/>
    </row>
    <row r="176" spans="1:14" ht="15.6" x14ac:dyDescent="0.3">
      <c r="A176" s="14" t="s">
        <v>958</v>
      </c>
      <c r="B176" s="1" t="s">
        <v>959</v>
      </c>
      <c r="C176" s="1" t="s">
        <v>958</v>
      </c>
      <c r="D176" s="3" t="s">
        <v>894</v>
      </c>
      <c r="E176" s="1" t="s">
        <v>893</v>
      </c>
      <c r="F176" s="1">
        <v>100</v>
      </c>
      <c r="G176" s="13">
        <v>0.5</v>
      </c>
      <c r="H176" s="3" t="s">
        <v>890</v>
      </c>
      <c r="I176" s="1" t="s">
        <v>892</v>
      </c>
      <c r="J176" s="1"/>
      <c r="K176" s="1"/>
      <c r="L176" s="1"/>
      <c r="M176" s="1"/>
      <c r="N176" s="1"/>
    </row>
    <row r="177" spans="1:14" ht="15.6" x14ac:dyDescent="0.3">
      <c r="A177" s="14" t="s">
        <v>962</v>
      </c>
      <c r="B177" s="1" t="s">
        <v>963</v>
      </c>
      <c r="C177" s="1" t="s">
        <v>962</v>
      </c>
      <c r="D177" s="3" t="s">
        <v>894</v>
      </c>
      <c r="E177" s="1" t="s">
        <v>893</v>
      </c>
      <c r="F177" s="1" t="s">
        <v>964</v>
      </c>
      <c r="G177" s="13">
        <v>0.5</v>
      </c>
      <c r="H177" s="3" t="s">
        <v>890</v>
      </c>
      <c r="I177" s="1" t="s">
        <v>892</v>
      </c>
      <c r="J177" s="1"/>
      <c r="K177" s="1"/>
      <c r="L177" s="1"/>
      <c r="M177" s="1"/>
      <c r="N177" s="1"/>
    </row>
    <row r="178" spans="1:14" ht="15.6" x14ac:dyDescent="0.3">
      <c r="A178" s="3" t="s">
        <v>1097</v>
      </c>
      <c r="B178" s="3" t="s">
        <v>1098</v>
      </c>
      <c r="C178" s="3" t="s">
        <v>26</v>
      </c>
      <c r="D178" s="3" t="s">
        <v>29</v>
      </c>
      <c r="E178" s="3" t="s">
        <v>26</v>
      </c>
      <c r="F178" s="3" t="s">
        <v>1096</v>
      </c>
      <c r="G178" s="4">
        <v>0.01</v>
      </c>
      <c r="H178" s="3" t="s">
        <v>898</v>
      </c>
      <c r="I178" s="3" t="s">
        <v>897</v>
      </c>
      <c r="J178" s="1"/>
      <c r="K178" s="1"/>
      <c r="L178" s="1"/>
      <c r="M178" s="1"/>
      <c r="N178" s="1"/>
    </row>
    <row r="179" spans="1:14" ht="15.6" x14ac:dyDescent="0.3">
      <c r="A179" s="1" t="s">
        <v>1270</v>
      </c>
      <c r="B179" s="1" t="s">
        <v>1271</v>
      </c>
      <c r="C179" s="1" t="s">
        <v>26</v>
      </c>
      <c r="D179" s="3" t="s">
        <v>29</v>
      </c>
      <c r="E179" s="3" t="s">
        <v>26</v>
      </c>
      <c r="F179" s="3" t="s">
        <v>1272</v>
      </c>
      <c r="G179" s="4">
        <v>0.01</v>
      </c>
      <c r="H179" s="3" t="s">
        <v>1154</v>
      </c>
      <c r="I179" s="3" t="s">
        <v>1155</v>
      </c>
      <c r="J179" s="1"/>
      <c r="K179" s="1"/>
      <c r="L179" s="1"/>
      <c r="M179" s="1"/>
      <c r="N179" s="1"/>
    </row>
    <row r="180" spans="1:14" ht="15.6" x14ac:dyDescent="0.3">
      <c r="A180" s="3" t="s">
        <v>1300</v>
      </c>
      <c r="B180" s="3" t="s">
        <v>1301</v>
      </c>
      <c r="C180" s="3" t="s">
        <v>26</v>
      </c>
      <c r="D180" s="3" t="s">
        <v>29</v>
      </c>
      <c r="E180" s="3" t="s">
        <v>26</v>
      </c>
      <c r="F180" s="3" t="s">
        <v>1302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4"/>
    </row>
    <row r="181" spans="1:14" ht="15.6" x14ac:dyDescent="0.3">
      <c r="A181" s="1" t="s">
        <v>1329</v>
      </c>
      <c r="B181" s="1" t="s">
        <v>1330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898</v>
      </c>
      <c r="I181" s="1" t="s">
        <v>897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6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6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6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workbookViewId="0">
      <selection activeCell="H10" sqref="H10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3">
      <c r="A2" s="20" t="s">
        <v>1102</v>
      </c>
      <c r="B2" s="21" t="str">
        <f>CONCATENATE("Выпрямительный диод на ", H2," В, ном. ток ", I2," А")</f>
        <v>Выпрямительный диод на 1000 В, ном. ток 2 А</v>
      </c>
      <c r="C2" s="21" t="str">
        <f t="shared" ref="C2" si="0">A2</f>
        <v>S2M</v>
      </c>
      <c r="D2" s="21" t="s">
        <v>1101</v>
      </c>
      <c r="E2" s="21" t="s">
        <v>1100</v>
      </c>
      <c r="F2" s="21" t="str">
        <f t="shared" ref="F2" si="1">CONCATENATE("Footprints\",G2,".PcbLib")</f>
        <v>Footprints\SMB.PcbLib</v>
      </c>
      <c r="G2" s="21" t="s">
        <v>341</v>
      </c>
      <c r="H2" s="21">
        <v>1000</v>
      </c>
      <c r="I2" s="28">
        <v>2</v>
      </c>
      <c r="J2" s="2"/>
      <c r="L2" s="11"/>
    </row>
    <row r="3" spans="1:12" x14ac:dyDescent="0.3">
      <c r="A3" s="2" t="s">
        <v>1277</v>
      </c>
      <c r="B3" s="2" t="s">
        <v>1278</v>
      </c>
      <c r="C3" s="2" t="s">
        <v>1277</v>
      </c>
      <c r="D3" s="21" t="s">
        <v>1101</v>
      </c>
      <c r="E3" s="21" t="s">
        <v>1100</v>
      </c>
      <c r="F3" s="2" t="s">
        <v>1279</v>
      </c>
      <c r="G3" s="2" t="s">
        <v>130</v>
      </c>
      <c r="H3" s="2" t="s">
        <v>414</v>
      </c>
      <c r="I3" s="2" t="s">
        <v>1310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Normal="100" workbookViewId="0">
      <selection activeCell="A2" sqref="A2:T3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22" workbookViewId="0">
      <selection activeCell="I53" sqref="I5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3">
      <c r="A2" s="29" t="s">
        <v>1294</v>
      </c>
      <c r="B2" s="30" t="s">
        <v>28</v>
      </c>
      <c r="C2" s="30" t="s">
        <v>30</v>
      </c>
      <c r="D2" s="30" t="s">
        <v>27</v>
      </c>
      <c r="E2" s="30" t="s">
        <v>30</v>
      </c>
      <c r="F2" s="30" t="s">
        <v>27</v>
      </c>
      <c r="G2" s="30" t="s">
        <v>1295</v>
      </c>
      <c r="H2" s="31">
        <v>0.1</v>
      </c>
      <c r="I2" s="30">
        <v>50</v>
      </c>
      <c r="J2" s="30" t="s">
        <v>773</v>
      </c>
      <c r="K2" s="30" t="s">
        <v>774</v>
      </c>
      <c r="L2" s="30" t="s">
        <v>37</v>
      </c>
      <c r="M2" s="30" t="s">
        <v>1296</v>
      </c>
      <c r="N2" s="32"/>
    </row>
    <row r="3" spans="1:14" x14ac:dyDescent="0.3">
      <c r="A3" s="20" t="s">
        <v>1297</v>
      </c>
      <c r="B3" s="21" t="s">
        <v>28</v>
      </c>
      <c r="C3" s="21" t="s">
        <v>30</v>
      </c>
      <c r="D3" s="21" t="s">
        <v>27</v>
      </c>
      <c r="E3" s="21" t="s">
        <v>30</v>
      </c>
      <c r="F3" s="21" t="s">
        <v>27</v>
      </c>
      <c r="G3" s="21" t="s">
        <v>1298</v>
      </c>
      <c r="H3" s="27">
        <v>0.1</v>
      </c>
      <c r="I3" s="21">
        <v>50</v>
      </c>
      <c r="J3" s="21" t="s">
        <v>773</v>
      </c>
      <c r="K3" s="21" t="s">
        <v>774</v>
      </c>
      <c r="L3" s="21" t="s">
        <v>37</v>
      </c>
      <c r="M3" s="21" t="s">
        <v>1299</v>
      </c>
      <c r="N3" s="28"/>
    </row>
    <row r="4" spans="1:14" x14ac:dyDescent="0.3">
      <c r="A4" s="20" t="s">
        <v>1291</v>
      </c>
      <c r="B4" s="21" t="s">
        <v>28</v>
      </c>
      <c r="C4" s="21" t="s">
        <v>30</v>
      </c>
      <c r="D4" s="21" t="s">
        <v>27</v>
      </c>
      <c r="E4" s="21" t="s">
        <v>30</v>
      </c>
      <c r="F4" s="21" t="s">
        <v>27</v>
      </c>
      <c r="G4" s="21" t="s">
        <v>1292</v>
      </c>
      <c r="H4" s="27">
        <v>0.1</v>
      </c>
      <c r="I4" s="21">
        <v>50</v>
      </c>
      <c r="J4" s="21" t="s">
        <v>773</v>
      </c>
      <c r="K4" s="21" t="s">
        <v>774</v>
      </c>
      <c r="L4" s="21" t="s">
        <v>37</v>
      </c>
      <c r="M4" s="21" t="s">
        <v>1293</v>
      </c>
      <c r="N4" s="28"/>
    </row>
    <row r="5" spans="1:14" x14ac:dyDescent="0.3">
      <c r="A5" s="2" t="s">
        <v>1082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737</v>
      </c>
      <c r="H5" s="11">
        <v>0.1</v>
      </c>
      <c r="I5" s="2">
        <v>50</v>
      </c>
      <c r="J5" s="2" t="s">
        <v>773</v>
      </c>
      <c r="K5" s="2" t="s">
        <v>774</v>
      </c>
      <c r="L5" s="2" t="s">
        <v>37</v>
      </c>
      <c r="M5" s="2">
        <v>1</v>
      </c>
      <c r="N5" s="2"/>
    </row>
    <row r="6" spans="1:14" x14ac:dyDescent="0.3">
      <c r="A6" s="2" t="s">
        <v>701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738</v>
      </c>
      <c r="H6" s="11">
        <v>0.1</v>
      </c>
      <c r="I6" s="2">
        <v>50</v>
      </c>
      <c r="J6" s="2" t="s">
        <v>773</v>
      </c>
      <c r="K6" s="2" t="s">
        <v>774</v>
      </c>
      <c r="L6" s="2" t="s">
        <v>37</v>
      </c>
      <c r="M6" s="2">
        <v>1.2</v>
      </c>
      <c r="N6" s="2"/>
    </row>
    <row r="7" spans="1:14" x14ac:dyDescent="0.3">
      <c r="A7" s="2" t="s">
        <v>702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739</v>
      </c>
      <c r="H7" s="11">
        <v>0.1</v>
      </c>
      <c r="I7" s="2">
        <v>50</v>
      </c>
      <c r="J7" s="2" t="s">
        <v>773</v>
      </c>
      <c r="K7" s="2" t="s">
        <v>774</v>
      </c>
      <c r="L7" s="2" t="s">
        <v>37</v>
      </c>
      <c r="M7" s="2">
        <v>1.5</v>
      </c>
      <c r="N7" s="2"/>
    </row>
    <row r="8" spans="1:14" x14ac:dyDescent="0.3">
      <c r="A8" s="2" t="s">
        <v>703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740</v>
      </c>
      <c r="H8" s="11">
        <v>0.1</v>
      </c>
      <c r="I8" s="2">
        <v>50</v>
      </c>
      <c r="J8" s="2" t="s">
        <v>773</v>
      </c>
      <c r="K8" s="2" t="s">
        <v>774</v>
      </c>
      <c r="L8" s="2" t="s">
        <v>37</v>
      </c>
      <c r="M8" s="2">
        <v>1.8</v>
      </c>
      <c r="N8" s="2"/>
    </row>
    <row r="9" spans="1:14" x14ac:dyDescent="0.3">
      <c r="A9" s="2" t="s">
        <v>704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741</v>
      </c>
      <c r="H9" s="11">
        <v>0.1</v>
      </c>
      <c r="I9" s="2">
        <v>50</v>
      </c>
      <c r="J9" s="2" t="s">
        <v>773</v>
      </c>
      <c r="K9" s="2" t="s">
        <v>774</v>
      </c>
      <c r="L9" s="2" t="s">
        <v>37</v>
      </c>
      <c r="M9" s="2">
        <v>2.2000000000000002</v>
      </c>
      <c r="N9" s="2"/>
    </row>
    <row r="10" spans="1:14" x14ac:dyDescent="0.3">
      <c r="A10" s="2" t="s">
        <v>705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742</v>
      </c>
      <c r="H10" s="11">
        <v>0.1</v>
      </c>
      <c r="I10" s="2">
        <v>50</v>
      </c>
      <c r="J10" s="2" t="s">
        <v>773</v>
      </c>
      <c r="K10" s="2" t="s">
        <v>774</v>
      </c>
      <c r="L10" s="2" t="s">
        <v>37</v>
      </c>
      <c r="M10" s="2">
        <v>2.7</v>
      </c>
      <c r="N10" s="2"/>
    </row>
    <row r="11" spans="1:14" x14ac:dyDescent="0.3">
      <c r="A11" s="2" t="s">
        <v>706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743</v>
      </c>
      <c r="H11" s="11">
        <v>0.1</v>
      </c>
      <c r="I11" s="2">
        <v>50</v>
      </c>
      <c r="J11" s="2" t="s">
        <v>773</v>
      </c>
      <c r="K11" s="2" t="s">
        <v>774</v>
      </c>
      <c r="L11" s="2" t="s">
        <v>37</v>
      </c>
      <c r="M11" s="2">
        <v>3.3</v>
      </c>
      <c r="N11" s="2"/>
    </row>
    <row r="12" spans="1:14" x14ac:dyDescent="0.3">
      <c r="A12" s="2" t="s">
        <v>707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744</v>
      </c>
      <c r="H12" s="11">
        <v>0.1</v>
      </c>
      <c r="I12" s="2">
        <v>50</v>
      </c>
      <c r="J12" s="2" t="s">
        <v>773</v>
      </c>
      <c r="K12" s="2" t="s">
        <v>774</v>
      </c>
      <c r="L12" s="2" t="s">
        <v>37</v>
      </c>
      <c r="M12" s="2">
        <v>3.9</v>
      </c>
      <c r="N12" s="2"/>
    </row>
    <row r="13" spans="1:14" x14ac:dyDescent="0.3">
      <c r="A13" s="2" t="s">
        <v>708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745</v>
      </c>
      <c r="H13" s="11">
        <v>0.1</v>
      </c>
      <c r="I13" s="2">
        <v>50</v>
      </c>
      <c r="J13" s="2" t="s">
        <v>773</v>
      </c>
      <c r="K13" s="2" t="s">
        <v>774</v>
      </c>
      <c r="L13" s="2" t="s">
        <v>37</v>
      </c>
      <c r="M13" s="2">
        <v>4.7</v>
      </c>
      <c r="N13" s="2"/>
    </row>
    <row r="14" spans="1:14" x14ac:dyDescent="0.3">
      <c r="A14" s="2" t="s">
        <v>709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746</v>
      </c>
      <c r="H14" s="11">
        <v>0.1</v>
      </c>
      <c r="I14" s="2">
        <v>50</v>
      </c>
      <c r="J14" s="2" t="s">
        <v>773</v>
      </c>
      <c r="K14" s="2" t="s">
        <v>774</v>
      </c>
      <c r="L14" s="2" t="s">
        <v>37</v>
      </c>
      <c r="M14" s="2">
        <v>5.6</v>
      </c>
      <c r="N14" s="2"/>
    </row>
    <row r="15" spans="1:14" x14ac:dyDescent="0.3">
      <c r="A15" s="2" t="s">
        <v>710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747</v>
      </c>
      <c r="H15" s="11">
        <v>0.1</v>
      </c>
      <c r="I15" s="2">
        <v>50</v>
      </c>
      <c r="J15" s="2" t="s">
        <v>773</v>
      </c>
      <c r="K15" s="2" t="s">
        <v>774</v>
      </c>
      <c r="L15" s="2" t="s">
        <v>37</v>
      </c>
      <c r="M15" s="2">
        <v>6.8</v>
      </c>
      <c r="N15" s="2"/>
    </row>
    <row r="16" spans="1:14" x14ac:dyDescent="0.3">
      <c r="A16" s="2" t="s">
        <v>711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748</v>
      </c>
      <c r="H16" s="11">
        <v>0.1</v>
      </c>
      <c r="I16" s="2">
        <v>50</v>
      </c>
      <c r="J16" s="2" t="s">
        <v>773</v>
      </c>
      <c r="K16" s="2" t="s">
        <v>774</v>
      </c>
      <c r="L16" s="2" t="s">
        <v>37</v>
      </c>
      <c r="M16" s="2">
        <v>8.1999999999999993</v>
      </c>
      <c r="N16" s="2"/>
    </row>
    <row r="17" spans="1:14" x14ac:dyDescent="0.3">
      <c r="A17" s="2" t="s">
        <v>712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749</v>
      </c>
      <c r="H17" s="11">
        <v>0.1</v>
      </c>
      <c r="I17" s="2">
        <v>50</v>
      </c>
      <c r="J17" s="2" t="s">
        <v>773</v>
      </c>
      <c r="K17" s="2" t="s">
        <v>774</v>
      </c>
      <c r="L17" s="2" t="s">
        <v>37</v>
      </c>
      <c r="M17" s="2">
        <v>10</v>
      </c>
      <c r="N17" s="2"/>
    </row>
    <row r="18" spans="1:14" x14ac:dyDescent="0.3">
      <c r="A18" s="2" t="s">
        <v>713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750</v>
      </c>
      <c r="H18" s="11">
        <v>0.1</v>
      </c>
      <c r="I18" s="2">
        <v>50</v>
      </c>
      <c r="J18" s="2" t="s">
        <v>773</v>
      </c>
      <c r="K18" s="2" t="s">
        <v>774</v>
      </c>
      <c r="L18" s="2" t="s">
        <v>37</v>
      </c>
      <c r="M18" s="2">
        <v>12</v>
      </c>
      <c r="N18" s="2"/>
    </row>
    <row r="19" spans="1:14" x14ac:dyDescent="0.3">
      <c r="A19" s="2" t="s">
        <v>714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751</v>
      </c>
      <c r="H19" s="11">
        <v>0.1</v>
      </c>
      <c r="I19" s="2">
        <v>50</v>
      </c>
      <c r="J19" s="2" t="s">
        <v>773</v>
      </c>
      <c r="K19" s="2" t="s">
        <v>774</v>
      </c>
      <c r="L19" s="2" t="s">
        <v>37</v>
      </c>
      <c r="M19" s="2">
        <v>15</v>
      </c>
      <c r="N19" s="2"/>
    </row>
    <row r="20" spans="1:14" x14ac:dyDescent="0.3">
      <c r="A20" s="2" t="s">
        <v>715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752</v>
      </c>
      <c r="H20" s="11">
        <v>0.1</v>
      </c>
      <c r="I20" s="2">
        <v>50</v>
      </c>
      <c r="J20" s="2" t="s">
        <v>773</v>
      </c>
      <c r="K20" s="2" t="s">
        <v>774</v>
      </c>
      <c r="L20" s="2" t="s">
        <v>37</v>
      </c>
      <c r="M20" s="2">
        <v>18</v>
      </c>
      <c r="N20" s="2"/>
    </row>
    <row r="21" spans="1:14" x14ac:dyDescent="0.3">
      <c r="A21" s="2" t="s">
        <v>716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753</v>
      </c>
      <c r="H21" s="11">
        <v>0.1</v>
      </c>
      <c r="I21" s="2">
        <v>50</v>
      </c>
      <c r="J21" s="2" t="s">
        <v>773</v>
      </c>
      <c r="K21" s="2" t="s">
        <v>774</v>
      </c>
      <c r="L21" s="2" t="s">
        <v>37</v>
      </c>
      <c r="M21" s="2">
        <v>22</v>
      </c>
      <c r="N21" s="2"/>
    </row>
    <row r="22" spans="1:14" x14ac:dyDescent="0.3">
      <c r="A22" s="2" t="s">
        <v>717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754</v>
      </c>
      <c r="H22" s="11">
        <v>0.1</v>
      </c>
      <c r="I22" s="2">
        <v>50</v>
      </c>
      <c r="J22" s="2" t="s">
        <v>773</v>
      </c>
      <c r="K22" s="2" t="s">
        <v>774</v>
      </c>
      <c r="L22" s="2" t="s">
        <v>37</v>
      </c>
      <c r="M22" s="2">
        <v>27</v>
      </c>
      <c r="N22" s="2"/>
    </row>
    <row r="23" spans="1:14" x14ac:dyDescent="0.3">
      <c r="A23" s="2" t="s">
        <v>718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755</v>
      </c>
      <c r="H23" s="11">
        <v>0.1</v>
      </c>
      <c r="I23" s="2">
        <v>50</v>
      </c>
      <c r="J23" s="2" t="s">
        <v>773</v>
      </c>
      <c r="K23" s="2" t="s">
        <v>774</v>
      </c>
      <c r="L23" s="2" t="s">
        <v>37</v>
      </c>
      <c r="M23" s="2">
        <v>33</v>
      </c>
      <c r="N23" s="2"/>
    </row>
    <row r="24" spans="1:14" x14ac:dyDescent="0.3">
      <c r="A24" s="2" t="s">
        <v>719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756</v>
      </c>
      <c r="H24" s="11">
        <v>0.1</v>
      </c>
      <c r="I24" s="2">
        <v>50</v>
      </c>
      <c r="J24" s="2" t="s">
        <v>773</v>
      </c>
      <c r="K24" s="2" t="s">
        <v>774</v>
      </c>
      <c r="L24" s="2" t="s">
        <v>37</v>
      </c>
      <c r="M24" s="2">
        <v>39</v>
      </c>
      <c r="N24" s="2"/>
    </row>
    <row r="25" spans="1:14" x14ac:dyDescent="0.3">
      <c r="A25" s="2" t="s">
        <v>720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757</v>
      </c>
      <c r="H25" s="11">
        <v>0.1</v>
      </c>
      <c r="I25" s="2">
        <v>50</v>
      </c>
      <c r="J25" s="2" t="s">
        <v>773</v>
      </c>
      <c r="K25" s="2" t="s">
        <v>774</v>
      </c>
      <c r="L25" s="2" t="s">
        <v>37</v>
      </c>
      <c r="M25" s="2">
        <v>47</v>
      </c>
      <c r="N25" s="2"/>
    </row>
    <row r="26" spans="1:14" x14ac:dyDescent="0.3">
      <c r="A26" s="2" t="s">
        <v>721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758</v>
      </c>
      <c r="H26" s="11">
        <v>0.1</v>
      </c>
      <c r="I26" s="2">
        <v>50</v>
      </c>
      <c r="J26" s="2" t="s">
        <v>773</v>
      </c>
      <c r="K26" s="2" t="s">
        <v>774</v>
      </c>
      <c r="L26" s="2" t="s">
        <v>37</v>
      </c>
      <c r="M26" s="2">
        <v>56</v>
      </c>
      <c r="N26" s="2"/>
    </row>
    <row r="27" spans="1:14" x14ac:dyDescent="0.3">
      <c r="A27" s="2" t="s">
        <v>722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759</v>
      </c>
      <c r="H27" s="11">
        <v>0.1</v>
      </c>
      <c r="I27" s="2">
        <v>50</v>
      </c>
      <c r="J27" s="2" t="s">
        <v>773</v>
      </c>
      <c r="K27" s="2" t="s">
        <v>774</v>
      </c>
      <c r="L27" s="2" t="s">
        <v>37</v>
      </c>
      <c r="M27" s="2">
        <v>68</v>
      </c>
      <c r="N27" s="2"/>
    </row>
    <row r="28" spans="1:14" x14ac:dyDescent="0.3">
      <c r="A28" s="2" t="s">
        <v>723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760</v>
      </c>
      <c r="H28" s="11">
        <v>0.1</v>
      </c>
      <c r="I28" s="2">
        <v>50</v>
      </c>
      <c r="J28" s="2" t="s">
        <v>773</v>
      </c>
      <c r="K28" s="2" t="s">
        <v>774</v>
      </c>
      <c r="L28" s="2" t="s">
        <v>37</v>
      </c>
      <c r="M28" s="2">
        <v>82</v>
      </c>
      <c r="N28" s="2"/>
    </row>
    <row r="29" spans="1:14" x14ac:dyDescent="0.3">
      <c r="A29" s="2" t="s">
        <v>724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31</v>
      </c>
      <c r="H29" s="11">
        <v>0.1</v>
      </c>
      <c r="I29" s="2">
        <v>50</v>
      </c>
      <c r="J29" s="2" t="s">
        <v>773</v>
      </c>
      <c r="K29" s="2" t="s">
        <v>774</v>
      </c>
      <c r="L29" s="2" t="s">
        <v>37</v>
      </c>
      <c r="M29" s="2">
        <v>100</v>
      </c>
      <c r="N29" s="2"/>
    </row>
    <row r="30" spans="1:14" x14ac:dyDescent="0.3">
      <c r="A30" s="2" t="s">
        <v>725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761</v>
      </c>
      <c r="H30" s="11">
        <v>0.1</v>
      </c>
      <c r="I30" s="2">
        <v>50</v>
      </c>
      <c r="J30" s="2" t="s">
        <v>773</v>
      </c>
      <c r="K30" s="2" t="s">
        <v>774</v>
      </c>
      <c r="L30" s="2" t="s">
        <v>37</v>
      </c>
      <c r="M30" s="2">
        <v>120</v>
      </c>
      <c r="N30" s="2"/>
    </row>
    <row r="31" spans="1:14" x14ac:dyDescent="0.3">
      <c r="A31" s="2" t="s">
        <v>726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762</v>
      </c>
      <c r="H31" s="11">
        <v>0.1</v>
      </c>
      <c r="I31" s="2">
        <v>50</v>
      </c>
      <c r="J31" s="2" t="s">
        <v>773</v>
      </c>
      <c r="K31" s="2" t="s">
        <v>774</v>
      </c>
      <c r="L31" s="2" t="s">
        <v>37</v>
      </c>
      <c r="M31" s="2">
        <v>150</v>
      </c>
      <c r="N31" s="2"/>
    </row>
    <row r="32" spans="1:14" x14ac:dyDescent="0.3">
      <c r="A32" s="2" t="s">
        <v>727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763</v>
      </c>
      <c r="H32" s="11">
        <v>0.1</v>
      </c>
      <c r="I32" s="2">
        <v>50</v>
      </c>
      <c r="J32" s="2" t="s">
        <v>773</v>
      </c>
      <c r="K32" s="2" t="s">
        <v>774</v>
      </c>
      <c r="L32" s="2" t="s">
        <v>37</v>
      </c>
      <c r="M32" s="2">
        <v>180</v>
      </c>
      <c r="N32" s="2"/>
    </row>
    <row r="33" spans="1:14" x14ac:dyDescent="0.3">
      <c r="A33" s="2" t="s">
        <v>728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764</v>
      </c>
      <c r="H33" s="11">
        <v>0.1</v>
      </c>
      <c r="I33" s="2">
        <v>50</v>
      </c>
      <c r="J33" s="2" t="s">
        <v>773</v>
      </c>
      <c r="K33" s="2" t="s">
        <v>774</v>
      </c>
      <c r="L33" s="2" t="s">
        <v>37</v>
      </c>
      <c r="M33" s="2">
        <v>220</v>
      </c>
      <c r="N33" s="2"/>
    </row>
    <row r="34" spans="1:14" x14ac:dyDescent="0.3">
      <c r="A34" s="2" t="s">
        <v>729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765</v>
      </c>
      <c r="H34" s="11">
        <v>0.1</v>
      </c>
      <c r="I34" s="2">
        <v>50</v>
      </c>
      <c r="J34" s="2" t="s">
        <v>773</v>
      </c>
      <c r="K34" s="2" t="s">
        <v>774</v>
      </c>
      <c r="L34" s="2" t="s">
        <v>37</v>
      </c>
      <c r="M34" s="2">
        <v>270</v>
      </c>
      <c r="N34" s="2"/>
    </row>
    <row r="35" spans="1:14" x14ac:dyDescent="0.3">
      <c r="A35" s="2" t="s">
        <v>730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766</v>
      </c>
      <c r="H35" s="11">
        <v>0.1</v>
      </c>
      <c r="I35" s="2">
        <v>50</v>
      </c>
      <c r="J35" s="2" t="s">
        <v>773</v>
      </c>
      <c r="K35" s="2" t="s">
        <v>774</v>
      </c>
      <c r="L35" s="2" t="s">
        <v>37</v>
      </c>
      <c r="M35" s="2">
        <v>330</v>
      </c>
      <c r="N35" s="2"/>
    </row>
    <row r="36" spans="1:14" x14ac:dyDescent="0.3">
      <c r="A36" s="2" t="s">
        <v>731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767</v>
      </c>
      <c r="H36" s="11">
        <v>0.1</v>
      </c>
      <c r="I36" s="2">
        <v>50</v>
      </c>
      <c r="J36" s="2" t="s">
        <v>773</v>
      </c>
      <c r="K36" s="2" t="s">
        <v>774</v>
      </c>
      <c r="L36" s="2" t="s">
        <v>37</v>
      </c>
      <c r="M36" s="2">
        <v>390</v>
      </c>
      <c r="N36" s="2"/>
    </row>
    <row r="37" spans="1:14" x14ac:dyDescent="0.3">
      <c r="A37" s="2" t="s">
        <v>732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768</v>
      </c>
      <c r="H37" s="11">
        <v>0.1</v>
      </c>
      <c r="I37" s="2">
        <v>50</v>
      </c>
      <c r="J37" s="2" t="s">
        <v>773</v>
      </c>
      <c r="K37" s="2" t="s">
        <v>774</v>
      </c>
      <c r="L37" s="2" t="s">
        <v>37</v>
      </c>
      <c r="M37" s="2">
        <v>470</v>
      </c>
      <c r="N37" s="2"/>
    </row>
    <row r="38" spans="1:14" x14ac:dyDescent="0.3">
      <c r="A38" s="2" t="s">
        <v>733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769</v>
      </c>
      <c r="H38" s="11">
        <v>0.1</v>
      </c>
      <c r="I38" s="2">
        <v>50</v>
      </c>
      <c r="J38" s="2" t="s">
        <v>773</v>
      </c>
      <c r="K38" s="2" t="s">
        <v>774</v>
      </c>
      <c r="L38" s="2" t="s">
        <v>37</v>
      </c>
      <c r="M38" s="2">
        <v>560</v>
      </c>
      <c r="N38" s="2"/>
    </row>
    <row r="39" spans="1:14" x14ac:dyDescent="0.3">
      <c r="A39" s="2" t="s">
        <v>734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770</v>
      </c>
      <c r="H39" s="11">
        <v>0.1</v>
      </c>
      <c r="I39" s="2">
        <v>50</v>
      </c>
      <c r="J39" s="2" t="s">
        <v>773</v>
      </c>
      <c r="K39" s="2" t="s">
        <v>774</v>
      </c>
      <c r="L39" s="2" t="s">
        <v>37</v>
      </c>
      <c r="M39" s="2">
        <v>680</v>
      </c>
      <c r="N39" s="2"/>
    </row>
    <row r="40" spans="1:14" x14ac:dyDescent="0.3">
      <c r="A40" s="2" t="s">
        <v>735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771</v>
      </c>
      <c r="H40" s="11">
        <v>0.1</v>
      </c>
      <c r="I40" s="2">
        <v>50</v>
      </c>
      <c r="J40" s="2" t="s">
        <v>773</v>
      </c>
      <c r="K40" s="2" t="s">
        <v>774</v>
      </c>
      <c r="L40" s="2" t="s">
        <v>37</v>
      </c>
      <c r="M40" s="2">
        <v>820</v>
      </c>
      <c r="N40" s="2"/>
    </row>
    <row r="41" spans="1:14" x14ac:dyDescent="0.3">
      <c r="A41" s="2" t="s">
        <v>736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772</v>
      </c>
      <c r="H41" s="11">
        <v>0.1</v>
      </c>
      <c r="I41" s="2">
        <v>50</v>
      </c>
      <c r="J41" s="2" t="s">
        <v>773</v>
      </c>
      <c r="K41" s="2" t="s">
        <v>774</v>
      </c>
      <c r="L41" s="2" t="s">
        <v>37</v>
      </c>
      <c r="M41" s="2">
        <v>1000</v>
      </c>
      <c r="N41" s="2"/>
    </row>
    <row r="42" spans="1:14" x14ac:dyDescent="0.3">
      <c r="A42" s="2" t="s">
        <v>1303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804</v>
      </c>
      <c r="H42" s="11">
        <v>0.1</v>
      </c>
      <c r="I42" s="2">
        <v>50</v>
      </c>
      <c r="J42" s="2" t="s">
        <v>773</v>
      </c>
      <c r="K42" s="2" t="s">
        <v>856</v>
      </c>
      <c r="L42" s="2" t="s">
        <v>857</v>
      </c>
      <c r="M42" s="2" t="s">
        <v>1304</v>
      </c>
      <c r="N42" s="2"/>
    </row>
    <row r="43" spans="1:14" x14ac:dyDescent="0.3">
      <c r="A43" s="2" t="s">
        <v>883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41</v>
      </c>
      <c r="H43" s="11">
        <v>0.1</v>
      </c>
      <c r="I43" s="2">
        <v>50</v>
      </c>
      <c r="J43" s="2" t="s">
        <v>773</v>
      </c>
      <c r="K43" s="2" t="s">
        <v>856</v>
      </c>
      <c r="L43" s="2" t="s">
        <v>857</v>
      </c>
      <c r="M43" s="2">
        <v>4700</v>
      </c>
      <c r="N43" s="2"/>
    </row>
    <row r="44" spans="1:14" x14ac:dyDescent="0.3">
      <c r="A44" s="2" t="s">
        <v>885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807</v>
      </c>
      <c r="H44" s="11">
        <v>0.1</v>
      </c>
      <c r="I44" s="2">
        <v>35</v>
      </c>
      <c r="J44" s="2" t="s">
        <v>773</v>
      </c>
      <c r="K44" s="2" t="s">
        <v>858</v>
      </c>
      <c r="L44" s="2" t="s">
        <v>859</v>
      </c>
      <c r="M44" s="2">
        <v>10000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809</v>
      </c>
      <c r="H45" s="11">
        <v>0.1</v>
      </c>
      <c r="I45" s="2">
        <v>25</v>
      </c>
      <c r="J45" s="2" t="s">
        <v>773</v>
      </c>
      <c r="K45" s="2" t="s">
        <v>858</v>
      </c>
      <c r="L45" s="2" t="s">
        <v>859</v>
      </c>
      <c r="M45" s="2">
        <v>22000</v>
      </c>
      <c r="N45" s="2"/>
    </row>
    <row r="46" spans="1:14" x14ac:dyDescent="0.3">
      <c r="A46" s="2" t="s">
        <v>1132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31</v>
      </c>
      <c r="H46" s="11">
        <v>0.1</v>
      </c>
      <c r="I46" s="2">
        <v>1000</v>
      </c>
      <c r="J46" s="2" t="s">
        <v>773</v>
      </c>
      <c r="K46" s="2" t="s">
        <v>1130</v>
      </c>
      <c r="L46" s="2" t="s">
        <v>1131</v>
      </c>
      <c r="M46" s="2">
        <v>100</v>
      </c>
      <c r="N46" s="2"/>
    </row>
    <row r="47" spans="1:14" x14ac:dyDescent="0.3">
      <c r="A47" s="2"/>
      <c r="B47" s="2"/>
      <c r="C47" s="2"/>
      <c r="D47" s="2"/>
      <c r="E47" s="2"/>
      <c r="F47" s="2"/>
      <c r="G47" s="2"/>
      <c r="H47" s="11"/>
      <c r="I47" s="2"/>
      <c r="J47" s="2"/>
      <c r="K47" s="2"/>
      <c r="L47" s="2"/>
      <c r="M47" s="2"/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topLeftCell="A7" zoomScale="85" zoomScaleNormal="85" workbookViewId="0">
      <selection activeCell="A26" sqref="A26:O27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3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3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3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3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3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3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3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3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3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3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3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3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3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3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3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3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3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3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3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3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3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3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3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3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  <row r="26" spans="1:14" x14ac:dyDescent="0.3">
      <c r="A26" t="s">
        <v>1331</v>
      </c>
      <c r="B26" t="s">
        <v>918</v>
      </c>
      <c r="C26" t="s">
        <v>27</v>
      </c>
      <c r="D26" t="s">
        <v>802</v>
      </c>
      <c r="E26" t="s">
        <v>39</v>
      </c>
      <c r="F26" t="s">
        <v>816</v>
      </c>
      <c r="G26">
        <v>20</v>
      </c>
      <c r="H26">
        <v>35</v>
      </c>
      <c r="I26" t="s">
        <v>1079</v>
      </c>
      <c r="J26" t="s">
        <v>1332</v>
      </c>
      <c r="K26" t="s">
        <v>1333</v>
      </c>
      <c r="L26">
        <v>330</v>
      </c>
    </row>
    <row r="27" spans="1:14" x14ac:dyDescent="0.3">
      <c r="A27" t="s">
        <v>1334</v>
      </c>
      <c r="B27" t="s">
        <v>1335</v>
      </c>
      <c r="C27" t="s">
        <v>27</v>
      </c>
      <c r="D27" t="s">
        <v>802</v>
      </c>
      <c r="E27" t="s">
        <v>39</v>
      </c>
      <c r="F27" t="s">
        <v>813</v>
      </c>
      <c r="G27">
        <v>20</v>
      </c>
      <c r="H27">
        <v>35</v>
      </c>
      <c r="I27" t="s">
        <v>1079</v>
      </c>
      <c r="J27" t="s">
        <v>1336</v>
      </c>
      <c r="K27" t="s">
        <v>1337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7"/>
  <sheetViews>
    <sheetView zoomScaleNormal="100" workbookViewId="0">
      <selection activeCell="B22" sqref="B22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836</v>
      </c>
      <c r="O1" s="1" t="s">
        <v>84</v>
      </c>
      <c r="P1" s="1" t="s">
        <v>25</v>
      </c>
      <c r="Q1" s="1" t="s">
        <v>1140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1046</v>
      </c>
      <c r="P7" t="str">
        <f t="shared" si="2"/>
        <v>22 мк</v>
      </c>
    </row>
    <row r="8" spans="1:17" x14ac:dyDescent="0.3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1090</v>
      </c>
    </row>
    <row r="12" spans="1:17" x14ac:dyDescent="0.3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1280</v>
      </c>
      <c r="B15" t="s">
        <v>1281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1312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808</v>
      </c>
    </row>
    <row r="16" spans="1:17" x14ac:dyDescent="0.3">
      <c r="A16" t="s">
        <v>1338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1051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772</v>
      </c>
    </row>
    <row r="17" spans="1:16" x14ac:dyDescent="0.3">
      <c r="A17" t="s">
        <v>1339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7"/>
      <c r="O1" s="1"/>
      <c r="P1" s="1"/>
      <c r="Q1" s="1"/>
    </row>
    <row r="2" spans="1:17" ht="15.6" x14ac:dyDescent="0.3">
      <c r="A2" s="22" t="s">
        <v>1114</v>
      </c>
      <c r="B2" s="23" t="s">
        <v>1115</v>
      </c>
      <c r="C2" s="21" t="str">
        <f>A2</f>
        <v>TS820-600B-TR</v>
      </c>
      <c r="D2" s="23" t="s">
        <v>1117</v>
      </c>
      <c r="E2" s="23" t="s">
        <v>1116</v>
      </c>
      <c r="F2" s="21" t="str">
        <f t="shared" ref="F2" si="0">CONCATENATE("Footprints\",G2,".PcbLib")</f>
        <v>Footprints\DPAK.PcbLib</v>
      </c>
      <c r="G2" s="23" t="s">
        <v>6</v>
      </c>
      <c r="H2" s="21"/>
      <c r="I2" s="21"/>
      <c r="J2" s="21" t="s">
        <v>1118</v>
      </c>
      <c r="K2" s="28" t="s">
        <v>1120</v>
      </c>
      <c r="L2" s="28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3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3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3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3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3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4" t="s">
        <v>1173</v>
      </c>
    </row>
    <row r="14" spans="1:20" x14ac:dyDescent="0.3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3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3">
      <c r="A16" t="s">
        <v>1227</v>
      </c>
      <c r="B16" t="s">
        <v>1228</v>
      </c>
      <c r="C16" t="s">
        <v>1229</v>
      </c>
      <c r="D16" t="str">
        <f t="shared" ref="D16" si="6">CONCATENATE("Schematic\",A16,".SchLib")</f>
        <v>Schematic\4WayDIP.SchLib</v>
      </c>
      <c r="E16" t="s">
        <v>1230</v>
      </c>
      <c r="F16" t="s">
        <v>1231</v>
      </c>
      <c r="G16" t="s">
        <v>1232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9"/>
  <sheetViews>
    <sheetView topLeftCell="A31" zoomScale="115" zoomScaleNormal="115" workbookViewId="0">
      <selection activeCell="D51" sqref="D51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44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3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3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3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3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3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3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3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3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3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3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3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3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3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3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3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3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3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3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3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3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3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3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3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3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3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3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3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3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3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3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3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3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3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3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3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3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3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3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3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3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3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3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3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  <row r="47" spans="1:11" x14ac:dyDescent="0.3">
      <c r="A47" t="s">
        <v>1340</v>
      </c>
      <c r="B47" t="s">
        <v>1341</v>
      </c>
      <c r="C47" s="2" t="s">
        <v>1340</v>
      </c>
      <c r="D47" t="s">
        <v>356</v>
      </c>
      <c r="E47" s="2" t="s">
        <v>119</v>
      </c>
      <c r="F47" t="s">
        <v>1342</v>
      </c>
      <c r="G47" t="s">
        <v>1340</v>
      </c>
      <c r="K47" t="s">
        <v>1165</v>
      </c>
    </row>
    <row r="48" spans="1:11" x14ac:dyDescent="0.3">
      <c r="A48" t="s">
        <v>1343</v>
      </c>
      <c r="B48" t="s">
        <v>1344</v>
      </c>
      <c r="C48" s="2" t="s">
        <v>1343</v>
      </c>
      <c r="D48" t="s">
        <v>834</v>
      </c>
      <c r="E48" s="2" t="s">
        <v>832</v>
      </c>
      <c r="F48" t="s">
        <v>1345</v>
      </c>
      <c r="G48" t="s">
        <v>1343</v>
      </c>
      <c r="K48" t="s">
        <v>1165</v>
      </c>
    </row>
    <row r="49" spans="1:11" x14ac:dyDescent="0.3">
      <c r="A49" t="s">
        <v>1346</v>
      </c>
      <c r="B49" t="s">
        <v>1347</v>
      </c>
      <c r="C49" s="2" t="s">
        <v>1346</v>
      </c>
      <c r="D49" t="s">
        <v>1348</v>
      </c>
      <c r="E49" s="2" t="s">
        <v>1349</v>
      </c>
      <c r="F49" t="s">
        <v>1350</v>
      </c>
      <c r="G49" t="s">
        <v>1346</v>
      </c>
      <c r="K49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2025-08-10T14:32:16Z</dcterms:modified>
</cp:coreProperties>
</file>