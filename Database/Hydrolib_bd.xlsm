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filterPrivacy="1" codeName="ЭтаКнига"/>
  <xr:revisionPtr revIDLastSave="0" documentId="13_ncr:1_{BFEC23DA-79B0-4027-B38E-9E04946C84B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B8" i="9" l="1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H6" i="5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<sst xmlns="http://schemas.openxmlformats.org/spreadsheetml/2006/main" count="2586" uniqueCount="1041">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</sst>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31" tableType="xml" totalsRowShown="0" headerRowDxfId="92" connectionId="6">
  <autoFilter ref="A1:I31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8" tableType="xml" totalsRowShown="0" connectionId="13">
  <autoFilter ref="A1:I8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zoomScaleNormal="100" workbookViewId="0">
      <selection activeCell="B33" sqref="B33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140625" bestFit="1" customWidth="1"/>
    <col min="10" max="10" width="16.42578125" customWidth="1"/>
    <col min="11" max="11" width="14.5703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981</v>
      </c>
      <c r="I8" t="s">
        <v>980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2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2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2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2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7" x14ac:dyDescent="0.2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2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7" x14ac:dyDescent="0.2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7" x14ac:dyDescent="0.2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7" x14ac:dyDescent="0.2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7" x14ac:dyDescent="0.2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7" x14ac:dyDescent="0.2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7" x14ac:dyDescent="0.2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7" x14ac:dyDescent="0.2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7" x14ac:dyDescent="0.2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7" x14ac:dyDescent="0.2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25">
      <c r="A28" t="s">
        <v>976</v>
      </c>
      <c r="B28" t="s">
        <v>977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979</v>
      </c>
      <c r="G28" t="s">
        <v>978</v>
      </c>
    </row>
    <row r="29" spans="1:7" x14ac:dyDescent="0.25">
      <c r="A29" t="s">
        <v>1032</v>
      </c>
      <c r="B29" t="s">
        <v>1033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1032</v>
      </c>
    </row>
    <row r="30" spans="1:7" x14ac:dyDescent="0.25">
      <c r="A30" t="s">
        <v>1034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1034</v>
      </c>
    </row>
    <row r="31" spans="1:7" x14ac:dyDescent="0.25">
      <c r="A31" t="s">
        <v>1035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1036</v>
      </c>
    </row>
    <row r="32" spans="1:7" x14ac:dyDescent="0.25">
      <c r="C32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8"/>
  <sheetViews>
    <sheetView tabSelected="1" workbookViewId="0">
      <selection activeCell="F8" sqref="F8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28515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</cols>
  <sheetData>
    <row r="1" spans="1:9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2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2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2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2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25">
      <c r="A7" t="s">
        <v>961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962</v>
      </c>
    </row>
    <row r="8" spans="1:9" x14ac:dyDescent="0.25">
      <c r="A8" t="s">
        <v>1037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1040</v>
      </c>
      <c r="E8" t="s">
        <v>1037</v>
      </c>
      <c r="F8" t="str">
        <f>CONCATENATE("Footprints\",G8,".PcbLib")</f>
        <v>Footprints\SOT23.PcbLib</v>
      </c>
      <c r="G8" t="s">
        <v>1038</v>
      </c>
      <c r="H8">
        <v>70</v>
      </c>
      <c r="I8" s="2" t="s">
        <v>1039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2.95" customHeight="1" x14ac:dyDescent="0.2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2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25">
      <c r="H4" s="2"/>
      <c r="I4" s="2"/>
      <c r="J4" s="2"/>
      <c r="K4" s="2"/>
    </row>
    <row r="5" spans="1:11" x14ac:dyDescent="0.25">
      <c r="H5" s="2"/>
      <c r="I5" s="2"/>
      <c r="J5" s="2"/>
      <c r="K5" s="2"/>
    </row>
    <row r="6" spans="1:11" x14ac:dyDescent="0.25">
      <c r="H6" s="2"/>
      <c r="I6" s="2"/>
      <c r="J6" s="2"/>
      <c r="K6" s="2"/>
    </row>
    <row r="7" spans="1:11" x14ac:dyDescent="0.25">
      <c r="H7" s="2"/>
      <c r="I7" s="2"/>
      <c r="J7" s="2"/>
      <c r="K7" s="2"/>
    </row>
    <row r="8" spans="1:11" x14ac:dyDescent="0.25">
      <c r="H8" s="2"/>
      <c r="I8" s="2"/>
      <c r="J8" s="2"/>
      <c r="K8" s="2"/>
    </row>
    <row r="9" spans="1:11" x14ac:dyDescent="0.25">
      <c r="H9" s="2"/>
      <c r="I9" s="2"/>
      <c r="J9" s="2"/>
      <c r="K9" s="2"/>
    </row>
    <row r="10" spans="1:11" x14ac:dyDescent="0.25">
      <c r="H10" s="2"/>
      <c r="I10" s="2"/>
      <c r="J10" s="2"/>
      <c r="K10" s="2"/>
    </row>
    <row r="11" spans="1:11" x14ac:dyDescent="0.25">
      <c r="H11" s="2"/>
      <c r="I11" s="2"/>
      <c r="J11" s="2"/>
      <c r="K11" s="2"/>
    </row>
    <row r="12" spans="1:11" x14ac:dyDescent="0.25">
      <c r="H12" s="2"/>
      <c r="I12" s="2"/>
      <c r="J12" s="2"/>
      <c r="K12" s="2"/>
    </row>
    <row r="13" spans="1:11" x14ac:dyDescent="0.25">
      <c r="H13" s="2"/>
      <c r="I13" s="2"/>
      <c r="J13" s="2"/>
      <c r="K13" s="2"/>
    </row>
    <row r="14" spans="1:11" x14ac:dyDescent="0.25">
      <c r="H14" s="2"/>
      <c r="I14" s="2"/>
      <c r="J14" s="2"/>
      <c r="K14" s="2"/>
    </row>
    <row r="15" spans="1:11" x14ac:dyDescent="0.25">
      <c r="H15" s="2"/>
      <c r="I15" s="2"/>
      <c r="J15" s="2"/>
      <c r="K15" s="2"/>
    </row>
    <row r="16" spans="1:11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5" x14ac:dyDescent="0.25"/>
  <cols>
    <col min="1" max="1" width="20.42578125" customWidth="1"/>
    <col min="2" max="2" width="24.8554687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2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2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2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2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75" x14ac:dyDescent="0.2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75" x14ac:dyDescent="0.25">
      <c r="A10" s="1" t="s">
        <v>972</v>
      </c>
      <c r="B10" s="1" t="s">
        <v>975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973</v>
      </c>
      <c r="K10" t="s">
        <v>974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31.140625" customWidth="1"/>
    <col min="11" max="11" width="18.140625" customWidth="1"/>
    <col min="12" max="12" width="16.8554687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75" x14ac:dyDescent="0.2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75" x14ac:dyDescent="0.2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75" x14ac:dyDescent="0.2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75" x14ac:dyDescent="0.2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75" x14ac:dyDescent="0.2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75" x14ac:dyDescent="0.2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75" x14ac:dyDescent="0.2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75" x14ac:dyDescent="0.2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75" x14ac:dyDescent="0.2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75" x14ac:dyDescent="0.2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75" x14ac:dyDescent="0.2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75" x14ac:dyDescent="0.2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75" x14ac:dyDescent="0.2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75" x14ac:dyDescent="0.2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75" x14ac:dyDescent="0.2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75" x14ac:dyDescent="0.2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75" x14ac:dyDescent="0.2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75" x14ac:dyDescent="0.2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75" x14ac:dyDescent="0.2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75" x14ac:dyDescent="0.2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75" x14ac:dyDescent="0.2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75" x14ac:dyDescent="0.2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75" x14ac:dyDescent="0.2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75" x14ac:dyDescent="0.2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75" x14ac:dyDescent="0.2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75" x14ac:dyDescent="0.2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75" x14ac:dyDescent="0.2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75" x14ac:dyDescent="0.2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75" x14ac:dyDescent="0.2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75" x14ac:dyDescent="0.2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75" x14ac:dyDescent="0.2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75" x14ac:dyDescent="0.2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75" x14ac:dyDescent="0.2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75" x14ac:dyDescent="0.2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75" x14ac:dyDescent="0.2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75" x14ac:dyDescent="0.2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75" x14ac:dyDescent="0.2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75" x14ac:dyDescent="0.2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75" x14ac:dyDescent="0.2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75" x14ac:dyDescent="0.2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75" x14ac:dyDescent="0.2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75" x14ac:dyDescent="0.2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75" x14ac:dyDescent="0.2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75" x14ac:dyDescent="0.2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75" x14ac:dyDescent="0.2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75" x14ac:dyDescent="0.2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75" x14ac:dyDescent="0.2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75" x14ac:dyDescent="0.2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75" x14ac:dyDescent="0.2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75" x14ac:dyDescent="0.2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75" x14ac:dyDescent="0.2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75" x14ac:dyDescent="0.2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75" x14ac:dyDescent="0.2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75" x14ac:dyDescent="0.2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75" x14ac:dyDescent="0.2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75" x14ac:dyDescent="0.2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75" x14ac:dyDescent="0.2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75" x14ac:dyDescent="0.2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75" x14ac:dyDescent="0.2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75" x14ac:dyDescent="0.2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75" x14ac:dyDescent="0.2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75" x14ac:dyDescent="0.2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75" x14ac:dyDescent="0.2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75" x14ac:dyDescent="0.2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75" x14ac:dyDescent="0.2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75" x14ac:dyDescent="0.2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75" x14ac:dyDescent="0.2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75" x14ac:dyDescent="0.2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75" x14ac:dyDescent="0.2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75" x14ac:dyDescent="0.2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75" x14ac:dyDescent="0.2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75" x14ac:dyDescent="0.2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75" x14ac:dyDescent="0.2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75" x14ac:dyDescent="0.2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75" x14ac:dyDescent="0.2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75" x14ac:dyDescent="0.2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75" x14ac:dyDescent="0.2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75" x14ac:dyDescent="0.2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75" x14ac:dyDescent="0.2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75" x14ac:dyDescent="0.2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75" x14ac:dyDescent="0.2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75" x14ac:dyDescent="0.2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75" x14ac:dyDescent="0.2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75" x14ac:dyDescent="0.2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75" x14ac:dyDescent="0.2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75" x14ac:dyDescent="0.2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75" x14ac:dyDescent="0.2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75" x14ac:dyDescent="0.2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75" x14ac:dyDescent="0.2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75" x14ac:dyDescent="0.2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75" x14ac:dyDescent="0.2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75" x14ac:dyDescent="0.2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75" x14ac:dyDescent="0.2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75" x14ac:dyDescent="0.2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75" x14ac:dyDescent="0.2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75" x14ac:dyDescent="0.2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75" x14ac:dyDescent="0.2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75" x14ac:dyDescent="0.2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75" x14ac:dyDescent="0.2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75" x14ac:dyDescent="0.2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75" x14ac:dyDescent="0.2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75" x14ac:dyDescent="0.2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75" x14ac:dyDescent="0.2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75" x14ac:dyDescent="0.2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75" x14ac:dyDescent="0.2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75" x14ac:dyDescent="0.2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75" x14ac:dyDescent="0.2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75" x14ac:dyDescent="0.2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75" x14ac:dyDescent="0.2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75" x14ac:dyDescent="0.2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75" x14ac:dyDescent="0.2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75" x14ac:dyDescent="0.2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75" x14ac:dyDescent="0.2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75" x14ac:dyDescent="0.2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75" x14ac:dyDescent="0.2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75" x14ac:dyDescent="0.2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75" x14ac:dyDescent="0.2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75" x14ac:dyDescent="0.2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75" x14ac:dyDescent="0.2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75" x14ac:dyDescent="0.2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75" x14ac:dyDescent="0.2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75" x14ac:dyDescent="0.2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75" x14ac:dyDescent="0.2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75" x14ac:dyDescent="0.2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75" x14ac:dyDescent="0.2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75" x14ac:dyDescent="0.2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75" x14ac:dyDescent="0.2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75" x14ac:dyDescent="0.2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75" x14ac:dyDescent="0.2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75" x14ac:dyDescent="0.2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75" x14ac:dyDescent="0.2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75" x14ac:dyDescent="0.2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75" x14ac:dyDescent="0.2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75" x14ac:dyDescent="0.2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75" x14ac:dyDescent="0.2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75" x14ac:dyDescent="0.2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75" x14ac:dyDescent="0.2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75" x14ac:dyDescent="0.2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75" x14ac:dyDescent="0.2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75" x14ac:dyDescent="0.2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75" x14ac:dyDescent="0.2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75" x14ac:dyDescent="0.2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75" x14ac:dyDescent="0.2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75" x14ac:dyDescent="0.2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75" x14ac:dyDescent="0.2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75" x14ac:dyDescent="0.2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75" x14ac:dyDescent="0.2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75" x14ac:dyDescent="0.2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75" x14ac:dyDescent="0.2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75" x14ac:dyDescent="0.2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75" x14ac:dyDescent="0.2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75" x14ac:dyDescent="0.2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75" x14ac:dyDescent="0.2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75" x14ac:dyDescent="0.2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75" x14ac:dyDescent="0.2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75" x14ac:dyDescent="0.2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75" x14ac:dyDescent="0.2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75" x14ac:dyDescent="0.2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75" x14ac:dyDescent="0.2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75" x14ac:dyDescent="0.2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75" x14ac:dyDescent="0.2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75" x14ac:dyDescent="0.2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75" x14ac:dyDescent="0.2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75" x14ac:dyDescent="0.2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75" x14ac:dyDescent="0.2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75" x14ac:dyDescent="0.2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75" x14ac:dyDescent="0.2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75" x14ac:dyDescent="0.2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75" x14ac:dyDescent="0.2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75" x14ac:dyDescent="0.2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75" x14ac:dyDescent="0.2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75" x14ac:dyDescent="0.25">
      <c r="A173" s="15" t="s">
        <v>963</v>
      </c>
      <c r="B173" s="1" t="s">
        <v>964</v>
      </c>
      <c r="C173" s="1" t="s">
        <v>963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75" x14ac:dyDescent="0.25">
      <c r="A174" s="15" t="s">
        <v>967</v>
      </c>
      <c r="B174" s="1" t="s">
        <v>968</v>
      </c>
      <c r="C174" s="1" t="s">
        <v>967</v>
      </c>
      <c r="D174" s="3" t="s">
        <v>897</v>
      </c>
      <c r="E174" s="1" t="s">
        <v>896</v>
      </c>
      <c r="F174" s="1" t="s">
        <v>969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75" x14ac:dyDescent="0.2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12.140625" bestFit="1" customWidth="1"/>
    <col min="4" max="4" width="23.85546875" bestFit="1" customWidth="1"/>
    <col min="5" max="5" width="13" bestFit="1" customWidth="1"/>
    <col min="6" max="6" width="8.140625" bestFit="1" customWidth="1"/>
    <col min="7" max="7" width="12.140625" bestFit="1" customWidth="1"/>
    <col min="8" max="8" width="13" bestFit="1" customWidth="1"/>
    <col min="9" max="9" width="11.5703125" bestFit="1" customWidth="1"/>
    <col min="10" max="10" width="31.140625" bestFit="1" customWidth="1"/>
    <col min="11" max="11" width="16.85546875" bestFit="1" customWidth="1"/>
    <col min="12" max="12" width="14.85546875" bestFit="1" customWidth="1"/>
  </cols>
  <sheetData>
    <row r="1" spans="1:12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2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2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2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2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2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2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2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2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2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2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2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2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2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2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2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2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2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2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2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2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2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2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2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2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2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2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2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2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2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2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2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2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2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2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2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2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2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2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2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2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2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2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2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2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2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2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2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2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2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2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2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2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2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2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2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2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2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2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2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2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970</v>
      </c>
      <c r="N21" t="s">
        <v>971</v>
      </c>
    </row>
    <row r="22" spans="1:14" x14ac:dyDescent="0.2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14.140625" customWidth="1"/>
    <col min="5" max="5" width="12.85546875" customWidth="1"/>
    <col min="6" max="6" width="17.8554687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bestFit="1" customWidth="1"/>
    <col min="15" max="15" width="13.5703125" bestFit="1" customWidth="1"/>
    <col min="16" max="16" width="8.5703125" bestFit="1" customWidth="1"/>
  </cols>
  <sheetData>
    <row r="1" spans="1:16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2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2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2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>
        <v>4.7</v>
      </c>
      <c r="O5">
        <v>5.5</v>
      </c>
      <c r="P5" t="str">
        <f>CONCATENATE(N5, " мк")</f>
        <v>4,7 мк</v>
      </c>
    </row>
    <row r="6" spans="1:16" x14ac:dyDescent="0.2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>
        <v>22</v>
      </c>
      <c r="O6">
        <v>5</v>
      </c>
      <c r="P6" t="str">
        <f>CONCATENATE(N6, " мк")</f>
        <v>22 мк</v>
      </c>
    </row>
    <row r="7" spans="1:16" x14ac:dyDescent="0.25">
      <c r="A7" t="s">
        <v>957</v>
      </c>
      <c r="B7" t="s">
        <v>958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959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960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G18" sqref="G18"/>
    </sheetView>
  </sheetViews>
  <sheetFormatPr defaultRowHeight="15" x14ac:dyDescent="0.25"/>
  <cols>
    <col min="1" max="1" width="14.85546875" customWidth="1"/>
    <col min="2" max="2" width="15.85546875" customWidth="1"/>
    <col min="3" max="3" width="12.5703125" customWidth="1"/>
    <col min="4" max="4" width="14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2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2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2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2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1007</v>
      </c>
    </row>
    <row r="7" spans="1:20" x14ac:dyDescent="0.25">
      <c r="A7" t="s">
        <v>882</v>
      </c>
      <c r="B7" t="s">
        <v>883</v>
      </c>
      <c r="C7" t="str">
        <f t="shared" ref="C7" si="1">A7</f>
        <v>CBM432AST23</v>
      </c>
      <c r="D7" t="str">
        <f>CONCATENATE("Schematic\precision_shunt_regulator",".SchLib")</f>
        <v>Schematic\precision_shunt_regulator.SchLib</v>
      </c>
      <c r="E7" t="s">
        <v>884</v>
      </c>
      <c r="F7" t="str">
        <f t="shared" si="0"/>
        <v>Footprints\SOT23-3.PcbLib</v>
      </c>
      <c r="G7" t="s">
        <v>18</v>
      </c>
    </row>
    <row r="8" spans="1:20" x14ac:dyDescent="0.25">
      <c r="A8" t="s">
        <v>906</v>
      </c>
      <c r="B8" t="s">
        <v>905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884</v>
      </c>
      <c r="F8" t="str">
        <f t="shared" si="0"/>
        <v>Footprints\SOT23-3.PcbLib</v>
      </c>
      <c r="G8" t="s">
        <v>18</v>
      </c>
    </row>
    <row r="9" spans="1:20" x14ac:dyDescent="0.25">
      <c r="A9" t="s">
        <v>918</v>
      </c>
      <c r="B9" t="s">
        <v>916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917</v>
      </c>
      <c r="F9" t="str">
        <f t="shared" si="0"/>
        <v>Footprints\fuse_20x5_on_clips_FC-M.PcbLib</v>
      </c>
      <c r="G9" t="s">
        <v>915</v>
      </c>
    </row>
    <row r="10" spans="1:20" x14ac:dyDescent="0.25">
      <c r="A10" t="s">
        <v>965</v>
      </c>
      <c r="B10" t="s">
        <v>966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 t="shared" si="0"/>
        <v>Footprints\DHT22.PcbLib</v>
      </c>
      <c r="G10" t="s">
        <v>965</v>
      </c>
    </row>
    <row r="11" spans="1:20" x14ac:dyDescent="0.25">
      <c r="A11" t="s">
        <v>996</v>
      </c>
      <c r="B11" t="s">
        <v>997</v>
      </c>
      <c r="C11" t="str">
        <f>A11</f>
        <v>cooler4040</v>
      </c>
      <c r="D11" t="str">
        <f>CONCATENATE("Schematic\",A11,".SchLib")</f>
        <v>Schematic\cooler4040.SchLib</v>
      </c>
      <c r="E11" t="str">
        <f>A11</f>
        <v>cooler4040</v>
      </c>
      <c r="F11" t="str">
        <f t="shared" si="0"/>
        <v>Footprints\cooler4040.PcbLib</v>
      </c>
      <c r="G11" t="s">
        <v>996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5" x14ac:dyDescent="0.25"/>
  <cols>
    <col min="1" max="1" width="14.85546875" customWidth="1"/>
    <col min="2" max="2" width="13.5703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</cols>
  <sheetData>
    <row r="1" spans="1: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2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2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2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2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2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25">
      <c r="A7" t="s">
        <v>1030</v>
      </c>
      <c r="B7" t="s">
        <v>120</v>
      </c>
      <c r="C7" s="2" t="s">
        <v>1030</v>
      </c>
      <c r="D7" t="s">
        <v>837</v>
      </c>
      <c r="E7" s="2" t="s">
        <v>835</v>
      </c>
      <c r="F7" t="s">
        <v>1031</v>
      </c>
      <c r="G7" t="s">
        <v>1030</v>
      </c>
    </row>
    <row r="8" spans="1:9" x14ac:dyDescent="0.2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25">
      <c r="A9" t="s">
        <v>337</v>
      </c>
      <c r="B9" t="s">
        <v>834</v>
      </c>
      <c r="C9" s="2" t="s">
        <v>337</v>
      </c>
      <c r="D9" t="s">
        <v>1029</v>
      </c>
      <c r="E9" t="s">
        <v>1028</v>
      </c>
      <c r="F9" t="s">
        <v>363</v>
      </c>
      <c r="G9" t="s">
        <v>337</v>
      </c>
    </row>
    <row r="10" spans="1:9" x14ac:dyDescent="0.2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2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2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2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2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2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25">
      <c r="A16" t="s">
        <v>982</v>
      </c>
      <c r="B16" t="s">
        <v>990</v>
      </c>
      <c r="C16" s="2" t="s">
        <v>983</v>
      </c>
      <c r="D16" t="s">
        <v>984</v>
      </c>
      <c r="E16" t="s">
        <v>982</v>
      </c>
      <c r="F16" t="s">
        <v>985</v>
      </c>
      <c r="G16" t="s">
        <v>982</v>
      </c>
    </row>
    <row r="17" spans="1:7" x14ac:dyDescent="0.25">
      <c r="A17" t="s">
        <v>986</v>
      </c>
      <c r="B17" t="s">
        <v>989</v>
      </c>
      <c r="C17" s="2" t="s">
        <v>987</v>
      </c>
      <c r="D17" t="s">
        <v>988</v>
      </c>
      <c r="E17" t="s">
        <v>986</v>
      </c>
      <c r="F17" t="s">
        <v>991</v>
      </c>
      <c r="G17" t="s">
        <v>992</v>
      </c>
    </row>
    <row r="18" spans="1:7" x14ac:dyDescent="0.25">
      <c r="A18" t="s">
        <v>993</v>
      </c>
      <c r="B18" t="s">
        <v>994</v>
      </c>
      <c r="C18" s="2" t="s">
        <v>993</v>
      </c>
      <c r="D18" t="s">
        <v>350</v>
      </c>
      <c r="E18" t="s">
        <v>113</v>
      </c>
      <c r="F18" t="s">
        <v>995</v>
      </c>
      <c r="G18" t="s">
        <v>993</v>
      </c>
    </row>
    <row r="19" spans="1:7" x14ac:dyDescent="0.25">
      <c r="A19" t="s">
        <v>998</v>
      </c>
      <c r="B19" t="s">
        <v>1002</v>
      </c>
      <c r="C19" s="2" t="s">
        <v>999</v>
      </c>
      <c r="D19" t="s">
        <v>1000</v>
      </c>
      <c r="E19" t="s">
        <v>998</v>
      </c>
      <c r="F19" t="s">
        <v>1001</v>
      </c>
      <c r="G19" t="s">
        <v>998</v>
      </c>
    </row>
    <row r="20" spans="1:7" x14ac:dyDescent="0.25">
      <c r="A20" t="s">
        <v>1005</v>
      </c>
      <c r="B20" t="s">
        <v>989</v>
      </c>
      <c r="C20" s="2" t="s">
        <v>1006</v>
      </c>
      <c r="D20" t="s">
        <v>988</v>
      </c>
      <c r="E20" t="s">
        <v>986</v>
      </c>
      <c r="F20" t="s">
        <v>1004</v>
      </c>
      <c r="G20" t="s">
        <v>1003</v>
      </c>
    </row>
    <row r="21" spans="1:7" x14ac:dyDescent="0.25">
      <c r="A21" t="s">
        <v>1008</v>
      </c>
      <c r="B21" t="s">
        <v>1012</v>
      </c>
      <c r="C21" s="2" t="s">
        <v>1008</v>
      </c>
      <c r="D21" t="s">
        <v>358</v>
      </c>
      <c r="E21" t="s">
        <v>119</v>
      </c>
      <c r="F21" t="s">
        <v>1009</v>
      </c>
      <c r="G21" t="s">
        <v>1008</v>
      </c>
    </row>
    <row r="22" spans="1:7" x14ac:dyDescent="0.25">
      <c r="A22" t="s">
        <v>1011</v>
      </c>
      <c r="B22" t="s">
        <v>1010</v>
      </c>
      <c r="C22" s="2" t="s">
        <v>1011</v>
      </c>
      <c r="D22" t="s">
        <v>354</v>
      </c>
      <c r="E22" t="s">
        <v>115</v>
      </c>
      <c r="F22" t="s">
        <v>1013</v>
      </c>
      <c r="G22" t="s">
        <v>1011</v>
      </c>
    </row>
    <row r="23" spans="1:7" x14ac:dyDescent="0.25">
      <c r="A23" t="s">
        <v>1014</v>
      </c>
      <c r="B23" t="s">
        <v>1015</v>
      </c>
      <c r="C23" s="2" t="s">
        <v>1014</v>
      </c>
      <c r="D23" t="s">
        <v>356</v>
      </c>
      <c r="E23" t="s">
        <v>116</v>
      </c>
      <c r="F23" t="s">
        <v>1016</v>
      </c>
      <c r="G23" t="s">
        <v>1014</v>
      </c>
    </row>
    <row r="24" spans="1:7" x14ac:dyDescent="0.25">
      <c r="A24" t="s">
        <v>1018</v>
      </c>
      <c r="B24" t="s">
        <v>1017</v>
      </c>
      <c r="C24" s="2" t="s">
        <v>1018</v>
      </c>
      <c r="D24" t="s">
        <v>358</v>
      </c>
      <c r="E24" t="s">
        <v>119</v>
      </c>
      <c r="F24" t="s">
        <v>1021</v>
      </c>
      <c r="G24" t="s">
        <v>1018</v>
      </c>
    </row>
    <row r="25" spans="1:7" x14ac:dyDescent="0.25">
      <c r="A25" t="s">
        <v>1024</v>
      </c>
      <c r="B25" t="s">
        <v>1027</v>
      </c>
      <c r="C25" s="2" t="s">
        <v>1024</v>
      </c>
      <c r="D25" t="s">
        <v>354</v>
      </c>
      <c r="E25" t="s">
        <v>115</v>
      </c>
      <c r="F25" t="s">
        <v>1022</v>
      </c>
      <c r="G25" t="s">
        <v>1024</v>
      </c>
    </row>
    <row r="26" spans="1:7" x14ac:dyDescent="0.25">
      <c r="A26" t="s">
        <v>1025</v>
      </c>
      <c r="B26" t="s">
        <v>1026</v>
      </c>
      <c r="C26" s="2" t="s">
        <v>1025</v>
      </c>
      <c r="D26" t="s">
        <v>1019</v>
      </c>
      <c r="E26" t="s">
        <v>1020</v>
      </c>
      <c r="F26" t="s">
        <v>1023</v>
      </c>
      <c r="G26" t="s">
        <v>1025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2025-01-24T20:43:00Z</dcterms:modified>
</cp:coreProperties>
</file>