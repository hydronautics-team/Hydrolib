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filterPrivacy="1" codeName="ЭтаКнига"/>
  <xr:revisionPtr revIDLastSave="0" documentId="13_ncr:1_{E748CB44-05C4-4BE7-B96C-78A6FA25CD1C}" xr6:coauthVersionLast="47" xr6:coauthVersionMax="47" xr10:uidLastSave="{00000000-0000-0000-0000-000000000000}"/>
  <bookViews>
    <workbookView xWindow="440" yWindow="3120" windowWidth="11500" windowHeight="11260" tabRatio="896" firstSheet="9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<sst xmlns="http://schemas.openxmlformats.org/spreadsheetml/2006/main" count="4141" uniqueCount="1712">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</sst>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  <xf numFmtId="0" fontId="0" fillId="0" borderId="8" xfId="0" applyNumberFormat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49" fontId="10" fillId="0" borderId="0" xfId="1" applyNumberFormat="1" applyBorder="1"/>
    <xf numFmtId="0" fontId="0" fillId="3" borderId="4" xfId="0" applyFont="1" applyFill="1" applyBorder="1"/>
    <xf numFmtId="0" fontId="0" fillId="0" borderId="0" xfId="0" applyBorder="1"/>
    <xf numFmtId="0" fontId="0" fillId="3" borderId="8" xfId="0" applyFont="1" applyFill="1" applyBorder="1"/>
    <xf numFmtId="0" fontId="0" fillId="3" borderId="6" xfId="0" applyFont="1" applyFill="1" applyBorder="1"/>
    <xf numFmtId="9" fontId="4" fillId="0" borderId="0" xfId="0" applyNumberFormat="1" applyFont="1" applyBorder="1" applyAlignment="1">
      <alignment horizontal="right"/>
    </xf>
    <xf numFmtId="0" fontId="0" fillId="3" borderId="6" xfId="0" applyFill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4" tableType="xml" totalsRowShown="0" headerRowDxfId="146" connectionId="6">
  <autoFilter ref="A1:M6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4" tableType="xml" totalsRowShown="0" dataDxfId="141" connectionId="19">
  <autoFilter ref="A1:M14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6" tableType="xml" totalsRowShown="0" headerRowDxfId="21" dataDxfId="20" connectionId="11">
  <autoFilter ref="A1:P26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4"/>
  <sheetViews>
    <sheetView topLeftCell="A40" zoomScale="85" zoomScaleNormal="85" workbookViewId="0">
      <selection activeCell="A64" sqref="A64:M64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65" t="s">
        <v>1450</v>
      </c>
    </row>
    <row r="62" spans="1:13" x14ac:dyDescent="0.35">
      <c r="A62" s="66" t="s">
        <v>1678</v>
      </c>
      <c r="B62" s="66" t="s">
        <v>1673</v>
      </c>
      <c r="C62" s="59" t="str">
        <f t="shared" si="27"/>
        <v>ADP150AUJZ-3.3</v>
      </c>
      <c r="D62" s="66" t="str">
        <f>CONCATENATE("Schematic\",E62,".SchLib")</f>
        <v>Schematic\ADP150AUJZ-3.3.SchLib</v>
      </c>
      <c r="E62" s="67" t="str">
        <f>A62</f>
        <v>ADP150AUJZ-3.3</v>
      </c>
      <c r="F62" s="67" t="str">
        <f>CONCATENATE("Footprints\",G62,".PcbLib")</f>
        <v>Footprints\SOT23-5.PcbLib</v>
      </c>
      <c r="G62" s="67" t="s">
        <v>1376</v>
      </c>
      <c r="H62" s="66"/>
      <c r="I62" s="66"/>
      <c r="J62" s="66"/>
      <c r="K62" s="66"/>
      <c r="L62" s="52" t="s">
        <v>1674</v>
      </c>
      <c r="M62" s="68" t="s">
        <v>1450</v>
      </c>
    </row>
    <row r="63" spans="1:13" x14ac:dyDescent="0.3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68" t="s">
        <v>1450</v>
      </c>
    </row>
    <row r="64" spans="1:13" x14ac:dyDescent="0.3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70" t="s">
        <v>1450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</hyperlinks>
  <pageMargins left="0.7" right="0.7" top="0.75" bottom="0.75" header="0.3" footer="0.3"/>
  <pageSetup paperSize="9" orientation="portrait" r:id="rId12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5" customHeight="1" x14ac:dyDescent="0.3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4"/>
  <sheetViews>
    <sheetView topLeftCell="E9" zoomScale="85" zoomScaleNormal="85" workbookViewId="0">
      <selection activeCell="L24" sqref="L24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5">
      <c r="A13" s="53" t="s">
        <v>1511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1425</v>
      </c>
    </row>
    <row r="14" spans="1:13" x14ac:dyDescent="0.35">
      <c r="A14" s="53" t="s">
        <v>1699</v>
      </c>
      <c r="B14" s="53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s="53" t="str">
        <f>A14</f>
        <v>PESD1CAN,215</v>
      </c>
      <c r="D14" s="53" t="str">
        <f>CONCATENATE("Schematic\TVS\",E14,".SchLib")</f>
        <v>Schematic\TVS\TVS_2_2dir.SchLib</v>
      </c>
      <c r="E14" s="53" t="s">
        <v>79</v>
      </c>
      <c r="F14" s="53" t="str">
        <f>CONCATENATE("Footprints\",G14,".PcbLib")</f>
        <v>Footprints\SOT23-3.PcbLib</v>
      </c>
      <c r="G14" s="53" t="s">
        <v>18</v>
      </c>
      <c r="H14" s="53"/>
      <c r="I14" s="53"/>
      <c r="J14" s="53" t="str">
        <f xml:space="preserve"> CONCATENATE(H14," В")</f>
        <v xml:space="preserve"> В</v>
      </c>
      <c r="K14" s="53" t="s">
        <v>1700</v>
      </c>
      <c r="L14" s="23" t="s">
        <v>1701</v>
      </c>
      <c r="M14" s="53" t="s">
        <v>1450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5" x14ac:dyDescent="0.3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5" x14ac:dyDescent="0.3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5" x14ac:dyDescent="0.3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5" x14ac:dyDescent="0.3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5" x14ac:dyDescent="0.3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5" x14ac:dyDescent="0.3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5" x14ac:dyDescent="0.3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5" x14ac:dyDescent="0.3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5" x14ac:dyDescent="0.3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5" x14ac:dyDescent="0.3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5" x14ac:dyDescent="0.3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5" x14ac:dyDescent="0.3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5" x14ac:dyDescent="0.3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5" x14ac:dyDescent="0.3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5" x14ac:dyDescent="0.3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5" x14ac:dyDescent="0.35">
      <c r="A188" s="61" t="s">
        <v>1652</v>
      </c>
      <c r="B188" s="61" t="s">
        <v>1235</v>
      </c>
      <c r="C188" s="61" t="s">
        <v>26</v>
      </c>
      <c r="D188" s="61" t="s">
        <v>29</v>
      </c>
      <c r="E188" s="61" t="s">
        <v>26</v>
      </c>
      <c r="F188" s="61" t="s">
        <v>395</v>
      </c>
      <c r="G188" s="62">
        <v>0.01</v>
      </c>
      <c r="H188" s="61" t="s">
        <v>1654</v>
      </c>
      <c r="I188" s="61" t="s">
        <v>1653</v>
      </c>
      <c r="J188" s="63"/>
      <c r="K188" s="63"/>
      <c r="L188" s="63"/>
      <c r="M188" s="63"/>
      <c r="N188" s="31"/>
      <c r="O188" s="1" t="s">
        <v>1450</v>
      </c>
    </row>
    <row r="189" spans="1:15" ht="15.5" x14ac:dyDescent="0.35">
      <c r="A189" s="1" t="s">
        <v>1681</v>
      </c>
      <c r="B189" s="61" t="s">
        <v>1682</v>
      </c>
      <c r="C189" s="61" t="s">
        <v>26</v>
      </c>
      <c r="D189" s="61" t="s">
        <v>29</v>
      </c>
      <c r="E189" s="61" t="s">
        <v>26</v>
      </c>
      <c r="F189" s="61" t="s">
        <v>714</v>
      </c>
      <c r="G189" s="62">
        <v>0.01</v>
      </c>
      <c r="H189" s="61" t="s">
        <v>1654</v>
      </c>
      <c r="I189" s="61" t="s">
        <v>1653</v>
      </c>
      <c r="J189" s="63"/>
      <c r="K189" s="63"/>
      <c r="L189" s="63"/>
      <c r="M189" s="63"/>
      <c r="N189" s="31"/>
      <c r="O189" s="1" t="s">
        <v>1450</v>
      </c>
    </row>
    <row r="190" spans="1:15" ht="15.5" x14ac:dyDescent="0.35">
      <c r="A190" s="61" t="s">
        <v>1689</v>
      </c>
      <c r="B190" s="61" t="s">
        <v>1690</v>
      </c>
      <c r="C190" s="61" t="s">
        <v>26</v>
      </c>
      <c r="D190" s="61" t="s">
        <v>29</v>
      </c>
      <c r="E190" s="61" t="s">
        <v>26</v>
      </c>
      <c r="F190" s="61" t="s">
        <v>1691</v>
      </c>
      <c r="G190" s="69">
        <v>0.05</v>
      </c>
      <c r="H190" s="61" t="s">
        <v>134</v>
      </c>
      <c r="I190" s="61" t="s">
        <v>32</v>
      </c>
      <c r="J190" s="63"/>
      <c r="K190" s="63"/>
      <c r="L190" s="63"/>
      <c r="M190" s="63"/>
      <c r="N190" s="31"/>
      <c r="O190" s="1" t="s">
        <v>1450</v>
      </c>
    </row>
    <row r="191" spans="1:15" ht="15.5" x14ac:dyDescent="0.3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5">
      <c r="A4" s="53" t="s">
        <v>1600</v>
      </c>
      <c r="B4" s="53" t="s">
        <v>1601</v>
      </c>
      <c r="C4" s="53" t="s">
        <v>1600</v>
      </c>
      <c r="D4" s="2" t="s">
        <v>916</v>
      </c>
      <c r="E4" s="2" t="s">
        <v>915</v>
      </c>
      <c r="F4" s="2" t="s">
        <v>1603</v>
      </c>
      <c r="G4" s="53" t="s">
        <v>1602</v>
      </c>
      <c r="H4" s="53">
        <v>400</v>
      </c>
      <c r="I4" s="2" t="s">
        <v>1468</v>
      </c>
      <c r="J4" s="53"/>
      <c r="K4" s="23" t="s">
        <v>1604</v>
      </c>
      <c r="L4" s="53" t="s">
        <v>1425</v>
      </c>
    </row>
    <row r="5" spans="1:12" x14ac:dyDescent="0.35">
      <c r="A5" s="53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J5" s="53"/>
      <c r="K5" s="23" t="s">
        <v>1650</v>
      </c>
      <c r="L5" s="53" t="s">
        <v>1450</v>
      </c>
    </row>
    <row r="6" spans="1:12" x14ac:dyDescent="0.35">
      <c r="A6" s="53" t="s">
        <v>1683</v>
      </c>
      <c r="B6" s="53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 s="53">
        <v>70</v>
      </c>
      <c r="I6" s="53" t="s">
        <v>1687</v>
      </c>
      <c r="J6" s="53"/>
      <c r="K6" s="23" t="s">
        <v>1688</v>
      </c>
      <c r="L6" s="53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5">
      <c r="A51" s="59" t="s">
        <v>1593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59" t="s">
        <v>1596</v>
      </c>
      <c r="M51" s="59" t="s">
        <v>1597</v>
      </c>
      <c r="N51" s="2" t="s">
        <v>1425</v>
      </c>
    </row>
    <row r="52" spans="1:14" x14ac:dyDescent="0.35">
      <c r="A52" s="59" t="s">
        <v>1592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59" t="s">
        <v>1599</v>
      </c>
      <c r="M52" s="59" t="s">
        <v>1417</v>
      </c>
      <c r="N52" s="2" t="s">
        <v>1425</v>
      </c>
    </row>
    <row r="53" spans="1:14" x14ac:dyDescent="0.35">
      <c r="A53" s="2" t="s">
        <v>1655</v>
      </c>
      <c r="B53" s="60" t="str">
        <f t="shared" ref="B53" si="2">CONCATENATE("Конденсатор ",K53," ёмкостью ",F53, " ", G53, ", ",H53," В, ",I53)</f>
        <v>Конденсатор 0603C ёмкостью 1 н 5%, 50 В, NP0</v>
      </c>
      <c r="C53" s="59" t="s">
        <v>27</v>
      </c>
      <c r="D53" s="59" t="s">
        <v>30</v>
      </c>
      <c r="E53" s="59" t="s">
        <v>27</v>
      </c>
      <c r="F53" s="59" t="s">
        <v>562</v>
      </c>
      <c r="G53" s="37" t="s">
        <v>1412</v>
      </c>
      <c r="H53" s="59">
        <v>50</v>
      </c>
      <c r="I53" s="59" t="s">
        <v>1414</v>
      </c>
      <c r="J53" s="59" t="s">
        <v>599</v>
      </c>
      <c r="K53" s="59" t="s">
        <v>37</v>
      </c>
      <c r="L53" s="59">
        <v>1</v>
      </c>
      <c r="M53" s="59"/>
      <c r="N53" s="59" t="s">
        <v>1450</v>
      </c>
    </row>
    <row r="54" spans="1:14" x14ac:dyDescent="0.35">
      <c r="A54" s="59" t="s">
        <v>1656</v>
      </c>
      <c r="B54" s="60" t="str">
        <f t="shared" ref="B54:B55" si="3">CONCATENATE("Конденсатор ",K54," ёмкостью ",F54, " ", G54, ", ",H54," В, ",I54)</f>
        <v>Конденсатор 0603C ёмкостью 3,3 н 5%, 50 В, NP0</v>
      </c>
      <c r="C54" s="59" t="s">
        <v>27</v>
      </c>
      <c r="D54" s="59" t="s">
        <v>30</v>
      </c>
      <c r="E54" s="59" t="s">
        <v>27</v>
      </c>
      <c r="F54" s="59" t="s">
        <v>568</v>
      </c>
      <c r="G54" s="37" t="s">
        <v>1412</v>
      </c>
      <c r="H54" s="59">
        <v>50</v>
      </c>
      <c r="I54" s="59" t="s">
        <v>1414</v>
      </c>
      <c r="J54" s="59" t="s">
        <v>599</v>
      </c>
      <c r="K54" s="59" t="s">
        <v>37</v>
      </c>
      <c r="L54" s="59" t="s">
        <v>374</v>
      </c>
      <c r="M54" s="59"/>
      <c r="N54" s="59" t="s">
        <v>1450</v>
      </c>
    </row>
    <row r="55" spans="1:14" x14ac:dyDescent="0.35">
      <c r="A55" s="59" t="s">
        <v>1660</v>
      </c>
      <c r="B55" s="60" t="str">
        <f t="shared" si="3"/>
        <v>Конденсатор 0603C ёмкостью 10 мк 10%, 10 В, X7R</v>
      </c>
      <c r="C55" s="59" t="s">
        <v>27</v>
      </c>
      <c r="D55" s="59" t="s">
        <v>30</v>
      </c>
      <c r="E55" s="59" t="s">
        <v>27</v>
      </c>
      <c r="F55" s="59" t="s">
        <v>631</v>
      </c>
      <c r="G55" s="37" t="s">
        <v>1193</v>
      </c>
      <c r="H55" s="59" t="s">
        <v>379</v>
      </c>
      <c r="I55" s="59" t="s">
        <v>598</v>
      </c>
      <c r="J55" s="59" t="s">
        <v>681</v>
      </c>
      <c r="K55" s="59" t="s">
        <v>37</v>
      </c>
      <c r="L55" s="59">
        <v>10000</v>
      </c>
      <c r="M55" s="64" t="s">
        <v>1661</v>
      </c>
      <c r="N55" s="59" t="s">
        <v>1450</v>
      </c>
    </row>
    <row r="56" spans="1:14" x14ac:dyDescent="0.35">
      <c r="A56" s="59" t="s">
        <v>1662</v>
      </c>
      <c r="B56" s="60" t="str">
        <f t="shared" ref="B56" si="4">CONCATENATE("Конденсатор ",K56," ёмкостью ",F56, " ", G56, ", ",H56," В, ",I56)</f>
        <v>Конденсатор 0603C ёмкостью 12 п 5%, 50 В, NP0</v>
      </c>
      <c r="C56" s="59" t="s">
        <v>27</v>
      </c>
      <c r="D56" s="59" t="s">
        <v>30</v>
      </c>
      <c r="E56" s="59" t="s">
        <v>27</v>
      </c>
      <c r="F56" s="59" t="s">
        <v>1663</v>
      </c>
      <c r="G56" s="37" t="s">
        <v>1412</v>
      </c>
      <c r="H56" s="59">
        <v>50</v>
      </c>
      <c r="I56" s="59" t="s">
        <v>1414</v>
      </c>
      <c r="J56" s="59" t="s">
        <v>599</v>
      </c>
      <c r="K56" s="59" t="s">
        <v>37</v>
      </c>
      <c r="L56" s="59" t="s">
        <v>1664</v>
      </c>
      <c r="M56" s="59"/>
      <c r="N56" s="59" t="s">
        <v>1450</v>
      </c>
    </row>
    <row r="57" spans="1:14" x14ac:dyDescent="0.35">
      <c r="A57" s="59" t="s">
        <v>1679</v>
      </c>
      <c r="B57" s="53" t="str">
        <f>CONCATENATE("Конденсатор ",K57," ёмкостью ",F57, " ", G57, ", ",H57," В, ",I57)</f>
        <v>Конденсатор 1206C ёмкостью 100 п 5%, 630 В, NP0</v>
      </c>
      <c r="C57" s="59" t="s">
        <v>27</v>
      </c>
      <c r="D57" s="59" t="s">
        <v>30</v>
      </c>
      <c r="E57" s="59" t="s">
        <v>27</v>
      </c>
      <c r="F57" s="2" t="s">
        <v>1175</v>
      </c>
      <c r="G57" s="37" t="s">
        <v>1412</v>
      </c>
      <c r="H57" s="2" t="s">
        <v>1680</v>
      </c>
      <c r="I57" s="59" t="s">
        <v>1414</v>
      </c>
      <c r="J57" s="59" t="s">
        <v>599</v>
      </c>
      <c r="K57" s="59" t="s">
        <v>680</v>
      </c>
      <c r="L57" s="2" t="s">
        <v>1176</v>
      </c>
      <c r="M57" s="2"/>
      <c r="N57" s="59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O28" s="53"/>
      <c r="P28" s="53"/>
      <c r="Q28" s="38" t="s">
        <v>1642</v>
      </c>
      <c r="R28" t="s">
        <v>1450</v>
      </c>
    </row>
    <row r="29" spans="1:18" x14ac:dyDescent="0.3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O29" s="53"/>
      <c r="P29" s="53">
        <f>N29</f>
        <v>0</v>
      </c>
      <c r="Q29" s="38" t="s">
        <v>1642</v>
      </c>
      <c r="R29" t="s">
        <v>1450</v>
      </c>
    </row>
    <row r="30" spans="1:18" x14ac:dyDescent="0.3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O30" s="53"/>
      <c r="P30" s="53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5" x14ac:dyDescent="0.3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topLeftCell="L1" zoomScale="85" zoomScaleNormal="85" workbookViewId="0">
      <selection activeCell="O31" sqref="O31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7265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954</v>
      </c>
      <c r="P1" s="56" t="s">
        <v>1424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N6" s="53"/>
      <c r="O6" s="53"/>
      <c r="P6" s="53" t="s">
        <v>1425</v>
      </c>
    </row>
    <row r="7" spans="1:20" x14ac:dyDescent="0.3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1425</v>
      </c>
    </row>
    <row r="8" spans="1:20" x14ac:dyDescent="0.3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1425</v>
      </c>
    </row>
    <row r="9" spans="1:20" x14ac:dyDescent="0.3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1425</v>
      </c>
    </row>
    <row r="10" spans="1:20" x14ac:dyDescent="0.3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1425</v>
      </c>
    </row>
    <row r="11" spans="1:20" x14ac:dyDescent="0.3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1425</v>
      </c>
    </row>
    <row r="12" spans="1:20" x14ac:dyDescent="0.3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1425</v>
      </c>
    </row>
    <row r="13" spans="1:20" x14ac:dyDescent="0.3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986</v>
      </c>
      <c r="P13" s="53" t="s">
        <v>1425</v>
      </c>
    </row>
    <row r="14" spans="1:20" x14ac:dyDescent="0.3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1425</v>
      </c>
    </row>
    <row r="15" spans="1:20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1425</v>
      </c>
    </row>
    <row r="16" spans="1:20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1406</v>
      </c>
      <c r="O18" s="53" t="s">
        <v>1407</v>
      </c>
      <c r="P18" s="53" t="s">
        <v>1425</v>
      </c>
    </row>
    <row r="19" spans="1:16" x14ac:dyDescent="0.3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1449</v>
      </c>
      <c r="P19" s="53" t="s">
        <v>1450</v>
      </c>
    </row>
    <row r="20" spans="1:16" x14ac:dyDescent="0.3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M20" s="53"/>
      <c r="N20" s="53"/>
      <c r="O20" s="23" t="s">
        <v>986</v>
      </c>
      <c r="P20" s="53" t="s">
        <v>1450</v>
      </c>
    </row>
    <row r="21" spans="1:16" x14ac:dyDescent="0.35">
      <c r="A21" s="53" t="s">
        <v>1533</v>
      </c>
      <c r="B21" s="53" t="s">
        <v>1534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1535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1548</v>
      </c>
      <c r="O21" s="53"/>
      <c r="P21" s="53" t="s">
        <v>1425</v>
      </c>
    </row>
    <row r="22" spans="1:16" x14ac:dyDescent="0.35">
      <c r="A22" s="53" t="s">
        <v>1536</v>
      </c>
      <c r="B22" s="53" t="s">
        <v>1539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1542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1549</v>
      </c>
      <c r="O22" s="53"/>
      <c r="P22" s="53" t="s">
        <v>1425</v>
      </c>
    </row>
    <row r="23" spans="1:16" x14ac:dyDescent="0.35">
      <c r="A23" s="53" t="s">
        <v>1537</v>
      </c>
      <c r="B23" s="53" t="s">
        <v>1540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1543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1550</v>
      </c>
      <c r="O23" s="53"/>
      <c r="P23" s="53" t="s">
        <v>1425</v>
      </c>
    </row>
    <row r="24" spans="1:16" x14ac:dyDescent="0.35">
      <c r="A24" s="53" t="s">
        <v>1538</v>
      </c>
      <c r="B24" s="53" t="s">
        <v>1541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1544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1551</v>
      </c>
      <c r="O24" s="53"/>
      <c r="P24" s="53" t="s">
        <v>1425</v>
      </c>
    </row>
    <row r="25" spans="1:16" x14ac:dyDescent="0.35">
      <c r="A25" s="57" t="s">
        <v>1545</v>
      </c>
      <c r="B25" s="53" t="s">
        <v>1552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1546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1547</v>
      </c>
      <c r="O25" s="53"/>
      <c r="P25" s="53" t="s">
        <v>1425</v>
      </c>
    </row>
    <row r="26" spans="1:16" x14ac:dyDescent="0.35">
      <c r="A26" s="53" t="s">
        <v>1692</v>
      </c>
      <c r="B26" s="53" t="s">
        <v>1693</v>
      </c>
      <c r="C26" s="53" t="str">
        <f>A26</f>
        <v>MF-FSMF010X-2</v>
      </c>
      <c r="D26" s="53" t="str">
        <f>CONCATENATE("Schematic\",A26,".SchLib")</f>
        <v>Schematic\MF-FSMF010X-2.SchLib</v>
      </c>
      <c r="E26" s="53" t="str">
        <f>A26</f>
        <v>MF-FSMF010X-2</v>
      </c>
      <c r="F26" s="53" t="s">
        <v>134</v>
      </c>
      <c r="G26" s="53"/>
      <c r="H26" s="53"/>
      <c r="I26" s="53"/>
      <c r="J26" s="53" t="str">
        <f>CONCATENATE("Footprints\",K26,".PcbLib")</f>
        <v>Footprints\.PcbLib</v>
      </c>
      <c r="K26" s="53"/>
      <c r="L26" s="2" t="str">
        <f>CONCATENATE("Footprints\",M26,".PcbLib")</f>
        <v>Footprints\.PcbLib</v>
      </c>
      <c r="M26" s="53"/>
      <c r="N26" s="53"/>
      <c r="O26" s="53"/>
      <c r="P26" s="53" t="s">
        <v>1694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abSelected="1" topLeftCell="A29" zoomScale="55" zoomScaleNormal="55" workbookViewId="0">
      <selection activeCell="G73" sqref="G73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5">
      <c r="A63" t="s">
        <v>1555</v>
      </c>
      <c r="B63" t="s">
        <v>1558</v>
      </c>
      <c r="C63" s="2" t="s">
        <v>1555</v>
      </c>
      <c r="D63" s="54" t="s">
        <v>1554</v>
      </c>
      <c r="E63" t="s">
        <v>1555</v>
      </c>
      <c r="F63" s="5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5">
      <c r="A64" t="s">
        <v>1560</v>
      </c>
      <c r="B64" t="s">
        <v>1559</v>
      </c>
      <c r="C64">
        <v>467650001</v>
      </c>
      <c r="D64" s="54" t="s">
        <v>1561</v>
      </c>
      <c r="E64">
        <v>467650001</v>
      </c>
      <c r="F64" s="5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5">
      <c r="A65" t="s">
        <v>1568</v>
      </c>
      <c r="B65" t="s">
        <v>1569</v>
      </c>
      <c r="C65" s="2" t="s">
        <v>1568</v>
      </c>
      <c r="D65" s="54" t="s">
        <v>1566</v>
      </c>
      <c r="E65" t="s">
        <v>1564</v>
      </c>
      <c r="F65" s="5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5">
      <c r="A66" t="s">
        <v>1571</v>
      </c>
      <c r="B66" t="s">
        <v>1575</v>
      </c>
      <c r="C66" s="2" t="s">
        <v>1571</v>
      </c>
      <c r="D66" s="54" t="s">
        <v>1572</v>
      </c>
      <c r="E66" t="s">
        <v>1571</v>
      </c>
      <c r="F66" s="5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5">
      <c r="A67" t="s">
        <v>1589</v>
      </c>
      <c r="B67" t="s">
        <v>1590</v>
      </c>
      <c r="C67" s="2" t="s">
        <v>1589</v>
      </c>
      <c r="D67" t="str">
        <f t="shared" ref="D67" si="11">CONCATENATE("Schematic\Connectors\", E67, ".SchLib")</f>
        <v>Schematic\Connectors\Conn_4pin_sh.SchLib</v>
      </c>
      <c r="E67" t="s">
        <v>1588</v>
      </c>
      <c r="F67" t="str">
        <f t="shared" ref="F67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2026-07-11T11:59:08Z</dcterms:modified>
</cp:coreProperties>
</file>