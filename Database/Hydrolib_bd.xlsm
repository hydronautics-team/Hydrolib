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99D9B256-F436-4648-94F1-1E7BD54BE255}" xr6:coauthVersionLast="47" xr6:coauthVersionMax="47" xr10:uidLastSave="{00000000-0000-0000-0000-000000000000}"/>
  <bookViews>
    <workbookView xWindow="-108" yWindow="-108" windowWidth="23256" windowHeight="12576" firstSheet="2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C7" i="6" l="1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<sst xmlns="http://schemas.openxmlformats.org/spreadsheetml/2006/main" count="262" uniqueCount="141">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</sst>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0" fillId="0" borderId="0" xfId="0" applyNumberFormat="1"/>
  </cellXfs>
  <cellStyles count="1">
    <cellStyle name="Обычный" xfId="0" builtinId="0"/>
  </cellStyles>
  <dxfs count="4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42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4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1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40" connectionId="10">
  <autoFilter ref="A1:I6" xr:uid="{11DAD5D3-6841-4BFD-8583-65DE6E00D680}"/>
  <tableColumns count="9">
    <tableColumn id="1" xr3:uid="{59488B22-9EFD-4960-9418-72616CC8F6CC}" uniqueName="PartNumber" name="Part Number" dataDxfId="39">
      <xmlColumnPr mapId="8" xpath="/Transistors/Part/PartNumber" xmlDataType="string"/>
    </tableColumn>
    <tableColumn id="2" xr3:uid="{B6051881-2BC5-4D5F-9AEE-A86DF4412A4C}" uniqueName="Description" name="Description" dataDxfId="38">
      <xmlColumnPr mapId="8" xpath="/Transistors/Part/Description" xmlDataType="string"/>
    </tableColumn>
    <tableColumn id="3" xr3:uid="{377CEA9C-B3A1-4F57-920A-BA1AC9164370}" uniqueName="Comment" name="Comment" dataDxfId="3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6">
      <xmlColumnPr mapId="8" xpath="/Transistors/Part/LibraryPath" xmlDataType="string"/>
    </tableColumn>
    <tableColumn id="5" xr3:uid="{02693066-D721-4B47-BEE5-D678B96A10FB}" uniqueName="LibraryRef" name="Library Ref" dataDxfId="3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3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33" dataDxfId="32" connectionId="8">
  <autoFilter ref="A1:N2" xr:uid="{02061886-A591-4FD8-8C5B-3D1D2DB1F417}"/>
  <tableColumns count="14">
    <tableColumn id="1" xr3:uid="{1DE1C76C-B7F9-47FB-9EB0-156A2D87FD9E}" uniqueName="PartNumber" name="Part Number" dataDxfId="31">
      <xmlColumnPr mapId="9" xpath="/Resistors/Part/PartNumber" xmlDataType="string"/>
    </tableColumn>
    <tableColumn id="2" xr3:uid="{64E60790-EB9B-4A0D-B52C-7CB5A6F82DE8}" uniqueName="Description" name="Description" dataDxfId="30">
      <xmlColumnPr mapId="9" xpath="/Resistors/Part/Description" xmlDataType="string"/>
    </tableColumn>
    <tableColumn id="3" xr3:uid="{497E7478-3EE2-4F8D-A572-C738B7321387}" uniqueName="Comment" name="Comment" dataDxfId="29">
      <xmlColumnPr mapId="9" xpath="/Resistors/Part/Comment" xmlDataType="string"/>
    </tableColumn>
    <tableColumn id="4" xr3:uid="{255B034D-70D9-458C-8FA7-FEB8317A497F}" uniqueName="LibraryPath" name="Library Path" dataDxfId="28">
      <xmlColumnPr mapId="9" xpath="/Resistors/Part/LibraryPath" xmlDataType="string"/>
    </tableColumn>
    <tableColumn id="5" xr3:uid="{A3865419-9EA5-4AAA-B07F-FF52D437DC02}" uniqueName="LibraryRef" name="Library Ref" dataDxfId="27">
      <xmlColumnPr mapId="9" xpath="/Resistors/Part/LibraryRef" xmlDataType="string"/>
    </tableColumn>
    <tableColumn id="6" xr3:uid="{CE64E0F7-2F9E-477F-8D1B-040D90CB5685}" uniqueName="Value" name="Value" dataDxfId="26">
      <xmlColumnPr mapId="9" xpath="/Resistors/Part/Value" xmlDataType="string"/>
    </tableColumn>
    <tableColumn id="7" xr3:uid="{41F7703B-5A2D-47F6-B9C9-B9D386FC3CF8}" uniqueName="FootprintPath1" name="Footprint Path 1" dataDxfId="25">
      <xmlColumnPr mapId="9" xpath="/Resistors/Part/FootprintPath1" xmlDataType="string"/>
    </tableColumn>
    <tableColumn id="8" xr3:uid="{429E7452-DB30-417B-B5E7-8F2AA238A5A4}" uniqueName="FootprintRef1" name="Footprint Ref 1" dataDxfId="24">
      <xmlColumnPr mapId="9" xpath="/Resistors/Part/FootprintRef1" xmlDataType="string"/>
    </tableColumn>
    <tableColumn id="9" xr3:uid="{298A4272-57F5-45C2-AFCD-965909B2DD40}" uniqueName="FootprintPath2" name="Footprint Path 2" dataDxfId="23">
      <xmlColumnPr mapId="9" xpath="/Resistors/Part/FootprintPath2" xmlDataType="string"/>
    </tableColumn>
    <tableColumn id="10" xr3:uid="{5E217B5D-6ACC-4540-B99E-39835DE9B5AD}" uniqueName="FootprintRef2" name="Footprint Ref 2" dataDxfId="22">
      <xmlColumnPr mapId="9" xpath="/Resistors/Part/FootprintRef2" xmlDataType="string"/>
    </tableColumn>
    <tableColumn id="11" xr3:uid="{2334B57C-78D1-472F-90FA-52F299D17996}" uniqueName="FootprintPath3" name="Footprint Path 3" dataDxfId="21">
      <xmlColumnPr mapId="9" xpath="/Resistors/Part/FootprintPath3" xmlDataType="string"/>
    </tableColumn>
    <tableColumn id="12" xr3:uid="{CE6D1B76-86DB-4BB5-B08C-5172CD9AEB92}" uniqueName="FootprintRef3" name="Footprint Ref 3" dataDxfId="20">
      <xmlColumnPr mapId="9" xpath="/Resistors/Part/FootprintRef3" xmlDataType="string"/>
    </tableColumn>
    <tableColumn id="13" xr3:uid="{687D638D-A43B-4A58-8F97-2721414A608C}" uniqueName="FootprintPath4" name="Footprint Path 4" dataDxfId="19">
      <xmlColumnPr mapId="9" xpath="/Resistors/Part/FootprintPath4" xmlDataType="string"/>
    </tableColumn>
    <tableColumn id="14" xr3:uid="{F0FD1873-DBEF-4B39-9FCA-E48EB3E6741F}" uniqueName="FootprintRef4" name="Footprint Ref 4" dataDxfId="18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17" connectionId="1">
  <autoFilter ref="A1:T3" xr:uid="{1041C5C1-00FD-47DC-8B7C-9DEBE212D9D4}"/>
  <tableColumns count="20">
    <tableColumn id="1" xr3:uid="{55BDD111-6381-449E-BF2B-3FEC8107762D}" uniqueName="PartNumber" name="Part Number" dataDxfId="16">
      <xmlColumnPr mapId="18" xpath="/Capacitors/Part/PartNumber" xmlDataType="string"/>
    </tableColumn>
    <tableColumn id="2" xr3:uid="{0D3E1F2C-B0CC-4A36-A41B-2F2DAEC98E3B}" uniqueName="Description" name="Description" dataDxfId="15">
      <xmlColumnPr mapId="18" xpath="/Capacitors/Part/Description" xmlDataType="string"/>
    </tableColumn>
    <tableColumn id="3" xr3:uid="{16739D52-8082-4E8D-B1E1-B82F60766E2A}" uniqueName="Comment" name="Comment" dataDxfId="14">
      <xmlColumnPr mapId="18" xpath="/Capacitors/Part/Comment" xmlDataType="string"/>
    </tableColumn>
    <tableColumn id="4" xr3:uid="{AC1F3F2E-0C78-451D-9178-0A9D15C49726}" uniqueName="LibraryPath" name="Library Path" dataDxfId="13">
      <xmlColumnPr mapId="18" xpath="/Capacitors/Part/LibraryPath" xmlDataType="string"/>
    </tableColumn>
    <tableColumn id="5" xr3:uid="{9169ABA3-E41E-40E0-B785-3D3B749D70BB}" uniqueName="LibraryRef" name="Library Ref" dataDxfId="12">
      <xmlColumnPr mapId="18" xpath="/Capacitors/Part/LibraryRef" xmlDataType="string"/>
    </tableColumn>
    <tableColumn id="6" xr3:uid="{01EADD2D-36E6-41EE-B894-B537CCE6649E}" uniqueName="Value" name="Value" dataDxfId="11">
      <xmlColumnPr mapId="18" xpath="/Capacitors/Part/Value" xmlDataType="string"/>
    </tableColumn>
    <tableColumn id="7" xr3:uid="{EC779EF2-47DD-4E8F-A8D2-159E83C79180}" uniqueName="FootprintPath1" name="Footprint Path 1" dataDxfId="10">
      <xmlColumnPr mapId="18" xpath="/Capacitors/Part/FootprintPath1" xmlDataType="string"/>
    </tableColumn>
    <tableColumn id="8" xr3:uid="{C244A49A-3E6F-4B22-983D-FFA97DB3DFF6}" uniqueName="FootprintRef1" name="Footprint Ref 1" dataDxfId="9">
      <xmlColumnPr mapId="18" xpath="/Capacitors/Part/FootprintRef1" xmlDataType="string"/>
    </tableColumn>
    <tableColumn id="9" xr3:uid="{85136BD9-A68F-40E0-9A6F-E71ECA929F04}" uniqueName="FootprintPath2" name="Footprint Path 2" dataDxfId="8">
      <xmlColumnPr mapId="18" xpath="/Capacitors/Part/FootprintPath2" xmlDataType="string"/>
    </tableColumn>
    <tableColumn id="10" xr3:uid="{9FB3A5B2-04CB-44F8-A289-C2FB25F43941}" uniqueName="FootprintRef2" name="Footprint Ref 2" dataDxfId="7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5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4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4" sqref="D14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64</v>
      </c>
      <c r="B2" s="2" t="s">
        <v>65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69</v>
      </c>
    </row>
    <row r="3" spans="1:20" x14ac:dyDescent="0.3">
      <c r="A3" s="2" t="s">
        <v>66</v>
      </c>
      <c r="B3" s="2" t="s">
        <v>67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68</v>
      </c>
    </row>
    <row r="4" spans="1:20" x14ac:dyDescent="0.3">
      <c r="A4" s="2" t="s">
        <v>93</v>
      </c>
      <c r="B4" s="2" t="s">
        <v>94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95</v>
      </c>
    </row>
    <row r="5" spans="1:20" x14ac:dyDescent="0.3">
      <c r="A5" t="s">
        <v>106</v>
      </c>
      <c r="B5" t="s">
        <v>65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107</v>
      </c>
    </row>
    <row r="6" spans="1:20" x14ac:dyDescent="0.3">
      <c r="A6" t="s">
        <v>108</v>
      </c>
      <c r="B6" t="s">
        <v>109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95</v>
      </c>
    </row>
    <row r="7" spans="1:20" x14ac:dyDescent="0.3">
      <c r="A7" t="s">
        <v>110</v>
      </c>
      <c r="B7" t="s">
        <v>111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112</v>
      </c>
    </row>
    <row r="8" spans="1:20" x14ac:dyDescent="0.3">
      <c r="A8" t="s">
        <v>113</v>
      </c>
      <c r="B8" t="s">
        <v>114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115</v>
      </c>
    </row>
    <row r="9" spans="1:20" x14ac:dyDescent="0.3">
      <c r="A9" t="s">
        <v>116</v>
      </c>
      <c r="B9" t="s">
        <v>117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118</v>
      </c>
    </row>
    <row r="10" spans="1:20" x14ac:dyDescent="0.3">
      <c r="A10" t="s">
        <v>119</v>
      </c>
      <c r="B10" t="s">
        <v>111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112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101</v>
      </c>
    </row>
    <row r="2" spans="1:9" x14ac:dyDescent="0.3">
      <c r="A2" s="2" t="s">
        <v>102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103</v>
      </c>
      <c r="E2" s="2" t="s">
        <v>104</v>
      </c>
      <c r="F2" s="2" t="str">
        <f>CONCATENATE("Footprints\",G2,".PcbLib")</f>
        <v>Footprints\SMC.PcbLib</v>
      </c>
      <c r="G2" s="2" t="s">
        <v>105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s="2" t="s">
        <v>87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90</v>
      </c>
      <c r="E2" s="2" t="s">
        <v>91</v>
      </c>
      <c r="F2" s="2" t="str">
        <f>CONCATENATE("Footprints\",G2,".PcbLib")</f>
        <v>Footprints\SOD-323.PcbLib</v>
      </c>
      <c r="G2" s="2" t="s">
        <v>89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C25" sqref="C25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s="2" t="s">
        <v>92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97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">
      <c r="A3" s="2" t="s">
        <v>96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98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100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sqref="A1:N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36</v>
      </c>
      <c r="I2" s="3" t="s">
        <v>34</v>
      </c>
      <c r="J2" s="3" t="s">
        <v>37</v>
      </c>
      <c r="K2" s="3" t="s">
        <v>34</v>
      </c>
      <c r="L2" s="3" t="s">
        <v>40</v>
      </c>
      <c r="M2" s="3" t="s">
        <v>34</v>
      </c>
      <c r="N2" s="3" t="s">
        <v>43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G12" sqref="G12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3" t="s">
        <v>29</v>
      </c>
      <c r="B2" s="3" t="s">
        <v>30</v>
      </c>
      <c r="C2" s="3" t="s">
        <v>29</v>
      </c>
      <c r="D2" s="3" t="s">
        <v>32</v>
      </c>
      <c r="E2" s="3" t="s">
        <v>29</v>
      </c>
      <c r="F2" s="3" t="s">
        <v>33</v>
      </c>
      <c r="G2" s="3" t="s">
        <v>35</v>
      </c>
      <c r="H2" s="3" t="s">
        <v>44</v>
      </c>
      <c r="I2" s="3" t="s">
        <v>35</v>
      </c>
      <c r="J2" s="3" t="s">
        <v>45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46</v>
      </c>
      <c r="B3" s="3" t="s">
        <v>47</v>
      </c>
      <c r="C3" s="3" t="s">
        <v>46</v>
      </c>
      <c r="D3" s="3" t="s">
        <v>32</v>
      </c>
      <c r="E3" s="3" t="s">
        <v>46</v>
      </c>
      <c r="F3" s="3" t="s">
        <v>49</v>
      </c>
      <c r="G3" s="3" t="s">
        <v>48</v>
      </c>
      <c r="H3" s="3" t="s">
        <v>50</v>
      </c>
      <c r="I3" s="3" t="s">
        <v>48</v>
      </c>
      <c r="J3" s="3" t="s">
        <v>51</v>
      </c>
      <c r="K3" s="3" t="s">
        <v>48</v>
      </c>
      <c r="L3" s="3" t="s">
        <v>52</v>
      </c>
      <c r="M3" s="3" t="s">
        <v>48</v>
      </c>
      <c r="N3" s="3" t="s">
        <v>53</v>
      </c>
      <c r="O3" s="3" t="s">
        <v>48</v>
      </c>
      <c r="P3" s="3" t="s">
        <v>56</v>
      </c>
      <c r="Q3" s="3" t="s">
        <v>61</v>
      </c>
      <c r="R3" s="2" t="s">
        <v>62</v>
      </c>
      <c r="S3" s="3" t="s">
        <v>61</v>
      </c>
      <c r="T3" s="2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s="2" t="s">
        <v>120</v>
      </c>
      <c r="B2" s="2" t="s">
        <v>121</v>
      </c>
      <c r="C2" s="2" t="str">
        <f>A2</f>
        <v>Inductance</v>
      </c>
      <c r="D2" s="2" t="s">
        <v>122</v>
      </c>
      <c r="E2" s="2" t="s">
        <v>120</v>
      </c>
      <c r="F2" s="2" t="str">
        <f>CONCATENATE("Footprints\Inductance\",G2,".PcbLib")</f>
        <v>Footprints\Inductance\0603L.PcbLib</v>
      </c>
      <c r="G2" s="2" t="s">
        <v>123</v>
      </c>
      <c r="H2" s="2" t="str">
        <f>CONCATENATE("Footprints\Inductance\",I2,".PcbLib")</f>
        <v>Footprints\Inductance\1210L.PcbLib</v>
      </c>
      <c r="I2" s="2" t="s">
        <v>124</v>
      </c>
      <c r="J2" s="2" t="str">
        <f>CONCATENATE("Footprints\Inductance\",K2,".PcbLib")</f>
        <v>Footprints\Inductance\1212L.PcbLib</v>
      </c>
      <c r="K2" s="2" t="s">
        <v>125</v>
      </c>
      <c r="L2" s="2" t="str">
        <f>CONCATENATE("Footprints\Inductance\",M2,".PcbLib")</f>
        <v>Footprints\Inductance\12.8x12.8.PcbLib</v>
      </c>
      <c r="M2" s="2" t="s">
        <v>126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21" sqref="G21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0.33203125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70</v>
      </c>
      <c r="B2" s="2" t="s">
        <v>71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72</v>
      </c>
      <c r="H2" s="2" t="str">
        <f>CONCATENATE("Footprints\Buttons\",I2,".PcbLib")</f>
        <v>Footprints\Buttons\Button_SMD_6x6.PcbLib</v>
      </c>
      <c r="I2" s="2" t="s">
        <v>73</v>
      </c>
    </row>
    <row r="3" spans="1:20" x14ac:dyDescent="0.3">
      <c r="A3" s="2" t="s">
        <v>75</v>
      </c>
      <c r="B3" s="2" t="s">
        <v>76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74</v>
      </c>
      <c r="H3" s="2"/>
      <c r="I3" s="2"/>
    </row>
    <row r="4" spans="1:20" x14ac:dyDescent="0.3">
      <c r="A4" s="2" t="s">
        <v>77</v>
      </c>
      <c r="B4" s="2" t="s">
        <v>78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">
      <c r="A5" s="2" t="s">
        <v>79</v>
      </c>
      <c r="B5" s="2" t="s">
        <v>80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81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E8" sqref="E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82</v>
      </c>
      <c r="B2" s="2" t="s">
        <v>83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131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84</v>
      </c>
      <c r="B3" s="2" t="s">
        <v>83</v>
      </c>
      <c r="C3" s="2" t="str">
        <f>A3</f>
        <v>D-SUB-26</v>
      </c>
      <c r="D3" t="str">
        <f t="shared" si="0"/>
        <v>Schematic\Connectors\Conn_26pin.SchLib</v>
      </c>
      <c r="E3" s="2" t="s">
        <v>132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127</v>
      </c>
      <c r="B4" t="s">
        <v>128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133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129</v>
      </c>
      <c r="B5" t="s">
        <v>130</v>
      </c>
      <c r="C5" s="2" t="str">
        <f t="shared" si="2"/>
        <v>CWF-5</v>
      </c>
      <c r="D5" t="str">
        <f t="shared" si="0"/>
        <v>Schematic\Connectors\Conn_5pin.SchLib</v>
      </c>
      <c r="E5" s="2" t="s">
        <v>134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135</v>
      </c>
      <c r="B6" t="s">
        <v>136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137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138</v>
      </c>
      <c r="B7" t="s">
        <v>139</v>
      </c>
      <c r="C7" s="2" t="str">
        <f>A7</f>
        <v>XT30</v>
      </c>
      <c r="D7" s="4" t="str">
        <f>CONCATENATE("Schematic\Connectors\",E7,".SchLib")</f>
        <v>Schematic\Connectors\Conn_2pin.SchLib</v>
      </c>
      <c r="E7" s="2" t="s">
        <v>140</v>
      </c>
      <c r="F7" s="4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2024-10-25T17:13:42Z</dcterms:modified>
</cp:coreProperties>
</file>