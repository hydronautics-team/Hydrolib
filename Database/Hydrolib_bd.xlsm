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ЭтаКнига"/>
  <xr:revisionPtr revIDLastSave="0" documentId="13_ncr:1_{CFC4FF27-D224-4AB8-BEEC-9C529DEC5E9B}" xr6:coauthVersionLast="45" xr6:coauthVersionMax="47" xr10:uidLastSave="{00000000-0000-0000-0000-000000000000}"/>
  <bookViews>
    <workbookView xWindow="-120" yWindow="-120" windowWidth="25840" windowHeight="14180" tabRatio="896" activeTab="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6" i="8" l="1"/>
  <c r="C16" i="8"/>
  <c r="D16" i="8"/>
  <c r="F16" i="8"/>
  <c r="J16" i="8"/>
  <c r="B15" i="8" l="1"/>
  <c r="C15" i="8"/>
  <c r="D15" i="8"/>
  <c r="F15" i="8"/>
  <c r="J15" i="8"/>
  <c r="D27" i="5" l="1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<sst xmlns="http://schemas.openxmlformats.org/spreadsheetml/2006/main" count="4195" uniqueCount="1742">
  <si>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</si>
  <si>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</si>
  <si>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</si>
  <si>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</si>
  <si>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</si>
  <si>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</si>
  <si>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</si>
  <si>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</si>
  <si>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</si>
  <si>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</si>
  <si>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</si>
  <si>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</si>
  <si>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</si>
  <si>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</si>
  <si>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</si>
  <si>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</si>
  <si>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</si>
  <si>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</si>
  <si>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</si>
  <si>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</si>
  <si>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</si>
  <si>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</si>
  <si>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</si>
  <si>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</si>
  <si>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</si>
  <si>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</si>
  <si>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</si>
  <si>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</si>
  <si>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</si>
  <si>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</si>
  <si>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</si>
  <si>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</si>
  <si>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</si>
  <si>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</si>
  <si>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</si>
  <si>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</si>
  <si>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</si>
  <si>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</si>
  <si>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</si>
  <si>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</si>
  <si>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</si>
  <si>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</si>
  <si>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</si>
  <si>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</si>
  <si>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</si>
  <si>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</si>
  <si>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</si>
  <si>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</si>
  <si>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</si>
  <si>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</si>
  <si>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</si>
  <si>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</si>
  <si>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</si>
  <si>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</si>
  <si>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</si>
  <si>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</si>
  <si>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</si>
  <si>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</si>
  <si>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</si>
  <si>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</si>
  <si>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</si>
  <si>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</si>
  <si>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</si>
  <si>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</si>
  <si>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</si>
  <si>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</si>
  <si>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</si>
  <si>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</si>
  <si>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</si>
  <si>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</si>
  <si>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</si>
  <si>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</si>
  <si>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</si>
  <si>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</si>
  <si>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</si>
  <si>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</si>
  <si>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</si>
  <si>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</si>
  <si>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</si>
  <si>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</si>
  <si>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</si>
  <si>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</si>
  <si>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</si>
  <si>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</si>
  <si>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</si>
  <si>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</si>
  <si>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</si>
  <si>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</si>
  <si>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</si>
  <si>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</si>
  <si>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</si>
  <si>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</si>
  <si>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</si>
  <si>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</si>
  <si>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</si>
  <si>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</si>
  <si>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</si>
  <si>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</si>
  <si>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</si>
  <si>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</si>
  <si>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</si>
  <si>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</si>
  <si>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</si>
  <si>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</si>
  <si>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</si>
  <si>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</si>
  <si>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</si>
  <si>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</si>
  <si>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</si>
  <si>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</si>
  <si>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</si>
  <si>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</si>
  <si>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</si>
  <si>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</si>
  <si>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</si>
  <si>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</si>
  <si>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</si>
  <si>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</si>
  <si>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</si>
  <si>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</si>
  <si>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</si>
  <si>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</si>
  <si>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</si>
  <si>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</si>
  <si>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</si>
  <si>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</si>
  <si>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</si>
  <si>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</si>
  <si>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</si>
  <si>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</si>
  <si>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</si>
  <si>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</si>
  <si>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</si>
  <si>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</si>
  <si>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</si>
  <si>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</si>
  <si>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</si>
  <si>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</si>
  <si>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</si>
  <si>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</si>
  <si>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</si>
  <si>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</si>
  <si>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</si>
  <si>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</si>
  <si>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</si>
  <si>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</si>
  <si>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</si>
  <si>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</si>
  <si>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</si>
  <si>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</si>
  <si>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</si>
  <si>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</si>
  <si>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</si>
  <si>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</si>
  <si>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</si>
  <si>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</si>
  <si>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</si>
  <si>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</si>
  <si>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</si>
  <si>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</si>
  <si>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</si>
  <si>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</si>
  <si>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</si>
  <si>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</si>
  <si>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</si>
  <si>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</si>
  <si>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</si>
  <si>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</si>
  <si>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</si>
  <si>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</si>
  <si>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</si>
  <si>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</si>
  <si>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</si>
  <si>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</si>
  <si>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</si>
  <si>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</si>
  <si>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</si>
  <si>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</si>
  <si>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</si>
  <si>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</si>
  <si>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</si>
  <si>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</si>
  <si>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</si>
  <si>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</si>
  <si>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</si>
  <si>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</si>
  <si>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</si>
  <si>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</si>
  <si>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</si>
  <si>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</si>
  <si>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</si>
  <si>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</si>
  <si>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</si>
  <si>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</si>
  <si>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</si>
  <si>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</si>
  <si>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</si>
  <si>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</si>
  <si>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</si>
  <si>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</si>
  <si>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</si>
  <si>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</si>
  <si>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</si>
  <si>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</si>
  <si>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</si>
  <si>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</si>
  <si>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</si>
  <si>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</si>
  <si>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</si>
  <si>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</si>
  <si>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</si>
  <si>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</si>
  <si>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</si>
  <si>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</si>
  <si>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</si>
  <si>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</si>
  <si>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</si>
  <si>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</si>
  <si>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</si>
  <si>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</si>
  <si>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</si>
  <si>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</si>
  <si>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</si>
  <si>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</si>
  <si>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</si>
  <si>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</si>
  <si>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</si>
  <si>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</si>
  <si>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</si>
  <si>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</si>
  <si>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</si>
  <si>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</si>
  <si>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</si>
  <si>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</si>
  <si>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</si>
  <si>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</si>
  <si>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</si>
  <si>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</si>
  <si>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</si>
  <si>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</si>
  <si>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</si>
  <si>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</si>
  <si>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</si>
  <si>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</si>
  <si>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</si>
  <si>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</si>
  <si>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</si>
  <si>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</si>
  <si>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</si>
  <si>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</si>
  <si>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</si>
  <si>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</si>
  <si>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</si>
  <si>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</si>
  <si>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</si>
  <si>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</si>
  <si>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</si>
  <si>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</si>
  <si>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</si>
  <si>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</si>
  <si>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</si>
  <si>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</si>
  <si>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</si>
  <si>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</si>
  <si>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</si>
  <si>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</si>
  <si>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</si>
  <si>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</si>
  <si>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</si>
  <si>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</si>
  <si>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</si>
  <si>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</si>
  <si>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</si>
  <si>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</si>
  <si>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</si>
  <si>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</si>
  <si>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</si>
  <si>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</si>
  <si>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</si>
  <si>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</si>
  <si>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</si>
  <si>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</si>
  <si>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</si>
  <si>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</si>
  <si>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</si>
  <si>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</si>
  <si>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</si>
  <si>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</si>
  <si>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</si>
  <si>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</si>
  <si>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</si>
  <si>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</si>
  <si>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</si>
  <si>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</si>
  <si>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</si>
  <si>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</si>
  <si>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</si>
  <si>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</si>
  <si>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</si>
  <si>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</si>
  <si>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</si>
  <si>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</si>
  <si>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</si>
  <si>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</si>
  <si>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</si>
  <si>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</si>
  <si>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</si>
  <si>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</si>
  <si>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</si>
  <si>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</si>
  <si>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</si>
  <si>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</si>
  <si>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</si>
  <si>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</si>
  <si>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</si>
  <si>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</si>
  <si>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</si>
  <si>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</si>
  <si>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</si>
  <si>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</si>
  <si>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</si>
  <si>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</si>
  <si>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</si>
  <si>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</si>
  <si>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</si>
  <si>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</si>
  <si>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</si>
  <si>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</si>
  <si>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</si>
  <si>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</si>
  <si>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</si>
  <si>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</si>
  <si>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</si>
  <si>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</si>
  <si>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</si>
  <si>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</si>
  <si>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</si>
  <si>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</si>
  <si>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</si>
  <si>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</si>
  <si>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</si>
  <si>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</si>
  <si>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</si>
  <si>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</si>
  <si>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</si>
  <si>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</si>
  <si>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</si>
  <si>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</si>
  <si>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</si>
  <si>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</si>
  <si>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</si>
  <si>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</si>
  <si>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</si>
  <si>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</si>
  <si>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</si>
  <si>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</si>
  <si>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</si>
  <si>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</si>
  <si>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</si>
  <si>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</si>
  <si>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</si>
  <si>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</si>
  <si>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</si>
  <si>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</si>
  <si>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</si>
  <si>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</si>
  <si>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</si>
  <si>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</si>
  <si>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</si>
  <si>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</si>
  <si>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</si>
  <si>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</si>
  <si>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</si>
  <si>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</si>
  <si>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</si>
  <si>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</si>
  <si>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</si>
  <si>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</si>
  <si>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</si>
  <si>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</si>
  <si>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</si>
  <si>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</si>
  <si>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</si>
  <si>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</si>
  <si>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</si>
  <si>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</si>
  <si>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</si>
  <si>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</si>
  <si>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</si>
  <si>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</si>
  <si>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</si>
  <si>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</si>
  <si>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</si>
  <si>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</si>
  <si>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</si>
  <si>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</si>
  <si>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</si>
  <si>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</si>
  <si>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</si>
  <si>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</si>
  <si>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</si>
  <si>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</si>
  <si>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</si>
  <si>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</si>
  <si>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</si>
  <si>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</si>
  <si>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</si>
  <si>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</si>
  <si>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</si>
  <si>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</si>
  <si>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</si>
  <si>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</si>
  <si>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</si>
  <si>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</si>
  <si>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</si>
  <si>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</si>
  <si>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</si>
  <si>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</si>
  <si>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</si>
  <si>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</si>
  <si>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</si>
  <si>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</si>
  <si>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</si>
  <si>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</si>
  <si>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</si>
  <si>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</si>
  <si>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</si>
  <si>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</si>
  <si>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</si>
  <si>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</si>
  <si>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</si>
  <si>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</si>
  <si>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</si>
  <si>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</si>
  <si>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</si>
  <si>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</si>
  <si>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</si>
  <si>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</si>
  <si>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</si>
  <si>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</si>
  <si>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</si>
  <si>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</si>
  <si>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</si>
  <si>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</si>
  <si>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</si>
  <si>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</si>
  <si>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</si>
  <si>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</si>
  <si>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</si>
  <si>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</si>
  <si>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</si>
  <si>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</si>
  <si>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</si>
  <si>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</si>
  <si>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</si>
  <si>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</si>
  <si>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</si>
  <si>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</si>
  <si>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</si>
  <si>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</si>
  <si>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</si>
  <si>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</si>
  <si>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</si>
  <si>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</si>
  <si>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</si>
  <si>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</si>
  <si>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</si>
  <si>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</si>
  <si>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</si>
  <si>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</si>
  <si>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</si>
  <si>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</si>
  <si>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</si>
  <si>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</si>
  <si>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</si>
  <si>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</si>
  <si>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</si>
  <si>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</si>
  <si>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</si>
  <si>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</si>
  <si>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</si>
  <si>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</si>
  <si>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</si>
  <si>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</si>
  <si>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</si>
  <si>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</si>
  <si>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</si>
  <si>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</si>
  <si>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</si>
  <si>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</si>
  <si>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</si>
  <si>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</si>
  <si>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</si>
  <si>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</si>
  <si>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</si>
  <si>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</si>
  <si>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</si>
  <si>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</si>
  <si>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</si>
  <si>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</si>
  <si>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</si>
  <si>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</si>
  <si>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</si>
  <si>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</si>
  <si>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</si>
  <si>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</si>
  <si>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</si>
  <si>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</si>
  <si>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</si>
  <si>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</si>
  <si>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</si>
  <si>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</si>
  <si>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</si>
  <si>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</si>
  <si>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</si>
  <si>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</si>
  <si>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</si>
  <si>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</si>
  <si>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</si>
  <si>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</si>
  <si>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</si>
  <si>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</si>
  <si>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</si>
  <si>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</si>
  <si>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</si>
  <si>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</si>
  <si>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</si>
  <si>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</si>
  <si>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</si>
  <si>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</si>
  <si>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</si>
  <si>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</si>
  <si>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</si>
  <si>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</si>
  <si>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</si>
  <si>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</si>
  <si>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</si>
  <si>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</si>
  <si>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</si>
  <si>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</si>
  <si>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</si>
  <si>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</si>
  <si>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</si>
  <si>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</si>
  <si>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</si>
  <si>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</si>
  <si>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</si>
  <si>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</si>
  <si>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</si>
  <si>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</si>
  <si>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</si>
  <si>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</si>
  <si>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</si>
  <si>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</si>
  <si>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</si>
  <si>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</si>
  <si>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</si>
  <si>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</si>
  <si>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</si>
  <si>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</si>
  <si>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</si>
  <si>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</si>
  <si>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</si>
  <si>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</si>
  <si>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</si>
  <si>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</si>
  <si>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</si>
  <si>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</si>
  <si>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</si>
  <si>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</si>
  <si>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</si>
  <si>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</si>
  <si>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</si>
  <si>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</si>
  <si>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</si>
  <si>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</si>
  <si>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</si>
  <si>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</si>
  <si>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</si>
  <si>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</si>
  <si>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</si>
  <si>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</si>
  <si>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</si>
  <si>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</si>
  <si>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</si>
  <si>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</si>
  <si>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</si>
  <si>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</si>
  <si>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</si>
  <si>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</si>
  <si>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</si>
  <si>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</si>
  <si>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</si>
  <si>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</si>
  <si>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</si>
  <si>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</si>
  <si>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</si>
  <si>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</si>
  <si>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</si>
  <si>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</si>
  <si>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</si>
  <si>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</si>
  <si>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</si>
  <si>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</si>
  <si>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</si>
  <si>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</si>
  <si>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</si>
  <si>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</si>
  <si>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</si>
  <si>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</si>
  <si>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</si>
  <si>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</si>
  <si>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</si>
  <si>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</si>
  <si>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</si>
  <si>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</si>
  <si>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</si>
  <si>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</si>
  <si>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</si>
  <si>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</si>
  <si>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</si>
  <si>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</si>
  <si>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</si>
  <si>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</si>
  <si>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</si>
  <si>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</si>
  <si>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</si>
  <si>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</si>
  <si>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</si>
  <si>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</si>
  <si>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</si>
  <si>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</si>
  <si>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</si>
  <si>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</si>
  <si>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</si>
  <si>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</si>
  <si>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</si>
  <si>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</si>
  <si>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</si>
  <si>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</si>
  <si>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</si>
  <si>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</si>
  <si>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</si>
  <si>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</si>
  <si>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</si>
  <si>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</si>
  <si>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</si>
  <si>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</si>
  <si>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</si>
  <si>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</si>
  <si>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</si>
  <si>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</si>
  <si>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</si>
  <si>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</si>
  <si>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</si>
  <si>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</si>
  <si>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</si>
  <si>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</si>
  <si>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</si>
  <si>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</si>
  <si>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</si>
  <si>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</si>
  <si>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</si>
  <si>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</si>
  <si>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</si>
  <si>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</si>
  <si>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</si>
  <si>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</si>
  <si>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</si>
  <si>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</si>
  <si>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</si>
  <si>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</si>
  <si>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</si>
  <si>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</si>
  <si>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</si>
  <si>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</si>
  <si>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</si>
  <si>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</si>
  <si>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</si>
  <si>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</si>
  <si>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</si>
  <si>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</si>
  <si>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</si>
  <si>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</si>
  <si>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</si>
  <si>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</si>
  <si>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</si>
  <si>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</si>
  <si>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</si>
  <si>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</si>
  <si>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</si>
  <si>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</si>
  <si>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</si>
  <si>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</si>
  <si>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</si>
  <si>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</si>
  <si>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</si>
  <si>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</si>
  <si>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</si>
  <si>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</si>
  <si>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</si>
  <si>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</si>
  <si>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</si>
  <si>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</si>
  <si>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</si>
  <si>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</si>
  <si>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</si>
  <si>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</si>
  <si>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</si>
  <si>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</si>
  <si>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</si>
  <si>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</si>
  <si>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</si>
  <si>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</si>
  <si>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</si>
  <si>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</si>
  <si>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</si>
  <si>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</si>
  <si>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</si>
  <si>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</si>
  <si>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</si>
  <si>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</si>
  <si>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</si>
  <si>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</si>
  <si>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</si>
  <si>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</si>
  <si>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</si>
  <si>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</si>
  <si>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</si>
  <si>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</si>
  <si>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</si>
  <si>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</si>
  <si>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</si>
  <si>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</si>
  <si>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</si>
  <si>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</si>
  <si>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</si>
  <si>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</si>
  <si>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</si>
  <si>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</si>
  <si>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</si>
  <si>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</si>
  <si>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</si>
  <si>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</si>
  <si>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</si>
  <si>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</si>
  <si>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</si>
  <si>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</si>
  <si>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</si>
  <si>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</si>
  <si>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</si>
  <si>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</si>
  <si>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</si>
  <si>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</si>
  <si>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</si>
  <si>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</si>
  <si>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</si>
  <si>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</si>
  <si>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</si>
  <si>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</si>
  <si>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</si>
  <si>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</si>
  <si>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</si>
  <si>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</si>
  <si>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</si>
  <si>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</si>
  <si>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</si>
  <si>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</si>
  <si>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</si>
  <si>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</si>
  <si>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</si>
  <si>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</si>
  <si>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</si>
  <si>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</si>
  <si>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</si>
  <si>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</si>
  <si>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</si>
  <si>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</si>
  <si>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</si>
  <si>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</si>
  <si>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</si>
  <si>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</si>
  <si>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</si>
  <si>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</si>
  <si>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</si>
  <si>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</si>
  <si>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</si>
  <si>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</si>
  <si>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</si>
  <si>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</si>
  <si>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</si>
  <si>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</si>
  <si>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</si>
  <si>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</si>
  <si>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</si>
  <si>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</si>
  <si>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</si>
  <si>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</si>
  <si>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</si>
  <si>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</si>
  <si>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</si>
  <si>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</si>
  <si>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</si>
  <si>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</si>
  <si>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</si>
  <si>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</si>
  <si>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</si>
  <si>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</si>
  <si>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</si>
  <si>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</si>
  <si>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</si>
  <si>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</si>
  <si>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</si>
  <si>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</si>
  <si>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</si>
  <si>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</si>
  <si>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</si>
  <si>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</si>
  <si>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</si>
  <si>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</si>
  <si>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</si>
  <si>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</si>
  <si>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</si>
  <si>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</si>
  <si>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</si>
  <si>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</si>
  <si>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</si>
  <si>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</si>
  <si>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</si>
  <si>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</si>
  <si>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</si>
  <si>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</si>
  <si>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</si>
  <si>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</si>
  <si>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</si>
  <si>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</si>
  <si>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</si>
  <si>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</si>
  <si>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</si>
  <si>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</si>
  <si>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</si>
  <si>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</si>
  <si>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</si>
  <si>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</si>
  <si>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</si>
  <si>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</si>
  <si>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</si>
  <si>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</si>
  <si>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</si>
  <si>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</si>
  <si>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</si>
  <si>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</si>
  <si>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</si>
  <si>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</si>
  <si>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</si>
  <si>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</si>
  <si>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</si>
  <si>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</si>
  <si>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</si>
  <si>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</si>
  <si>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</si>
  <si>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</si>
  <si>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</si>
  <si>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</si>
  <si>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</si>
  <si>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</si>
  <si>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</si>
  <si>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</si>
  <si>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</si>
  <si>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</si>
  <si>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</si>
  <si>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</si>
  <si>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</si>
  <si>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</si>
  <si>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</si>
  <si>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</si>
  <si>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</si>
  <si>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</si>
  <si>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</si>
  <si>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</si>
  <si>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</si>
  <si>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</si>
  <si>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</si>
  <si>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</si>
  <si>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</si>
  <si>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</si>
  <si>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</si>
  <si>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</si>
  <si>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</si>
  <si>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</si>
  <si>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</si>
  <si>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</si>
  <si>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</si>
  <si>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</si>
  <si>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</si>
  <si>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</si>
  <si>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</si>
  <si>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</si>
  <si>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</si>
  <si>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</si>
  <si>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</si>
  <si>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</si>
  <si>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</si>
  <si>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</si>
  <si>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</si>
  <si>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</si>
  <si>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</si>
  <si>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</si>
  <si>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</si>
  <si>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</si>
  <si>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</si>
  <si>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</si>
  <si>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</si>
  <si>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</si>
  <si>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</si>
  <si>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</si>
  <si>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</si>
  <si>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</si>
  <si>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</si>
  <si>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</si>
  <si>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</si>
  <si>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</si>
  <si>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</si>
  <si>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</si>
  <si>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</si>
  <si>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</si>
  <si>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</si>
  <si>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</si>
  <si>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</si>
  <si>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</si>
  <si>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</si>
  <si>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</si>
  <si>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</si>
  <si>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</si>
  <si>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</si>
  <si>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</si>
  <si>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</si>
  <si>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</si>
  <si>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</si>
  <si>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</si>
  <si>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</si>
  <si>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</si>
  <si>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</si>
  <si>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</si>
  <si>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</si>
  <si>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</si>
  <si>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</si>
  <si>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</si>
  <si>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</si>
  <si>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</si>
  <si>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</si>
  <si>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</si>
  <si>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</si>
  <si>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</si>
  <si>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</si>
  <si>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</si>
  <si>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</si>
  <si>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</si>
  <si>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</si>
  <si>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</si>
  <si>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</si>
  <si>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</si>
  <si>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</si>
  <si>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</si>
  <si>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</si>
  <si>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</si>
  <si>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</si>
  <si>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</si>
  <si>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</si>
  <si>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</si>
  <si>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</si>
  <si>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</si>
  <si>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</si>
  <si>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</si>
  <si>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</si>
  <si>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</si>
  <si>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</si>
  <si>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</si>
  <si>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</si>
  <si>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</si>
  <si>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</si>
  <si>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</si>
  <si>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</si>
  <si>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</si>
  <si>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</si>
  <si>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</si>
  <si>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</si>
  <si>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</si>
  <si>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</si>
  <si>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</si>
  <si>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</si>
  <si>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</si>
  <si>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</si>
  <si>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</si>
  <si>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</si>
  <si>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</si>
  <si>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</si>
  <si>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</si>
  <si>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</si>
  <si>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</si>
  <si>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</si>
  <si>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</si>
  <si>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</si>
  <si>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</si>
  <si>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</si>
  <si>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</si>
  <si>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</si>
  <si>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</si>
  <si>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</si>
  <si>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</si>
  <si>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</si>
  <si>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</si>
  <si>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</si>
  <si>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</si>
  <si>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</si>
  <si>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</si>
  <si>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</si>
  <si>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</si>
  <si>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</si>
  <si>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</si>
  <si>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</si>
  <si>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</si>
  <si>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</si>
  <si>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</si>
  <si>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</si>
  <si>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</si>
  <si>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</si>
  <si>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</si>
  <si>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</si>
  <si>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</si>
  <si>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</si>
  <si>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</si>
  <si>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</si>
  <si>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</si>
  <si>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</si>
  <si>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</si>
  <si>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</si>
  <si>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</si>
  <si>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</si>
  <si>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</si>
  <si>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</si>
  <si>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</si>
  <si>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</si>
  <si>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</si>
  <si>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</si>
  <si>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</si>
  <si>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</si>
  <si>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</si>
  <si>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</si>
  <si>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</si>
  <si>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</si>
  <si>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</si>
  <si>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</si>
  <si>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</si>
  <si>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</si>
  <si>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</si>
  <si>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</si>
  <si>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</si>
  <si>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</si>
  <si>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</si>
  <si>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</si>
  <si>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</si>
  <si>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</si>
  <si>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</si>
  <si>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</si>
  <si>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</si>
  <si>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</si>
  <si>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</si>
  <si>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</si>
  <si>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</si>
  <si>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</si>
  <si>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</si>
  <si>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</si>
  <si>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</si>
  <si>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</si>
  <si>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</si>
  <si>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</si>
  <si>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</si>
  <si>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</si>
  <si>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</si>
  <si>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</si>
  <si>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</si>
  <si>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</si>
  <si>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</si>
  <si>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</si>
  <si>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</si>
  <si>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</si>
  <si>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</si>
  <si>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</si>
  <si>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</si>
  <si>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</si>
  <si>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</si>
  <si>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</si>
  <si>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</si>
  <si>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</si>
  <si>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</si>
  <si>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</si>
  <si>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</si>
  <si>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</si>
  <si>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</si>
  <si>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</si>
  <si>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</si>
  <si>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</si>
  <si>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</si>
  <si>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</si>
  <si>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</si>
  <si>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</si>
  <si>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</si>
  <si>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</si>
  <si>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</si>
  <si>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</si>
  <si>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</si>
  <si>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</si>
  <si>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</si>
  <si>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</si>
  <si>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</si>
  <si>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</si>
  <si>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</si>
  <si>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</si>
  <si>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</si>
  <si>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</si>
  <si>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</si>
  <si>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</si>
  <si>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</si>
  <si>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</si>
  <si>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</si>
  <si>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</si>
  <si>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</si>
  <si>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</si>
  <si>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</si>
  <si>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</si>
  <si>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</si>
  <si>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</si>
  <si>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</si>
  <si>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</si>
  <si>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</si>
  <si>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</si>
  <si>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</si>
  <si>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</si>
  <si>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</si>
  <si>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</si>
  <si>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</si>
  <si>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</si>
  <si>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</si>
  <si>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</si>
  <si>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</si>
  <si>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</si>
  <si>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</si>
  <si>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</si>
  <si>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</si>
  <si>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</si>
  <si>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</si>
  <si>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</si>
  <si>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</si>
  <si>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</si>
  <si>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</si>
  <si>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</si>
  <si>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</si>
  <si>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</si>
  <si>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</si>
  <si>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</si>
  <si>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</si>
  <si>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</si>
  <si>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</si>
  <si>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</si>
  <si>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</si>
  <si>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</si>
  <si>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</si>
  <si>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</si>
  <si>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</si>
  <si>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</si>
  <si>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</si>
  <si>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</si>
  <si>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</si>
  <si>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</si>
  <si>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</si>
  <si>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</si>
  <si>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</si>
  <si>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</si>
  <si>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</si>
  <si>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</si>
  <si>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</si>
  <si>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</si>
  <si>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</si>
  <si>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</si>
  <si>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</si>
  <si>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</si>
  <si>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</si>
  <si>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</si>
  <si>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</si>
  <si>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</si>
  <si>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</si>
  <si>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</si>
  <si>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</si>
  <si>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</si>
  <si>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</si>
  <si>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</si>
  <si>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</si>
  <si>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</si>
  <si>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</si>
  <si>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</si>
  <si>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</si>
  <si>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</si>
  <si>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</si>
  <si>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</si>
  <si>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</si>
  <si>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</si>
  <si>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</si>
  <si>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</si>
  <si>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</si>
  <si>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</si>
  <si>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</si>
  <si>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</si>
  <si>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</si>
  <si>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</si>
  <si>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</si>
  <si>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</si>
  <si>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</si>
  <si>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</si>
  <si>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</si>
  <si>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</si>
  <si>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</si>
  <si>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</si>
  <si>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</si>
  <si>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</si>
  <si>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</si>
  <si>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</si>
  <si>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</si>
  <si>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</si>
  <si>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</si>
  <si>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</si>
  <si>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</si>
  <si>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</si>
  <si>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</si>
  <si>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</si>
  <si>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</si>
  <si>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</si>
  <si>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</si>
  <si>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</si>
  <si>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</si>
  <si>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</si>
  <si>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</si>
  <si>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</si>
  <si>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</si>
  <si>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</si>
  <si>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</si>
  <si>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</si>
  <si>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</si>
  <si>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</si>
  <si>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</si>
  <si>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</si>
  <si>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</si>
  <si>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</si>
  <si>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</si>
  <si>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</si>
  <si>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</si>
  <si>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</si>
  <si>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</si>
  <si>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</si>
  <si>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</si>
  <si>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</si>
  <si>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</si>
  <si>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</si>
  <si>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</si>
  <si>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</si>
  <si>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</si>
  <si>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</si>
  <si>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</si>
  <si>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</si>
  <si>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</si>
  <si>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</si>
  <si>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</si>
  <si>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</si>
  <si>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</si>
  <si>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</si>
  <si>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</si>
  <si>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</si>
  <si>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</si>
  <si>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</si>
  <si>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</si>
  <si>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</si>
  <si>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</si>
  <si>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</si>
  <si>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</si>
  <si>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</si>
  <si>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</si>
  <si>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</si>
  <si>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</si>
  <si>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</si>
  <si>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</si>
  <si>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</si>
  <si>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</si>
  <si>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</si>
  <si>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</si>
  <si>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</si>
  <si>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</si>
  <si>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</si>
  <si>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</si>
  <si>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</si>
  <si>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</si>
  <si>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</si>
  <si>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</si>
  <si>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</si>
  <si>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</si>
  <si>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</si>
  <si>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</si>
  <si>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</si>
  <si>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</si>
  <si>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</si>
  <si>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</si>
  <si>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</si>
  <si>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</si>
  <si>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</si>
  <si>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</si>
  <si>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</si>
  <si>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</si>
  <si>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</si>
  <si>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</si>
  <si>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</si>
  <si>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</si>
  <si>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</si>
  <si>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</si>
  <si>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</si>
  <si>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</si>
  <si>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</si>
  <si>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</si>
  <si>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</si>
  <si>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</si>
  <si>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</si>
  <si>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</si>
  <si>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</si>
  <si>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</si>
  <si>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</si>
  <si>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</si>
  <si>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</si>
  <si>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</si>
  <si>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</si>
  <si>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</si>
  <si>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</si>
  <si>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</si>
  <si>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</si>
  <si>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</si>
  <si>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</si>
  <si>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</si>
  <si>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</si>
  <si>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</si>
  <si>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</si>
  <si>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</si>
  <si>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</si>
  <si>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</si>
  <si>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</si>
  <si>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</si>
  <si>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</si>
  <si>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</si>
  <si>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</si>
  <si>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</si>
  <si>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</si>
  <si>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</si>
  <si>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</si>
  <si>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</si>
  <si>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</si>
  <si>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</si>
  <si>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</si>
  <si>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</si>
  <si>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</si>
  <si>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</si>
  <si>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</si>
  <si>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</si>
  <si>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</si>
  <si>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</si>
  <si>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</si>
  <si>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</si>
  <si>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</si>
  <si>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</si>
  <si>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</si>
  <si>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</si>
  <si>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</si>
  <si>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</si>
  <si>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</si>
  <si>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</si>
  <si>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</si>
  <si>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</si>
  <si>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</si>
  <si>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</si>
  <si>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</si>
  <si>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</si>
  <si>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</si>
  <si>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</si>
  <si>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</si>
  <si>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</si>
  <si>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</si>
  <si>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</si>
  <si>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</si>
  <si>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</si>
  <si>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</si>
  <si>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</si>
  <si>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</si>
  <si>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</si>
  <si>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</si>
  <si>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</si>
  <si>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</si>
  <si>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</si>
  <si>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</si>
  <si>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</si>
  <si>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</si>
  <si>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</si>
  <si>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</si>
  <si>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</si>
  <si>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</si>
  <si>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</si>
  <si>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</si>
  <si>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</si>
  <si>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</si>
  <si>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</si>
  <si>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</si>
  <si>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</si>
  <si>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</si>
  <si>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</si>
  <si>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</si>
  <si>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</si>
  <si>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</si>
  <si>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</si>
  <si>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</si>
  <si>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</si>
  <si>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</si>
  <si>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</si>
  <si>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</si>
  <si>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</si>
  <si>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</si>
  <si>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</si>
  <si>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</si>
  <si>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</si>
  <si>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</si>
  <si>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</si>
  <si>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</si>
  <si>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</si>
  <si>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</si>
  <si>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</si>
  <si>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</si>
  <si>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</si>
  <si>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</si>
  <si>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</si>
  <si>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</si>
  <si>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</si>
  <si>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</si>
  <si>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</si>
  <si>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</si>
  <si>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</si>
  <si>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</si>
  <si>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</si>
  <si>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</si>
  <si>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</si>
  <si>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</si>
  <si>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</si>
  <si>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</si>
  <si>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</si>
  <si>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</si>
  <si>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</si>
  <si>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</si>
  <si>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</si>
  <si>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</si>
  <si>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</si>
  <si>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</si>
  <si>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</si>
  <si>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</si>
  <si>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</si>
  <si>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</si>
  <si>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</si>
  <si>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</si>
  <si>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</si>
  <si>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</si>
  <si>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</si>
  <si>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</si>
  <si>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</si>
  <si>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</si>
  <si>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</si>
  <si>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</si>
  <si>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</si>
  <si>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</si>
  <si>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</si>
  <si>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</si>
  <si>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</si>
  <si>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</si>
  <si>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</si>
  <si>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</si>
  <si>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</si>
  <si>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</si>
  <si>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</si>
  <si>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</si>
  <si>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</si>
  <si>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</si>
  <si>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</si>
  <si>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</si>
  <si>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</si>
  <si>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</si>
  <si>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</si>
  <si>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</si>
  <si>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</si>
  <si>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</si>
  <si>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</si>
  <si>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</si>
  <si>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</si>
  <si>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</si>
  <si>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</si>
  <si>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</si>
  <si>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</si>
  <si>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</si>
  <si>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</si>
  <si>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</si>
  <si>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</si>
  <si>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</si>
  <si>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</si>
  <si>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</si>
  <si>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</si>
  <si>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</si>
  <si>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</si>
  <si>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</si>
  <si>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</si>
  <si>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</si>
  <si>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</si>
  <si>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</si>
  <si>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</si>
  <si>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</si>
  <si>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</si>
  <si>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</si>
  <si>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</si>
  <si>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</si>
  <si>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</si>
  <si>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</si>
  <si>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</si>
  <si>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</si>
  <si>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</si>
  <si>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</si>
  <si>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</si>
  <si>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</si>
  <si>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</si>
  <si>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</si>
  <si>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</si>
  <si>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</si>
  <si>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</si>
  <si>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</si>
  <si>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</si>
  <si>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</si>
  <si>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</si>
  <si>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</si>
  <si>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</si>
  <si>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</si>
  <si>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</si>
  <si>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</si>
  <si>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</si>
  <si>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</si>
  <si>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</si>
  <si>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</si>
  <si>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</si>
  <si>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</si>
  <si>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</si>
  <si>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</si>
  <si>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</si>
  <si>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</si>
  <si>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</si>
  <si>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</si>
  <si>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</si>
  <si>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</si>
  <si>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</si>
  <si>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</si>
  <si>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</si>
  <si>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</si>
  <si>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</si>
  <si>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</si>
  <si>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</si>
  <si>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</si>
  <si>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</si>
  <si>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</si>
  <si>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</si>
  <si>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</si>
  <si>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</si>
  <si>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</si>
  <si>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</si>
  <si>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</si>
  <si>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</si>
  <si>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</si>
  <si>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</si>
  <si>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</si>
  <si>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</si>
  <si>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</si>
  <si>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</si>
  <si>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</si>
  <si>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</si>
  <si>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</si>
  <si>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</si>
  <si>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</si>
  <si>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</si>
  <si>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</si>
  <si>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</si>
  <si>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</si>
  <si>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</si>
  <si>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</si>
  <si>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</si>
  <si>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</si>
  <si>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</si>
  <si>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</si>
  <si>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</si>
  <si>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</si>
  <si>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</si>
  <si>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</si>
  <si>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</si>
  <si>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</si>
  <si>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</si>
  <si>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</si>
  <si>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</si>
  <si>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</si>
  <si>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</si>
  <si>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</si>
  <si>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</si>
  <si>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</si>
  <si>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</si>
  <si>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</si>
  <si>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</si>
  <si>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</si>
  <si>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</si>
  <si>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</si>
  <si>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</si>
  <si>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</si>
  <si>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</si>
  <si>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</si>
  <si>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</si>
  <si>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</si>
  <si>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</si>
  <si>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</si>
  <si>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</si>
  <si>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</si>
  <si>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</si>
  <si>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</si>
  <si>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</si>
  <si>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</si>
  <si>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</si>
  <si>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</si>
  <si>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</si>
  <si>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</si>
  <si>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</si>
  <si>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</si>
  <si>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</si>
  <si>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</si>
  <si>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</si>
  <si>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</si>
  <si>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</si>
  <si>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</si>
  <si>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</si>
  <si>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</si>
  <si>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</si>
  <si>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</si>
  <si>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</si>
  <si>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</si>
  <si>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</si>
  <si>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</si>
  <si>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</si>
  <si>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</si>
  <si>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</si>
  <si>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</si>
  <si>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</si>
  <si>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</si>
  <si>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</si>
  <si>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</si>
  <si>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</si>
  <si>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</si>
  <si>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</si>
  <si>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</si>
  <si>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</si>
  <si>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</si>
  <si>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</si>
  <si>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</si>
  <si>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</si>
  <si>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</si>
  <si>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</si>
  <si>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</si>
  <si>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</si>
  <si>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</si>
  <si>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</si>
  <si>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</si>
  <si>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</si>
  <si>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</si>
  <si>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</si>
  <si>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</si>
  <si>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</si>
  <si>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</si>
  <si>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</si>
  <si>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</si>
  <si>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</si>
  <si>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</si>
  <si>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</si>
  <si>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</si>
  <si>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</si>
  <si>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</si>
  <si>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</si>
  <si>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</si>
  <si>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</si>
  <si>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</si>
  <si>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</si>
  <si>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</si>
  <si>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</si>
  <si>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</si>
  <si>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</si>
  <si>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</si>
  <si>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</si>
  <si>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</si>
  <si>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</si>
  <si>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</si>
  <si>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</si>
  <si>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</si>
  <si>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</si>
  <si>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</si>
  <si>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</si>
  <si>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</si>
  <si>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</si>
  <si>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</si>
  <si>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</si>
  <si>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</si>
  <si>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</si>
  <si>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</si>
  <si>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</si>
  <si>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</si>
  <si>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</si>
  <si>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</si>
  <si>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</si>
  <si>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</si>
  <si>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</si>
  <si>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</si>
  <si>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</si>
  <si>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</si>
  <si>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</si>
  <si>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</si>
  <si>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</si>
  <si>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</si>
  <si>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</si>
  <si>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</si>
  <si>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</si>
  <si>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</si>
  <si>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PTVS3V3S1UR</t>
  </si>
  <si>
    <t>SOD-123W</t>
  </si>
  <si>
    <t>https://static.chipdip.ru/lib/142/DOC011142045.pdf</t>
  </si>
  <si>
    <t>SMAJ5.0A-TR</t>
  </si>
  <si>
    <t>https://static.chipdip.ru/lib/904/DOC012904895.pdf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</si>
</sst>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9" tableType="xml" totalsRowShown="0" headerRowDxfId="146" connectionId="6">
  <autoFilter ref="A1:M69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6" tableType="xml" totalsRowShown="0" dataDxfId="141" connectionId="19">
  <autoFilter ref="A1:M16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8" tableType="xml" totalsRowShown="0" headerRowDxfId="3" connectionId="7">
  <autoFilter ref="A1:L68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9"/>
  <sheetViews>
    <sheetView topLeftCell="E43" zoomScale="85" zoomScaleNormal="85" workbookViewId="0">
      <selection activeCell="E71" sqref="E71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3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3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3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3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3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5" customHeight="1" x14ac:dyDescent="0.3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6"/>
  <sheetViews>
    <sheetView tabSelected="1" zoomScale="85" zoomScaleNormal="85" workbookViewId="0">
      <selection activeCell="L24" sqref="L24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30.81640625" customWidth="1"/>
    <col min="5" max="5" width="11.6328125" customWidth="1"/>
    <col min="6" max="6" width="32.81640625" customWidth="1"/>
    <col min="7" max="7" width="15.453125" customWidth="1"/>
    <col min="8" max="8" width="13.36328125" customWidth="1"/>
    <col min="9" max="9" width="11.179687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3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35">
      <c r="A15" s="59" t="s">
        <v>1737</v>
      </c>
      <c r="B15" s="59" t="str">
        <f xml:space="preserve"> IF(K15="RS-485","Защитный диод для линии RS-485",CONCATENATE("Защитный диод на ", H15," В, рассеиваемая мощность ", I15," Вт"))</f>
        <v>Защитный диод на 3,3 В, рассеиваемая мощность 400 Вт</v>
      </c>
      <c r="C15" s="59" t="str">
        <f>A15</f>
        <v>PTVS3V3S1UR</v>
      </c>
      <c r="D15" s="59" t="str">
        <f>CONCATENATE("Schematic\TVS\",E15,".SchLib")</f>
        <v>Schematic\TVS\TVS_1_1dir.SchLib</v>
      </c>
      <c r="E15" s="59" t="s">
        <v>78</v>
      </c>
      <c r="F15" s="59" t="str">
        <f>CONCATENATE("Footprints\",G15,".PcbLib")</f>
        <v>Footprints\SOD-123W.PcbLib</v>
      </c>
      <c r="G15" s="59" t="s">
        <v>1738</v>
      </c>
      <c r="H15" s="59">
        <v>3.3</v>
      </c>
      <c r="I15" s="59">
        <v>400</v>
      </c>
      <c r="J15" s="59" t="str">
        <f xml:space="preserve"> CONCATENATE(H15," В")</f>
        <v>3,3 В</v>
      </c>
      <c r="K15" s="59"/>
      <c r="L15" s="59" t="s">
        <v>1739</v>
      </c>
      <c r="M15" s="59" t="s">
        <v>1694</v>
      </c>
    </row>
    <row r="16" spans="1:13" x14ac:dyDescent="0.35">
      <c r="A16" s="59" t="s">
        <v>1740</v>
      </c>
      <c r="B16" s="59" t="str">
        <f xml:space="preserve"> IF(K16="RS-485","Защитный диод для линии RS-485",CONCATENATE("Защитный диод на ", H16," В, рассеиваемая мощность ", I16," Вт"))</f>
        <v>Защитный диод на 5 В, рассеиваемая мощность 400 Вт</v>
      </c>
      <c r="C16" s="59" t="str">
        <f>A16</f>
        <v>SMAJ5.0A-TR</v>
      </c>
      <c r="D16" s="59" t="str">
        <f>CONCATENATE("Schematic\TVS\",E16,".SchLib")</f>
        <v>Schematic\TVS\TVS_1_1dir.SchLib</v>
      </c>
      <c r="E16" s="59" t="s">
        <v>78</v>
      </c>
      <c r="F16" s="59" t="str">
        <f>CONCATENATE("Footprints\",G16,".PcbLib")</f>
        <v>Footprints\SMA.PcbLib</v>
      </c>
      <c r="G16" s="59" t="s">
        <v>128</v>
      </c>
      <c r="H16" s="59">
        <v>5</v>
      </c>
      <c r="I16" s="59">
        <v>400</v>
      </c>
      <c r="J16" s="59" t="str">
        <f xml:space="preserve"> CONCATENATE(H16," В")</f>
        <v>5 В</v>
      </c>
      <c r="K16" s="59"/>
      <c r="L16" s="59" t="s">
        <v>1741</v>
      </c>
      <c r="M16" s="59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5" x14ac:dyDescent="0.3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5" x14ac:dyDescent="0.3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5" x14ac:dyDescent="0.3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5" x14ac:dyDescent="0.3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5" x14ac:dyDescent="0.3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5" x14ac:dyDescent="0.3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5" x14ac:dyDescent="0.3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5" x14ac:dyDescent="0.3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5" x14ac:dyDescent="0.3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5" x14ac:dyDescent="0.3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5" x14ac:dyDescent="0.3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5" x14ac:dyDescent="0.3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5" x14ac:dyDescent="0.3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5" x14ac:dyDescent="0.3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5" x14ac:dyDescent="0.3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5" x14ac:dyDescent="0.3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5" x14ac:dyDescent="0.3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5" x14ac:dyDescent="0.3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5" x14ac:dyDescent="0.3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5" x14ac:dyDescent="0.3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5" x14ac:dyDescent="0.3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5" x14ac:dyDescent="0.3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5" max="15" width="11.8164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35">
      <c r="A27" s="59" t="s">
        <v>1728</v>
      </c>
      <c r="B27" s="59" t="s">
        <v>55</v>
      </c>
      <c r="C27" s="59" t="str">
        <f t="shared" ref="C27:C28" si="10">A27</f>
        <v>KLS7-TS3601</v>
      </c>
      <c r="D27" t="str">
        <f>CONCATENATE("Schematic\",E27,".SchLib")</f>
        <v>Schematic\Tact_button.SchLib</v>
      </c>
      <c r="E27" s="59" t="s">
        <v>54</v>
      </c>
      <c r="F27" s="59" t="str">
        <f>CONCATENATE("Footprints\Buttons\",G27,".PcbLib")</f>
        <v>Footprints\Buttons\KLS7-TS3601.PcbLib</v>
      </c>
      <c r="G27" s="59" t="s">
        <v>1728</v>
      </c>
      <c r="H27" s="59"/>
      <c r="I27" s="59"/>
      <c r="J27" s="59" t="str">
        <f t="shared" ref="J27:J28" si="11">CONCATENATE("Footprints\",K27,".PcbLib")</f>
        <v>Footprints\.PcbLib</v>
      </c>
      <c r="K27" s="59"/>
      <c r="L27" s="2" t="str">
        <f t="shared" ref="L27:L28" si="12">CONCATENATE("Footprints\",M27,".PcbLib")</f>
        <v>Footprints\.PcbLib</v>
      </c>
      <c r="M27" s="59"/>
      <c r="N27" s="59"/>
      <c r="O27" s="59" t="s">
        <v>1729</v>
      </c>
      <c r="P27" s="59" t="s">
        <v>1714</v>
      </c>
    </row>
    <row r="28" spans="1:16" x14ac:dyDescent="0.35">
      <c r="A28" s="59" t="s">
        <v>1730</v>
      </c>
      <c r="B28" s="59" t="s">
        <v>1731</v>
      </c>
      <c r="C28" s="59" t="str">
        <f t="shared" si="10"/>
        <v>L-KLS5-CR2032-03</v>
      </c>
      <c r="D28" t="s">
        <v>1012</v>
      </c>
      <c r="E28" s="59" t="s">
        <v>1013</v>
      </c>
      <c r="F28" s="59" t="str">
        <f t="shared" ref="F28" si="13">CONCATENATE("Footprints\",G28,".PcbLib")</f>
        <v>Footprints\L-KLS5-CR2032-03.PcbLib</v>
      </c>
      <c r="G28" s="59" t="s">
        <v>1730</v>
      </c>
      <c r="H28" s="59"/>
      <c r="I28" s="59"/>
      <c r="J28" s="59" t="str">
        <f t="shared" si="11"/>
        <v>Footprints\.PcbLib</v>
      </c>
      <c r="K28" s="59"/>
      <c r="L28" s="2" t="str">
        <f t="shared" si="12"/>
        <v>Footprints\.PcbLib</v>
      </c>
      <c r="M28" s="59"/>
      <c r="N28" s="59"/>
      <c r="O28" s="59" t="s">
        <v>1732</v>
      </c>
      <c r="P28" s="59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8"/>
  <sheetViews>
    <sheetView topLeftCell="A46" zoomScale="85" zoomScaleNormal="85" workbookViewId="0">
      <selection activeCell="D71" sqref="D71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1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5">
      <c r="A67" t="s">
        <v>1589</v>
      </c>
      <c r="B67" t="s">
        <v>1590</v>
      </c>
      <c r="C67" s="2" t="s">
        <v>1589</v>
      </c>
      <c r="D67" t="str">
        <f t="shared" ref="D67:D68" si="11">CONCATENATE("Schematic\Connectors\", E67, ".SchLib")</f>
        <v>Schematic\Connectors\Conn_4pin_sh.SchLib</v>
      </c>
      <c r="E67" t="s">
        <v>1588</v>
      </c>
      <c r="F67" t="str">
        <f t="shared" ref="F67:F68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35">
      <c r="A68" s="60" t="s">
        <v>1733</v>
      </c>
      <c r="B68" s="60" t="s">
        <v>1734</v>
      </c>
      <c r="C68" s="61" t="str">
        <f t="shared" ref="C68" si="13">A68</f>
        <v>Mini-USB-B5F</v>
      </c>
      <c r="D68" s="62" t="str">
        <f t="shared" si="11"/>
        <v>Schematic\Connectors\Mini-USB-B5F.SchLib</v>
      </c>
      <c r="E68" s="61" t="str">
        <f t="shared" ref="E68" si="14">C68</f>
        <v>Mini-USB-B5F</v>
      </c>
      <c r="F68" s="62" t="str">
        <f t="shared" si="12"/>
        <v>Footprints\Connectors\KLS1-229-5FA.PcbLib</v>
      </c>
      <c r="G68" s="60" t="s">
        <v>1735</v>
      </c>
      <c r="H68" s="60"/>
      <c r="I68" s="60"/>
      <c r="J68" s="60" t="s">
        <v>1736</v>
      </c>
      <c r="K68" s="41" t="s">
        <v>978</v>
      </c>
      <c r="L68" s="60" t="s">
        <v>1714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2026-09-28T18:54:19Z</dcterms:modified>
</cp:coreProperties>
</file>