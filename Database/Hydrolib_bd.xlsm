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ЭтаКнига"/>
  <xr:revisionPtr revIDLastSave="0" documentId="13_ncr:1_{939A96C0-6C05-44FF-80F2-C3D48A2C9265}" xr6:coauthVersionLast="45" xr6:coauthVersionMax="47" xr10:uidLastSave="{00000000-0000-0000-0000-000000000000}"/>
  <bookViews>
    <workbookView xWindow="-120" yWindow="-120" windowWidth="25840" windowHeight="14180" tabRatio="89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0" i="1" l="1"/>
  <c r="D70" i="1"/>
  <c r="F70" i="1"/>
  <c r="B15" i="8" l="1"/>
  <c r="C15" i="8"/>
  <c r="D15" i="8"/>
  <c r="F15" i="8"/>
  <c r="J15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<sst xmlns="http://schemas.openxmlformats.org/spreadsheetml/2006/main" count="4204" uniqueCount="1747">
  <si>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</si>
  <si>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</si>
  <si>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</si>
  <si>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</si>
  <si>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</si>
  <si>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</si>
  <si>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</si>
  <si>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</si>
  <si>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</si>
  <si>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</si>
  <si>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</si>
  <si>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</si>
  <si>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</si>
  <si>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</si>
  <si>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</si>
  <si>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</si>
  <si>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</si>
  <si>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</si>
  <si>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</si>
  <si>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</si>
  <si>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</si>
  <si>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</si>
  <si>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</si>
  <si>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</si>
  <si>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</si>
  <si>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</si>
  <si>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</si>
  <si>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</si>
  <si>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</si>
  <si>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</si>
  <si>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</si>
  <si>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</si>
  <si>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</si>
  <si>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</si>
  <si>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</si>
  <si>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</si>
  <si>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</si>
  <si>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</si>
  <si>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</si>
  <si>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</si>
  <si>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</si>
  <si>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</si>
  <si>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</si>
  <si>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</si>
  <si>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</si>
  <si>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</si>
  <si>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</si>
  <si>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</si>
  <si>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</si>
  <si>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</si>
  <si>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</si>
  <si>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</si>
  <si>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</si>
  <si>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</si>
  <si>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</si>
  <si>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</si>
  <si>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</si>
  <si>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</si>
  <si>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</si>
  <si>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</si>
  <si>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</si>
  <si>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</si>
  <si>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</si>
  <si>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</si>
  <si>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</si>
  <si>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</si>
  <si>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</si>
  <si>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</si>
  <si>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</si>
  <si>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</si>
  <si>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</si>
  <si>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</si>
  <si>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</si>
  <si>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</si>
  <si>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</si>
  <si>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</si>
  <si>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</si>
  <si>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</si>
  <si>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</si>
  <si>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</si>
  <si>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</si>
  <si>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</si>
  <si>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</si>
  <si>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</si>
  <si>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</si>
  <si>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</si>
  <si>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</si>
  <si>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</si>
  <si>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</si>
  <si>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</si>
  <si>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</si>
  <si>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</si>
  <si>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</si>
  <si>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</si>
  <si>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</si>
  <si>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</si>
  <si>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</si>
  <si>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</si>
  <si>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</si>
  <si>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</si>
  <si>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</si>
  <si>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</si>
  <si>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</si>
  <si>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</si>
  <si>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</si>
  <si>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</si>
  <si>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</si>
  <si>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</si>
  <si>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</si>
  <si>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</si>
  <si>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</si>
  <si>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</si>
  <si>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</si>
  <si>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</si>
  <si>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</si>
  <si>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</si>
  <si>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</si>
  <si>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</si>
  <si>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</si>
  <si>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</si>
  <si>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</si>
  <si>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</si>
  <si>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</si>
  <si>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</si>
  <si>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</si>
  <si>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</si>
  <si>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</si>
  <si>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</si>
  <si>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</si>
  <si>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</si>
  <si>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</si>
  <si>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</si>
  <si>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</si>
  <si>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</si>
  <si>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</si>
  <si>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</si>
  <si>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</si>
  <si>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</si>
  <si>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</si>
  <si>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</si>
  <si>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</si>
  <si>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</si>
  <si>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</si>
  <si>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</si>
  <si>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</si>
  <si>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</si>
  <si>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</si>
  <si>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</si>
  <si>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</si>
  <si>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</si>
  <si>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</si>
  <si>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</si>
  <si>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</si>
  <si>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</si>
  <si>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</si>
  <si>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</si>
  <si>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</si>
  <si>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</si>
  <si>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</si>
  <si>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</si>
  <si>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</si>
  <si>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</si>
  <si>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</si>
  <si>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</si>
  <si>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</si>
  <si>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</si>
  <si>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</si>
  <si>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</si>
  <si>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</si>
  <si>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</si>
  <si>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</si>
  <si>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</si>
  <si>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</si>
  <si>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</si>
  <si>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</si>
  <si>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</si>
  <si>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</si>
  <si>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</si>
  <si>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</si>
  <si>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</si>
  <si>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</si>
  <si>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</si>
  <si>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</si>
  <si>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</si>
  <si>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</si>
  <si>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</si>
  <si>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</si>
  <si>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</si>
  <si>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</si>
  <si>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</si>
  <si>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</si>
  <si>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</si>
  <si>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</si>
  <si>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</si>
  <si>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</si>
  <si>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</si>
  <si>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</si>
  <si>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</si>
  <si>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</si>
  <si>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</si>
  <si>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</si>
  <si>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</si>
  <si>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</si>
  <si>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</si>
  <si>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</si>
  <si>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</si>
  <si>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</si>
  <si>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</si>
  <si>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</si>
  <si>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</si>
  <si>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</si>
  <si>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</si>
  <si>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</si>
  <si>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</si>
  <si>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</si>
  <si>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</si>
  <si>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</si>
  <si>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</si>
  <si>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</si>
  <si>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</si>
  <si>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</si>
  <si>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</si>
  <si>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</si>
  <si>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</si>
  <si>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</si>
  <si>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</si>
  <si>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</si>
  <si>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</si>
  <si>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</si>
  <si>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</si>
  <si>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</si>
  <si>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</si>
  <si>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</si>
  <si>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</si>
  <si>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</si>
  <si>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</si>
  <si>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</si>
  <si>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</si>
  <si>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</si>
  <si>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</si>
  <si>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</si>
  <si>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</si>
  <si>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</si>
  <si>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</si>
  <si>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</si>
  <si>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</si>
  <si>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</si>
  <si>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</si>
  <si>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</si>
  <si>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</si>
  <si>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</si>
  <si>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</si>
  <si>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</si>
  <si>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</si>
  <si>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</si>
  <si>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</si>
  <si>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</si>
  <si>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</si>
  <si>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</si>
  <si>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</si>
  <si>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</si>
  <si>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</si>
  <si>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</si>
  <si>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</si>
  <si>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</si>
  <si>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</si>
  <si>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</si>
  <si>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</si>
  <si>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</si>
  <si>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</si>
  <si>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</si>
  <si>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</si>
  <si>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</si>
  <si>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</si>
  <si>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</si>
  <si>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</si>
  <si>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</si>
  <si>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</si>
  <si>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</si>
  <si>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</si>
  <si>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</si>
  <si>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</si>
  <si>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</si>
  <si>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</si>
  <si>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</si>
  <si>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</si>
  <si>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</si>
  <si>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</si>
  <si>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</si>
  <si>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</si>
  <si>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</si>
  <si>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</si>
  <si>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</si>
  <si>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</si>
  <si>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</si>
  <si>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</si>
  <si>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</si>
  <si>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</si>
  <si>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</si>
  <si>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</si>
  <si>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</si>
  <si>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</si>
  <si>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</si>
  <si>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</si>
  <si>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</si>
  <si>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</si>
  <si>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</si>
  <si>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</si>
  <si>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</si>
  <si>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</si>
  <si>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</si>
  <si>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</si>
  <si>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</si>
  <si>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</si>
  <si>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</si>
  <si>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</si>
  <si>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</si>
  <si>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</si>
  <si>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</si>
  <si>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</si>
  <si>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</si>
  <si>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</si>
  <si>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</si>
  <si>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</si>
  <si>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</si>
  <si>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</si>
  <si>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</si>
  <si>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</si>
  <si>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</si>
  <si>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</si>
  <si>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</si>
  <si>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</si>
  <si>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</si>
  <si>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</si>
  <si>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</si>
  <si>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</si>
  <si>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</si>
  <si>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</si>
  <si>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</si>
  <si>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</si>
  <si>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</si>
  <si>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</si>
  <si>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</si>
  <si>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</si>
  <si>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</si>
  <si>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</si>
  <si>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</si>
  <si>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</si>
  <si>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</si>
  <si>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</si>
  <si>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</si>
  <si>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</si>
  <si>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</si>
  <si>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</si>
  <si>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</si>
  <si>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</si>
  <si>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</si>
  <si>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</si>
  <si>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</si>
  <si>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</si>
  <si>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</si>
  <si>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</si>
  <si>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</si>
  <si>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</si>
  <si>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</si>
  <si>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</si>
  <si>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</si>
  <si>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</si>
  <si>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</si>
  <si>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</si>
  <si>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</si>
  <si>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</si>
  <si>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</si>
  <si>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</si>
  <si>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</si>
  <si>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</si>
  <si>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</si>
  <si>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</si>
  <si>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</si>
  <si>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</si>
  <si>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</si>
  <si>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</si>
  <si>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</si>
  <si>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</si>
  <si>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</si>
  <si>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</si>
  <si>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</si>
  <si>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</si>
  <si>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</si>
  <si>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</si>
  <si>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</si>
  <si>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</si>
  <si>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</si>
  <si>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</si>
  <si>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</si>
  <si>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</si>
  <si>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</si>
  <si>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</si>
  <si>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</si>
  <si>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</si>
  <si>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</si>
  <si>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</si>
  <si>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</si>
  <si>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</si>
  <si>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</si>
  <si>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</si>
  <si>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</si>
  <si>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</si>
  <si>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</si>
  <si>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</si>
  <si>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</si>
  <si>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</si>
  <si>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</si>
  <si>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</si>
  <si>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</si>
  <si>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</si>
  <si>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</si>
  <si>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</si>
  <si>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</si>
  <si>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</si>
  <si>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</si>
  <si>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</si>
  <si>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</si>
  <si>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</si>
  <si>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</si>
  <si>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</si>
  <si>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</si>
  <si>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</si>
  <si>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</si>
  <si>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</si>
  <si>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</si>
  <si>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</si>
  <si>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</si>
  <si>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</si>
  <si>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</si>
  <si>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</si>
  <si>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</si>
  <si>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</si>
  <si>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</si>
  <si>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</si>
  <si>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</si>
  <si>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</si>
  <si>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</si>
  <si>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</si>
  <si>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</si>
  <si>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</si>
  <si>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</si>
  <si>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</si>
  <si>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</si>
  <si>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</si>
  <si>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</si>
  <si>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</si>
  <si>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</si>
  <si>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</si>
  <si>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</si>
  <si>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</si>
  <si>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</si>
  <si>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</si>
  <si>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</si>
  <si>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</si>
  <si>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</si>
  <si>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</si>
  <si>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</si>
  <si>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</si>
  <si>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</si>
  <si>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</si>
  <si>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</si>
  <si>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</si>
  <si>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</si>
  <si>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</si>
  <si>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</si>
  <si>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</si>
  <si>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</si>
  <si>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</si>
  <si>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</si>
  <si>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</si>
  <si>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</si>
  <si>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</si>
  <si>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</si>
  <si>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</si>
  <si>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</si>
  <si>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</si>
  <si>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</si>
  <si>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</si>
  <si>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</si>
  <si>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</si>
  <si>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</si>
  <si>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</si>
  <si>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</si>
  <si>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</si>
  <si>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</si>
  <si>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</si>
  <si>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</si>
  <si>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</si>
  <si>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</si>
  <si>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</si>
  <si>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</si>
  <si>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</si>
  <si>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</si>
  <si>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</si>
  <si>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</si>
  <si>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</si>
  <si>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</si>
  <si>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</si>
  <si>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</si>
  <si>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</si>
  <si>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</si>
  <si>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</si>
  <si>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</si>
  <si>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</si>
  <si>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</si>
  <si>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</si>
  <si>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</si>
  <si>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</si>
  <si>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</si>
  <si>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</si>
  <si>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</si>
  <si>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</si>
  <si>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</si>
  <si>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</si>
  <si>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</si>
  <si>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</si>
  <si>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</si>
  <si>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</si>
  <si>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</si>
  <si>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</si>
  <si>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</si>
  <si>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</si>
  <si>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</si>
  <si>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</si>
  <si>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</si>
  <si>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</si>
  <si>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</si>
  <si>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</si>
  <si>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</si>
  <si>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</si>
  <si>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</si>
  <si>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</si>
  <si>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</si>
  <si>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</si>
  <si>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</si>
  <si>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</si>
  <si>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</si>
  <si>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</si>
  <si>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</si>
  <si>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</si>
  <si>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</si>
  <si>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</si>
  <si>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</si>
  <si>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</si>
  <si>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</si>
  <si>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</si>
  <si>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</si>
  <si>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</si>
  <si>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</si>
  <si>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</si>
  <si>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</si>
  <si>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</si>
  <si>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</si>
  <si>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</si>
  <si>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</si>
  <si>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</si>
  <si>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</si>
  <si>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</si>
  <si>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</si>
  <si>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</si>
  <si>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</si>
  <si>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</si>
  <si>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</si>
  <si>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</si>
  <si>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</si>
  <si>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</si>
  <si>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</si>
  <si>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</si>
  <si>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</si>
  <si>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</si>
  <si>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</si>
  <si>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</si>
  <si>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</si>
  <si>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</si>
  <si>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</si>
  <si>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</si>
  <si>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</si>
  <si>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</si>
  <si>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</si>
  <si>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</si>
  <si>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</si>
  <si>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</si>
  <si>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</si>
  <si>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</si>
  <si>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</si>
  <si>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</si>
  <si>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</si>
  <si>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</si>
  <si>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</si>
  <si>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</si>
  <si>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</si>
  <si>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</si>
  <si>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</si>
  <si>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</si>
  <si>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</si>
  <si>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</si>
  <si>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</si>
  <si>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</si>
  <si>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</si>
  <si>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</si>
  <si>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</si>
  <si>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</si>
  <si>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</si>
  <si>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</si>
  <si>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</si>
  <si>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</si>
  <si>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</si>
  <si>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</si>
  <si>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</si>
  <si>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</si>
  <si>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</si>
  <si>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</si>
  <si>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</si>
  <si>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</si>
  <si>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</si>
  <si>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</si>
  <si>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</si>
  <si>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</si>
  <si>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</si>
  <si>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</si>
  <si>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</si>
  <si>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</si>
  <si>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</si>
  <si>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</si>
  <si>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</si>
  <si>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</si>
  <si>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</si>
  <si>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</si>
  <si>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</si>
  <si>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</si>
  <si>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</si>
  <si>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</si>
  <si>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</si>
  <si>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</si>
  <si>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</si>
  <si>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</si>
  <si>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</si>
  <si>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</si>
  <si>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</si>
  <si>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</si>
  <si>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</si>
  <si>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</si>
  <si>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</si>
  <si>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</si>
  <si>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</si>
  <si>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</si>
  <si>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</si>
  <si>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</si>
  <si>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</si>
  <si>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</si>
  <si>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</si>
  <si>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</si>
  <si>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</si>
  <si>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</si>
  <si>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</si>
  <si>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</si>
  <si>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</si>
  <si>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</si>
  <si>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</si>
  <si>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</si>
  <si>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</si>
  <si>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</si>
  <si>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</si>
  <si>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</si>
  <si>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</si>
  <si>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</si>
  <si>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</si>
  <si>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</si>
  <si>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</si>
  <si>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</si>
  <si>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</si>
  <si>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</si>
  <si>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</si>
  <si>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</si>
  <si>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</si>
  <si>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</si>
  <si>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</si>
  <si>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</si>
  <si>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</si>
  <si>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</si>
  <si>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</si>
  <si>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</si>
  <si>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</si>
  <si>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</si>
  <si>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</si>
  <si>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</si>
  <si>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</si>
  <si>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</si>
  <si>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</si>
  <si>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</si>
  <si>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</si>
  <si>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</si>
  <si>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</si>
  <si>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</si>
  <si>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</si>
  <si>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</si>
  <si>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</si>
  <si>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</si>
  <si>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</si>
  <si>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</si>
  <si>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</si>
  <si>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</si>
  <si>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</si>
  <si>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</si>
  <si>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</si>
  <si>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</si>
  <si>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</si>
  <si>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</si>
  <si>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</si>
  <si>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</si>
  <si>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</si>
  <si>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</si>
  <si>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</si>
  <si>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</si>
  <si>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</si>
  <si>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</si>
  <si>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</si>
  <si>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</si>
  <si>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</si>
  <si>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</si>
  <si>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</si>
  <si>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</si>
  <si>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</si>
  <si>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</si>
  <si>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</si>
  <si>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</si>
  <si>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</si>
  <si>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</si>
  <si>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</si>
  <si>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</si>
  <si>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</si>
  <si>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</si>
  <si>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</si>
  <si>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</si>
  <si>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</si>
  <si>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</si>
  <si>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</si>
  <si>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</si>
  <si>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</si>
  <si>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</si>
  <si>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</si>
  <si>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</si>
  <si>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</si>
  <si>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</si>
  <si>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</si>
  <si>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</si>
  <si>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</si>
  <si>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</si>
  <si>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</si>
  <si>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</si>
  <si>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</si>
  <si>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</si>
  <si>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</si>
  <si>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</si>
  <si>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</si>
  <si>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</si>
  <si>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</si>
  <si>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</si>
  <si>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</si>
  <si>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</si>
  <si>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</si>
  <si>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</si>
  <si>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</si>
  <si>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</si>
  <si>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</si>
  <si>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</si>
  <si>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</si>
  <si>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</si>
  <si>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</si>
  <si>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</si>
  <si>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</si>
  <si>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</si>
  <si>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</si>
  <si>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</si>
  <si>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</si>
  <si>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</si>
  <si>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</si>
  <si>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</si>
  <si>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</si>
  <si>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</si>
  <si>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</si>
  <si>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</si>
  <si>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</si>
  <si>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</si>
  <si>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</si>
  <si>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</si>
  <si>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</si>
  <si>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</si>
  <si>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</si>
  <si>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</si>
  <si>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</si>
  <si>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</si>
  <si>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</si>
  <si>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</si>
  <si>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</si>
  <si>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</si>
  <si>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</si>
  <si>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</si>
  <si>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</si>
  <si>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</si>
  <si>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</si>
  <si>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</si>
  <si>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</si>
  <si>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</si>
  <si>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</si>
  <si>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</si>
  <si>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</si>
  <si>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</si>
  <si>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</si>
  <si>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</si>
  <si>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</si>
  <si>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</si>
  <si>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</si>
  <si>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</si>
  <si>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</si>
  <si>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</si>
  <si>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</si>
  <si>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</si>
  <si>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</si>
  <si>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</si>
  <si>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</si>
  <si>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</si>
  <si>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</si>
  <si>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</si>
  <si>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</si>
  <si>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</si>
  <si>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</si>
  <si>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</si>
  <si>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</si>
  <si>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</si>
  <si>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</si>
  <si>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</si>
  <si>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</si>
  <si>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</si>
  <si>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</si>
  <si>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</si>
  <si>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</si>
  <si>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</si>
  <si>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</si>
  <si>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</si>
  <si>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</si>
  <si>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</si>
  <si>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</si>
  <si>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</si>
  <si>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</si>
  <si>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</si>
  <si>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</si>
  <si>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</si>
  <si>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</si>
  <si>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</si>
  <si>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</si>
  <si>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</si>
  <si>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</si>
  <si>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</si>
  <si>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</si>
  <si>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</si>
  <si>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</si>
  <si>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</si>
  <si>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</si>
  <si>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</si>
  <si>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</si>
  <si>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</si>
  <si>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</si>
  <si>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</si>
  <si>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</si>
  <si>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</si>
  <si>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</si>
  <si>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</si>
  <si>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</si>
  <si>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</si>
  <si>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</si>
  <si>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</si>
  <si>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</si>
  <si>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</si>
  <si>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</si>
  <si>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</si>
  <si>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</si>
  <si>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</si>
  <si>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</si>
  <si>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</si>
  <si>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</si>
  <si>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</si>
  <si>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</si>
  <si>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</si>
  <si>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</si>
  <si>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</si>
  <si>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</si>
  <si>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</si>
  <si>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</si>
  <si>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</si>
  <si>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</si>
  <si>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</si>
  <si>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</si>
  <si>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</si>
  <si>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</si>
  <si>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</si>
  <si>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</si>
  <si>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</si>
  <si>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</si>
  <si>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</si>
  <si>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</si>
  <si>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</si>
  <si>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</si>
  <si>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</si>
  <si>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</si>
  <si>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</si>
  <si>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</si>
  <si>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</si>
  <si>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</si>
  <si>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</si>
  <si>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</si>
  <si>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</si>
  <si>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</si>
  <si>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</si>
  <si>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</si>
  <si>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</si>
  <si>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</si>
  <si>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</si>
  <si>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</si>
  <si>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</si>
  <si>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</si>
  <si>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</si>
  <si>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</si>
  <si>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</si>
  <si>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</si>
  <si>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</si>
  <si>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</si>
  <si>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</si>
  <si>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</si>
  <si>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</si>
  <si>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</si>
  <si>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</si>
  <si>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</si>
  <si>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</si>
  <si>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</si>
  <si>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</si>
  <si>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</si>
  <si>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</si>
  <si>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</si>
  <si>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</si>
  <si>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</si>
  <si>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</si>
  <si>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</si>
  <si>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</si>
  <si>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</si>
  <si>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</si>
  <si>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</si>
  <si>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</si>
  <si>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</si>
  <si>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</si>
  <si>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</si>
  <si>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</si>
  <si>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</si>
  <si>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</si>
  <si>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</si>
  <si>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</si>
  <si>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</si>
  <si>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</si>
  <si>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</si>
  <si>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</si>
  <si>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</si>
  <si>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</si>
  <si>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</si>
  <si>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</si>
  <si>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</si>
  <si>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</si>
  <si>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</si>
  <si>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</si>
  <si>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</si>
  <si>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</si>
  <si>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</si>
  <si>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</si>
  <si>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</si>
  <si>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</si>
  <si>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</si>
  <si>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</si>
  <si>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</si>
  <si>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</si>
  <si>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</si>
  <si>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</si>
  <si>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</si>
  <si>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</si>
  <si>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</si>
  <si>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</si>
  <si>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</si>
  <si>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</si>
  <si>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</si>
  <si>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</si>
  <si>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</si>
  <si>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</si>
  <si>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</si>
  <si>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</si>
  <si>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</si>
  <si>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</si>
  <si>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</si>
  <si>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</si>
  <si>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</si>
  <si>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</si>
  <si>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</si>
  <si>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</si>
  <si>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</si>
  <si>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</si>
  <si>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</si>
  <si>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</si>
  <si>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</si>
  <si>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</si>
  <si>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</si>
  <si>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</si>
  <si>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</si>
  <si>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</si>
  <si>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</si>
  <si>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</si>
  <si>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</si>
  <si>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</si>
  <si>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</si>
  <si>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</si>
  <si>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</si>
  <si>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</si>
  <si>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</si>
  <si>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</si>
  <si>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</si>
  <si>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</si>
  <si>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</si>
  <si>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</si>
  <si>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</si>
  <si>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</si>
  <si>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</si>
  <si>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</si>
  <si>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</si>
  <si>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</si>
  <si>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</si>
  <si>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</si>
  <si>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</si>
  <si>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</si>
  <si>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</si>
  <si>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</si>
  <si>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</si>
  <si>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</si>
  <si>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</si>
  <si>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</si>
  <si>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</si>
  <si>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</si>
  <si>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</si>
  <si>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</si>
  <si>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</si>
  <si>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</si>
  <si>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</si>
  <si>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</si>
  <si>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</si>
  <si>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</si>
  <si>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</si>
  <si>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</si>
  <si>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</si>
  <si>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</si>
  <si>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</si>
  <si>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</si>
  <si>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</si>
  <si>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</si>
  <si>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</si>
  <si>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</si>
  <si>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</si>
  <si>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</si>
  <si>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</si>
  <si>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</si>
  <si>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</si>
  <si>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</si>
  <si>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</si>
  <si>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</si>
  <si>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</si>
  <si>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</si>
  <si>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</si>
  <si>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</si>
  <si>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</si>
  <si>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</si>
  <si>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</si>
  <si>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</si>
  <si>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</si>
  <si>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</si>
  <si>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</si>
  <si>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</si>
  <si>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</si>
  <si>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</si>
  <si>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</si>
  <si>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</si>
  <si>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</si>
  <si>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</si>
  <si>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</si>
  <si>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</si>
  <si>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</si>
  <si>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</si>
  <si>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</si>
  <si>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</si>
  <si>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</si>
  <si>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</si>
  <si>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</si>
  <si>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</si>
  <si>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</si>
  <si>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</si>
  <si>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</si>
  <si>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</si>
  <si>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</si>
  <si>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</si>
  <si>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</si>
  <si>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</si>
  <si>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</si>
  <si>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</si>
  <si>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</si>
  <si>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</si>
  <si>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</si>
  <si>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</si>
  <si>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</si>
  <si>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</si>
  <si>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</si>
  <si>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</si>
  <si>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</si>
  <si>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</si>
  <si>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</si>
  <si>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</si>
  <si>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</si>
  <si>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</si>
  <si>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</si>
  <si>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</si>
  <si>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</si>
  <si>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</si>
  <si>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</si>
  <si>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</si>
  <si>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</si>
  <si>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</si>
  <si>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</si>
  <si>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</si>
  <si>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</si>
  <si>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</si>
  <si>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</si>
  <si>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</si>
  <si>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</si>
  <si>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</si>
  <si>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</si>
  <si>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</si>
  <si>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</si>
  <si>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</si>
  <si>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</si>
  <si>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</si>
  <si>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</si>
  <si>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</si>
  <si>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</si>
  <si>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</si>
  <si>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</si>
  <si>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</si>
  <si>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</si>
  <si>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</si>
  <si>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</si>
  <si>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</si>
  <si>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</si>
  <si>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</si>
  <si>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</si>
  <si>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</si>
  <si>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</si>
  <si>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</si>
  <si>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</si>
  <si>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</si>
  <si>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</si>
  <si>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</si>
  <si>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</si>
  <si>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</si>
  <si>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</si>
  <si>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</si>
  <si>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</si>
  <si>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</si>
  <si>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</si>
  <si>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</si>
  <si>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</si>
  <si>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</si>
  <si>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</si>
  <si>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</si>
  <si>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</si>
  <si>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</si>
  <si>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</si>
  <si>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</si>
  <si>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</si>
  <si>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</si>
  <si>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</si>
  <si>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</si>
  <si>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</si>
  <si>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</si>
  <si>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</si>
  <si>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</si>
  <si>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</si>
  <si>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</si>
  <si>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</si>
  <si>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</si>
  <si>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</si>
  <si>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</si>
  <si>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</si>
  <si>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</si>
  <si>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</si>
  <si>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</si>
  <si>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</si>
  <si>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</si>
  <si>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</si>
  <si>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</si>
  <si>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</si>
  <si>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</si>
  <si>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</si>
  <si>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</si>
  <si>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</si>
  <si>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</si>
  <si>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</si>
  <si>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</si>
  <si>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</si>
  <si>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</si>
  <si>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</si>
  <si>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</si>
  <si>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</si>
  <si>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</si>
  <si>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</si>
  <si>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</si>
  <si>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</si>
  <si>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</si>
  <si>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</si>
  <si>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</si>
  <si>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</si>
  <si>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</si>
  <si>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</si>
  <si>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</si>
  <si>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</si>
  <si>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</si>
  <si>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</si>
  <si>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</si>
  <si>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</si>
  <si>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</si>
  <si>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</si>
  <si>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</si>
  <si>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</si>
  <si>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</si>
  <si>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</si>
  <si>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</si>
  <si>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</si>
  <si>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</si>
  <si>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</si>
  <si>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</si>
  <si>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</si>
  <si>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</si>
  <si>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</si>
  <si>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</si>
  <si>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</si>
  <si>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</si>
  <si>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</si>
  <si>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</si>
  <si>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</si>
  <si>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</si>
  <si>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</si>
  <si>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</si>
  <si>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</si>
  <si>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</si>
  <si>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</si>
  <si>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</si>
  <si>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</si>
  <si>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</si>
  <si>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</si>
  <si>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</si>
  <si>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</si>
  <si>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</si>
  <si>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</si>
  <si>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</si>
  <si>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</si>
  <si>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</si>
  <si>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</si>
  <si>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</si>
  <si>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</si>
  <si>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</si>
  <si>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</si>
  <si>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</si>
  <si>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</si>
  <si>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</si>
  <si>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</si>
  <si>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</si>
  <si>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</si>
  <si>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</si>
  <si>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</si>
  <si>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</si>
  <si>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</si>
  <si>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</si>
  <si>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</si>
  <si>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</si>
  <si>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</si>
  <si>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</si>
  <si>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</si>
  <si>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</si>
  <si>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</si>
  <si>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</si>
  <si>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</si>
  <si>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</si>
  <si>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</si>
  <si>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</si>
  <si>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</si>
  <si>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</si>
  <si>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</si>
  <si>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</si>
  <si>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</si>
  <si>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</si>
  <si>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</si>
  <si>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</si>
  <si>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</si>
  <si>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</si>
  <si>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</si>
  <si>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</si>
  <si>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</si>
  <si>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</si>
  <si>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</si>
  <si>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</si>
  <si>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</si>
  <si>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</si>
  <si>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</si>
  <si>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</si>
  <si>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</si>
  <si>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</si>
  <si>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</si>
  <si>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</si>
  <si>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</si>
  <si>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</si>
  <si>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</si>
  <si>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</si>
  <si>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</si>
  <si>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</si>
  <si>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</si>
  <si>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</si>
  <si>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</si>
  <si>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</si>
  <si>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</si>
  <si>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</si>
  <si>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</si>
  <si>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</si>
  <si>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</si>
  <si>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</si>
  <si>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</si>
  <si>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</si>
  <si>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</si>
  <si>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</si>
  <si>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</si>
  <si>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</si>
  <si>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</si>
  <si>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</si>
  <si>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</si>
  <si>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</si>
  <si>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</si>
  <si>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</si>
  <si>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</si>
  <si>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</si>
  <si>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</si>
  <si>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</si>
  <si>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</si>
  <si>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</si>
  <si>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</si>
  <si>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</si>
  <si>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</si>
  <si>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</si>
  <si>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</si>
  <si>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</si>
  <si>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</si>
  <si>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</si>
  <si>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</si>
  <si>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</si>
  <si>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</si>
  <si>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</si>
  <si>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</si>
  <si>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</si>
  <si>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</si>
  <si>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</si>
  <si>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</si>
  <si>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</si>
  <si>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</si>
  <si>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</si>
  <si>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</si>
  <si>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</si>
  <si>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</si>
  <si>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</si>
  <si>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</si>
  <si>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</si>
  <si>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</si>
  <si>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</si>
  <si>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</si>
  <si>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</si>
  <si>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</si>
  <si>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</si>
  <si>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</si>
  <si>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</si>
  <si>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</si>
  <si>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</si>
  <si>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</si>
  <si>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</si>
  <si>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</si>
  <si>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</si>
  <si>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</si>
  <si>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</si>
  <si>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</si>
  <si>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</si>
  <si>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</si>
  <si>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</si>
  <si>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</si>
  <si>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</si>
  <si>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</si>
  <si>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</si>
  <si>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</si>
  <si>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</si>
  <si>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</si>
  <si>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</si>
  <si>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</si>
  <si>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</si>
  <si>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</si>
  <si>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</si>
  <si>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</si>
  <si>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</si>
  <si>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</si>
  <si>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</si>
  <si>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</si>
  <si>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</si>
  <si>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</si>
  <si>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</si>
  <si>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</si>
  <si>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</si>
  <si>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</si>
  <si>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</si>
  <si>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</si>
  <si>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</si>
  <si>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</si>
  <si>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</si>
  <si>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</si>
  <si>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</si>
  <si>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</si>
  <si>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</si>
  <si>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</si>
  <si>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</si>
  <si>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</si>
  <si>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</si>
  <si>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</si>
  <si>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</si>
  <si>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</si>
  <si>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</si>
  <si>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</si>
  <si>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</si>
  <si>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</si>
  <si>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</si>
  <si>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</si>
  <si>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</si>
  <si>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</si>
  <si>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</si>
  <si>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</si>
  <si>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</si>
  <si>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</si>
  <si>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</si>
  <si>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</si>
  <si>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</si>
  <si>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</si>
  <si>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</si>
  <si>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</si>
  <si>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</si>
  <si>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</si>
  <si>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</si>
  <si>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</si>
  <si>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</si>
  <si>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</si>
  <si>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</si>
  <si>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</si>
  <si>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</si>
  <si>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</si>
  <si>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</si>
  <si>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</si>
  <si>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</si>
  <si>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</si>
  <si>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</si>
  <si>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</si>
  <si>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</si>
  <si>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</si>
  <si>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</si>
  <si>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</si>
  <si>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</si>
  <si>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</si>
  <si>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</si>
  <si>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</si>
  <si>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</si>
  <si>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</si>
  <si>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</si>
  <si>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</si>
  <si>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</si>
  <si>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</si>
  <si>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</si>
  <si>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</si>
  <si>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</si>
  <si>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</si>
  <si>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</si>
  <si>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</si>
  <si>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</si>
  <si>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</si>
  <si>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</si>
  <si>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</si>
  <si>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</si>
  <si>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</si>
  <si>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</si>
  <si>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</si>
  <si>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</si>
  <si>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</si>
  <si>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</si>
  <si>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</si>
  <si>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</si>
  <si>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</si>
  <si>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</si>
  <si>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</si>
  <si>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</si>
  <si>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</si>
  <si>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</si>
  <si>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</si>
  <si>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</si>
  <si>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</si>
  <si>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</si>
  <si>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</si>
  <si>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</si>
  <si>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</si>
  <si>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</si>
  <si>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</si>
  <si>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</si>
  <si>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</si>
  <si>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</si>
  <si>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</si>
  <si>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</si>
  <si>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</si>
  <si>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</si>
  <si>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</si>
  <si>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</si>
  <si>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</si>
  <si>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</si>
  <si>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</si>
  <si>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</si>
  <si>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</si>
  <si>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</si>
  <si>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</si>
  <si>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</si>
  <si>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</si>
  <si>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</si>
  <si>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</si>
  <si>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</si>
  <si>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</si>
  <si>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</si>
  <si>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</si>
  <si>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</si>
  <si>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</si>
  <si>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</si>
  <si>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</si>
  <si>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</si>
  <si>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</si>
  <si>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</si>
  <si>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</si>
  <si>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</si>
  <si>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</si>
  <si>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</si>
  <si>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</si>
  <si>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</si>
  <si>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</si>
  <si>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</si>
  <si>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</si>
  <si>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</si>
  <si>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</si>
  <si>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</si>
  <si>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</si>
  <si>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</si>
  <si>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</si>
  <si>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</si>
  <si>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</si>
  <si>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</si>
  <si>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</si>
  <si>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</si>
  <si>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</si>
  <si>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</si>
  <si>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</si>
  <si>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</si>
  <si>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</si>
  <si>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</si>
  <si>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</si>
  <si>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</si>
  <si>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</si>
  <si>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</si>
  <si>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</si>
  <si>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</si>
  <si>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</si>
  <si>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</si>
  <si>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</si>
  <si>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</si>
  <si>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</si>
  <si>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</si>
  <si>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</si>
  <si>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</si>
  <si>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</si>
  <si>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</si>
  <si>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</si>
  <si>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</si>
  <si>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</si>
  <si>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</si>
  <si>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</si>
  <si>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</si>
  <si>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</si>
  <si>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</si>
  <si>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</si>
  <si>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</si>
  <si>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</si>
  <si>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</si>
  <si>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</si>
  <si>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</si>
  <si>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</si>
  <si>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</si>
  <si>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</si>
  <si>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</si>
  <si>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</si>
  <si>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</si>
  <si>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</si>
  <si>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</si>
  <si>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</si>
  <si>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</si>
  <si>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</si>
  <si>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</si>
  <si>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</si>
  <si>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</si>
  <si>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</si>
  <si>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</si>
  <si>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</si>
  <si>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</si>
  <si>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</si>
  <si>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</si>
  <si>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</si>
  <si>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</si>
  <si>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</si>
  <si>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</si>
  <si>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</si>
  <si>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</si>
  <si>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</si>
  <si>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</si>
  <si>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</si>
  <si>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</si>
  <si>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</si>
  <si>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</si>
  <si>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</si>
  <si>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</si>
  <si>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</si>
  <si>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</si>
  <si>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</si>
  <si>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</si>
  <si>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</si>
  <si>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</si>
  <si>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</si>
  <si>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</si>
  <si>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</si>
  <si>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</si>
  <si>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</si>
  <si>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</si>
  <si>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</si>
  <si>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</si>
  <si>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</si>
  <si>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</si>
  <si>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</si>
  <si>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</si>
  <si>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</si>
  <si>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</si>
  <si>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</si>
  <si>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</si>
  <si>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</si>
  <si>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</si>
  <si>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</si>
  <si>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</si>
  <si>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</si>
  <si>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</si>
  <si>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</si>
  <si>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</si>
  <si>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</si>
  <si>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</si>
  <si>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</si>
  <si>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</si>
  <si>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</si>
  <si>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</si>
  <si>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</si>
  <si>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</si>
  <si>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</si>
  <si>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</si>
  <si>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</si>
  <si>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</si>
  <si>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</si>
  <si>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</si>
  <si>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</si>
  <si>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</si>
  <si>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</si>
  <si>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</si>
  <si>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</si>
  <si>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</si>
  <si>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</si>
  <si>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</si>
  <si>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</si>
  <si>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</si>
  <si>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</si>
  <si>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</si>
  <si>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</si>
  <si>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</si>
  <si>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</si>
  <si>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</si>
  <si>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</si>
  <si>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</si>
  <si>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</si>
  <si>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</si>
  <si>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</si>
  <si>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</si>
  <si>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</si>
  <si>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</si>
  <si>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</si>
  <si>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</si>
  <si>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</si>
  <si>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</si>
  <si>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</si>
  <si>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</si>
  <si>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</si>
  <si>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</si>
  <si>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</si>
  <si>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</si>
  <si>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</si>
  <si>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</si>
  <si>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</si>
  <si>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</si>
  <si>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</si>
  <si>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</si>
  <si>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</si>
  <si>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</si>
  <si>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</si>
  <si>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</si>
  <si>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</si>
  <si>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</si>
  <si>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</si>
  <si>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</si>
  <si>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</si>
  <si>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</si>
  <si>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</si>
  <si>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</si>
  <si>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</si>
  <si>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</si>
  <si>
    <t>URB2405YMD-15WR3</t>
  </si>
  <si>
    <t>DC-DC понижающий преобразователь, Vin: 9-36 В; 5 В; 3 А</t>
  </si>
  <si>
    <t>https://static.chipdip.ru/lib2/b/119/DOC073119166.pdf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</si>
</sst>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0" fontId="0" fillId="0" borderId="0" xfId="0" applyNumberFormat="1"/>
    <xf numFmtId="0" fontId="0" fillId="0" borderId="0" xfId="0" applyBorder="1"/>
    <xf numFmtId="49" fontId="0" fillId="0" borderId="0" xfId="0" applyNumberFormat="1" applyBorder="1"/>
    <xf numFmtId="0" fontId="0" fillId="0" borderId="0" xfId="0" applyNumberFormat="1" applyBorder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70" tableType="xml" totalsRowShown="0" headerRowDxfId="146" connectionId="6">
  <autoFilter ref="A1:M70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5" tableType="xml" totalsRowShown="0" dataDxfId="141" connectionId="19">
  <autoFilter ref="A1:M15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9" headerRowBorderDxfId="48" tableBorderDxfId="47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6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21" dataDxfId="20" connectionId="11">
  <autoFilter ref="A1:P28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9" tableType="xml" totalsRowShown="0" headerRowDxfId="3" connectionId="7">
  <autoFilter ref="A1:L69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70"/>
  <sheetViews>
    <sheetView tabSelected="1" topLeftCell="B41" zoomScale="85" zoomScaleNormal="85" workbookViewId="0">
      <selection activeCell="B70" sqref="B70"/>
    </sheetView>
  </sheetViews>
  <sheetFormatPr defaultRowHeight="14.5" x14ac:dyDescent="0.35"/>
  <cols>
    <col min="1" max="1" width="21.453125" bestFit="1" customWidth="1"/>
    <col min="2" max="2" width="103.3632812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36328125" bestFit="1" customWidth="1"/>
    <col min="7" max="7" width="21.453125" bestFit="1" customWidth="1"/>
    <col min="8" max="8" width="22.6328125" bestFit="1" customWidth="1"/>
    <col min="9" max="9" width="18.36328125" bestFit="1" customWidth="1"/>
    <col min="10" max="10" width="16.453125" customWidth="1"/>
    <col min="11" max="11" width="14.54296875" customWidth="1"/>
    <col min="12" max="12" width="13.3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3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3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3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35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35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35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35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35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35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35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35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35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35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35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35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35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35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35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35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35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35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35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35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35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35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35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35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3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5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5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35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3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5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3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5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35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35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35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35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35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35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35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35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35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35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35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35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35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35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35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35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35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  <row r="70" spans="1:13" x14ac:dyDescent="0.35">
      <c r="A70" t="s">
        <v>1744</v>
      </c>
      <c r="B70" t="s">
        <v>1745</v>
      </c>
      <c r="C70" s="2" t="str">
        <f>A70</f>
        <v>URB2405YMD-15WR3</v>
      </c>
      <c r="D70" t="str">
        <f>CONCATENATE("Schematic\",A70,".SchLib")</f>
        <v>Schematic\URB2405YMD-15WR3.SchLib</v>
      </c>
      <c r="E70" t="s">
        <v>1744</v>
      </c>
      <c r="F70" t="str">
        <f>CONCATENATE("Footprints\",G70,".PcbLib")</f>
        <v>Footprints\URB2405YMD-15WR3.PcbLib</v>
      </c>
      <c r="G70" t="s">
        <v>1744</v>
      </c>
      <c r="L70" t="s">
        <v>1746</v>
      </c>
      <c r="M70" t="s">
        <v>1694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36328125" customWidth="1"/>
    <col min="4" max="4" width="31.36328125" bestFit="1" customWidth="1"/>
    <col min="5" max="5" width="14.6328125" bestFit="1" customWidth="1"/>
    <col min="6" max="6" width="25.36328125" bestFit="1" customWidth="1"/>
    <col min="7" max="7" width="16.54296875" bestFit="1" customWidth="1"/>
    <col min="8" max="8" width="12.6328125" customWidth="1"/>
    <col min="9" max="9" width="12.36328125" style="18" customWidth="1"/>
    <col min="10" max="10" width="13.36328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3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35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3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3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35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35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35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35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35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35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3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5" x14ac:dyDescent="0.35"/>
  <cols>
    <col min="1" max="1" width="13.6328125" bestFit="1" customWidth="1"/>
    <col min="2" max="2" width="46.63281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6328125" bestFit="1" customWidth="1"/>
    <col min="8" max="8" width="19.6328125" bestFit="1" customWidth="1"/>
    <col min="9" max="9" width="21.54296875" bestFit="1" customWidth="1"/>
    <col min="10" max="10" width="12" bestFit="1" customWidth="1"/>
    <col min="11" max="11" width="7.6328125" bestFit="1" customWidth="1"/>
    <col min="12" max="12" width="10.6328125" customWidth="1"/>
    <col min="13" max="13" width="15.36328125" customWidth="1"/>
  </cols>
  <sheetData>
    <row r="1" spans="1:14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25" customHeight="1" x14ac:dyDescent="0.35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35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35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35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35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35">
      <c r="H7" s="2"/>
      <c r="I7" s="2"/>
      <c r="J7" s="2"/>
      <c r="K7" s="2"/>
    </row>
    <row r="8" spans="1:14" x14ac:dyDescent="0.35">
      <c r="H8" s="2"/>
      <c r="I8" s="2"/>
      <c r="J8" s="2"/>
      <c r="K8" s="2"/>
    </row>
    <row r="9" spans="1:14" x14ac:dyDescent="0.35">
      <c r="H9" s="2"/>
      <c r="I9" s="2"/>
      <c r="J9" s="2"/>
      <c r="K9" s="2"/>
    </row>
    <row r="10" spans="1:14" x14ac:dyDescent="0.35">
      <c r="H10" s="2"/>
      <c r="I10" s="2"/>
      <c r="J10" s="2"/>
      <c r="K10" s="2"/>
    </row>
    <row r="11" spans="1:14" x14ac:dyDescent="0.35">
      <c r="H11" s="2"/>
      <c r="I11" s="2"/>
      <c r="J11" s="2"/>
      <c r="K11" s="2"/>
    </row>
    <row r="12" spans="1:14" x14ac:dyDescent="0.35">
      <c r="H12" s="2"/>
      <c r="I12" s="2"/>
      <c r="J12" s="2"/>
      <c r="K12" s="2"/>
    </row>
    <row r="13" spans="1:14" x14ac:dyDescent="0.35">
      <c r="H13" s="2"/>
      <c r="I13" s="2"/>
      <c r="J13" s="2"/>
      <c r="K13" s="2"/>
    </row>
    <row r="14" spans="1:14" x14ac:dyDescent="0.35">
      <c r="H14" s="2"/>
      <c r="I14" s="2"/>
      <c r="J14" s="2"/>
      <c r="K14" s="2"/>
    </row>
    <row r="15" spans="1:14" x14ac:dyDescent="0.35">
      <c r="H15" s="2"/>
      <c r="I15" s="2"/>
      <c r="J15" s="2"/>
      <c r="K15" s="2"/>
    </row>
    <row r="16" spans="1:14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5"/>
  <sheetViews>
    <sheetView topLeftCell="B1" zoomScaleNormal="85" workbookViewId="0">
      <selection activeCell="E18" sqref="E18"/>
    </sheetView>
  </sheetViews>
  <sheetFormatPr defaultRowHeight="14.5" x14ac:dyDescent="0.35"/>
  <cols>
    <col min="1" max="1" width="20.453125" customWidth="1"/>
    <col min="2" max="2" width="53.6328125" customWidth="1"/>
    <col min="3" max="3" width="15.6328125" customWidth="1"/>
    <col min="4" max="4" width="26.453125" customWidth="1"/>
    <col min="5" max="5" width="11.6328125" customWidth="1"/>
    <col min="6" max="6" width="16.453125" customWidth="1"/>
    <col min="7" max="7" width="15.453125" customWidth="1"/>
    <col min="8" max="8" width="12.54296875" customWidth="1"/>
    <col min="9" max="9" width="11.6328125" customWidth="1"/>
    <col min="10" max="10" width="8" bestFit="1" customWidth="1"/>
    <col min="11" max="11" width="10.453125" customWidth="1"/>
    <col min="12" max="12" width="13.3632812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3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5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5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5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5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35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35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35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  <row r="15" spans="1:13" x14ac:dyDescent="0.35">
      <c r="A15" s="59" t="s">
        <v>1742</v>
      </c>
      <c r="B15" s="59" t="str">
        <f xml:space="preserve"> 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s="59" t="str">
        <f>A15</f>
        <v>SMAJ5.0A-TR</v>
      </c>
      <c r="D15" s="59" t="str">
        <f>CONCATENATE("Schematic\TVS\",E15,".SchLib")</f>
        <v>Schematic\TVS\TVS_1_1dir.SchLib</v>
      </c>
      <c r="E15" t="s">
        <v>78</v>
      </c>
      <c r="F15" s="59" t="str">
        <f>CONCATENATE("Footprints\",G15,".PcbLib")</f>
        <v>Footprints\SMA.PcbLib</v>
      </c>
      <c r="G15" t="s">
        <v>128</v>
      </c>
      <c r="H15" s="59">
        <v>5</v>
      </c>
      <c r="I15" s="59">
        <v>400</v>
      </c>
      <c r="J15" s="59" t="str">
        <f xml:space="preserve"> CONCATENATE(H15," В")</f>
        <v>5 В</v>
      </c>
      <c r="K15" s="59"/>
      <c r="L15" s="59" t="s">
        <v>1743</v>
      </c>
      <c r="M15" s="59" t="s">
        <v>1694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4.5" x14ac:dyDescent="0.35"/>
  <cols>
    <col min="1" max="1" width="14.6328125" customWidth="1"/>
    <col min="2" max="2" width="93.36328125" customWidth="1"/>
    <col min="3" max="3" width="12.453125" bestFit="1" customWidth="1"/>
    <col min="4" max="4" width="35.6328125" bestFit="1" customWidth="1"/>
    <col min="5" max="5" width="24.453125" bestFit="1" customWidth="1"/>
    <col min="6" max="6" width="23.36328125" bestFit="1" customWidth="1"/>
    <col min="7" max="7" width="16.6328125" customWidth="1"/>
    <col min="8" max="8" width="29.6328125" bestFit="1" customWidth="1"/>
    <col min="9" max="9" width="16.6328125" customWidth="1"/>
    <col min="12" max="12" width="13.63281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5" x14ac:dyDescent="0.35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5" x14ac:dyDescent="0.35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5" x14ac:dyDescent="0.35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5" x14ac:dyDescent="0.3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5" x14ac:dyDescent="0.35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5" x14ac:dyDescent="0.3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5" x14ac:dyDescent="0.35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5" x14ac:dyDescent="0.35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5" x14ac:dyDescent="0.35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5" x14ac:dyDescent="0.35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5" x14ac:dyDescent="0.35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5" x14ac:dyDescent="0.35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5" x14ac:dyDescent="0.35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36328125" bestFit="1" customWidth="1"/>
    <col min="4" max="4" width="24.453125" bestFit="1" customWidth="1"/>
    <col min="5" max="5" width="13" bestFit="1" customWidth="1"/>
    <col min="6" max="6" width="8.36328125" bestFit="1" customWidth="1"/>
    <col min="7" max="7" width="12.36328125" bestFit="1" customWidth="1"/>
    <col min="8" max="8" width="32" bestFit="1" customWidth="1"/>
    <col min="9" max="9" width="16.6328125" bestFit="1" customWidth="1"/>
    <col min="10" max="10" width="41.36328125" customWidth="1"/>
    <col min="11" max="11" width="18.36328125" customWidth="1"/>
    <col min="12" max="12" width="41.36328125" customWidth="1"/>
    <col min="13" max="13" width="18.36328125" customWidth="1"/>
    <col min="14" max="14" width="16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5" x14ac:dyDescent="0.3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5" x14ac:dyDescent="0.3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5" x14ac:dyDescent="0.3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5" x14ac:dyDescent="0.3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5" x14ac:dyDescent="0.3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5" x14ac:dyDescent="0.3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5" x14ac:dyDescent="0.3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5" x14ac:dyDescent="0.3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5" x14ac:dyDescent="0.3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5" x14ac:dyDescent="0.3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5" x14ac:dyDescent="0.3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5" x14ac:dyDescent="0.3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5" x14ac:dyDescent="0.3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5" x14ac:dyDescent="0.3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5" x14ac:dyDescent="0.3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5" x14ac:dyDescent="0.3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5" x14ac:dyDescent="0.3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5" x14ac:dyDescent="0.3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5" x14ac:dyDescent="0.3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5" x14ac:dyDescent="0.3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5" x14ac:dyDescent="0.3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5" x14ac:dyDescent="0.3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5" x14ac:dyDescent="0.3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5" x14ac:dyDescent="0.3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5" x14ac:dyDescent="0.3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5" x14ac:dyDescent="0.3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5" x14ac:dyDescent="0.3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5" x14ac:dyDescent="0.3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5" x14ac:dyDescent="0.3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5" x14ac:dyDescent="0.3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5" x14ac:dyDescent="0.3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5" x14ac:dyDescent="0.3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5" x14ac:dyDescent="0.3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5" x14ac:dyDescent="0.3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5" x14ac:dyDescent="0.3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5" x14ac:dyDescent="0.3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5" x14ac:dyDescent="0.3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5" x14ac:dyDescent="0.3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5" x14ac:dyDescent="0.3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5" x14ac:dyDescent="0.3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5" x14ac:dyDescent="0.3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5" x14ac:dyDescent="0.3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5" x14ac:dyDescent="0.3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5" x14ac:dyDescent="0.3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5" x14ac:dyDescent="0.3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5" x14ac:dyDescent="0.3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5" x14ac:dyDescent="0.3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5" x14ac:dyDescent="0.3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5" x14ac:dyDescent="0.3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5" x14ac:dyDescent="0.3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5" x14ac:dyDescent="0.3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5" x14ac:dyDescent="0.3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5" x14ac:dyDescent="0.3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5" x14ac:dyDescent="0.3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5" x14ac:dyDescent="0.3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5" x14ac:dyDescent="0.3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5" x14ac:dyDescent="0.3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5" x14ac:dyDescent="0.3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5" x14ac:dyDescent="0.3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5" x14ac:dyDescent="0.3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5" x14ac:dyDescent="0.3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5" x14ac:dyDescent="0.3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5" x14ac:dyDescent="0.3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5" x14ac:dyDescent="0.3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5" x14ac:dyDescent="0.3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5" x14ac:dyDescent="0.3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5" x14ac:dyDescent="0.3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5" x14ac:dyDescent="0.3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5" x14ac:dyDescent="0.3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5" x14ac:dyDescent="0.3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5" x14ac:dyDescent="0.3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5" x14ac:dyDescent="0.3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5" x14ac:dyDescent="0.3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5" x14ac:dyDescent="0.3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5" x14ac:dyDescent="0.3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5" x14ac:dyDescent="0.3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5" x14ac:dyDescent="0.3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5" x14ac:dyDescent="0.3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5" x14ac:dyDescent="0.3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5" x14ac:dyDescent="0.3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5" x14ac:dyDescent="0.3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5" x14ac:dyDescent="0.3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5" x14ac:dyDescent="0.3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5" x14ac:dyDescent="0.3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5" x14ac:dyDescent="0.3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5" x14ac:dyDescent="0.3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5" x14ac:dyDescent="0.3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5" x14ac:dyDescent="0.3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5" x14ac:dyDescent="0.3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5" x14ac:dyDescent="0.3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5" x14ac:dyDescent="0.3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5" x14ac:dyDescent="0.3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5" x14ac:dyDescent="0.3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5" x14ac:dyDescent="0.3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5" x14ac:dyDescent="0.3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5" x14ac:dyDescent="0.3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3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5" x14ac:dyDescent="0.3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5" x14ac:dyDescent="0.3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5" x14ac:dyDescent="0.3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5" x14ac:dyDescent="0.3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5" x14ac:dyDescent="0.3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5" x14ac:dyDescent="0.3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5" x14ac:dyDescent="0.3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5" x14ac:dyDescent="0.3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5" x14ac:dyDescent="0.3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5" x14ac:dyDescent="0.3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5" x14ac:dyDescent="0.3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5" x14ac:dyDescent="0.35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5" x14ac:dyDescent="0.3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5" x14ac:dyDescent="0.3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5" x14ac:dyDescent="0.3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5" x14ac:dyDescent="0.3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5" x14ac:dyDescent="0.3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5" x14ac:dyDescent="0.3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5" x14ac:dyDescent="0.3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5" x14ac:dyDescent="0.3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5" x14ac:dyDescent="0.3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5" x14ac:dyDescent="0.3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5" x14ac:dyDescent="0.3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5" x14ac:dyDescent="0.3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5" x14ac:dyDescent="0.3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5" x14ac:dyDescent="0.3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5" x14ac:dyDescent="0.3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5" x14ac:dyDescent="0.3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5" x14ac:dyDescent="0.3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5" x14ac:dyDescent="0.3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5" x14ac:dyDescent="0.3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5" x14ac:dyDescent="0.3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5" x14ac:dyDescent="0.3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5" x14ac:dyDescent="0.3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5" x14ac:dyDescent="0.3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5" x14ac:dyDescent="0.3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5" x14ac:dyDescent="0.3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5" x14ac:dyDescent="0.3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5" x14ac:dyDescent="0.3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5" x14ac:dyDescent="0.3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5" x14ac:dyDescent="0.3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5" x14ac:dyDescent="0.3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5" x14ac:dyDescent="0.3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5" x14ac:dyDescent="0.3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5" x14ac:dyDescent="0.3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5" x14ac:dyDescent="0.3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5" x14ac:dyDescent="0.3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5" x14ac:dyDescent="0.3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5" x14ac:dyDescent="0.3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5" x14ac:dyDescent="0.3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5" x14ac:dyDescent="0.3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5" x14ac:dyDescent="0.3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5" x14ac:dyDescent="0.3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5" x14ac:dyDescent="0.3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5" x14ac:dyDescent="0.3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5" x14ac:dyDescent="0.3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5" x14ac:dyDescent="0.3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5" x14ac:dyDescent="0.3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5" x14ac:dyDescent="0.3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5" x14ac:dyDescent="0.3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5" x14ac:dyDescent="0.3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5" x14ac:dyDescent="0.3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5" x14ac:dyDescent="0.3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5" x14ac:dyDescent="0.3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5" x14ac:dyDescent="0.3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5" x14ac:dyDescent="0.3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5" x14ac:dyDescent="0.3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5" x14ac:dyDescent="0.3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5" x14ac:dyDescent="0.3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5" x14ac:dyDescent="0.3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5" x14ac:dyDescent="0.3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5" x14ac:dyDescent="0.3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5" x14ac:dyDescent="0.3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5" x14ac:dyDescent="0.35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5" x14ac:dyDescent="0.35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5" x14ac:dyDescent="0.35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5" x14ac:dyDescent="0.35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5" x14ac:dyDescent="0.3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5" x14ac:dyDescent="0.3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5" x14ac:dyDescent="0.3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5" x14ac:dyDescent="0.35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5" x14ac:dyDescent="0.35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35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35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5" x14ac:dyDescent="0.35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5" x14ac:dyDescent="0.35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5" x14ac:dyDescent="0.35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5" x14ac:dyDescent="0.35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5" x14ac:dyDescent="0.35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5" x14ac:dyDescent="0.35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6328125" customWidth="1"/>
    <col min="6" max="6" width="20.6328125" customWidth="1"/>
    <col min="7" max="7" width="14.36328125" customWidth="1"/>
    <col min="8" max="8" width="13.08984375" customWidth="1"/>
    <col min="9" max="10" width="13.36328125" customWidth="1"/>
    <col min="11" max="11" width="12.36328125" customWidth="1"/>
  </cols>
  <sheetData>
    <row r="1" spans="1:12" ht="15.5" x14ac:dyDescent="0.3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35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35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35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35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35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5" x14ac:dyDescent="0.35"/>
  <cols>
    <col min="1" max="1" width="15.453125" bestFit="1" customWidth="1"/>
    <col min="2" max="2" width="23.36328125" bestFit="1" customWidth="1"/>
    <col min="3" max="3" width="15.453125" bestFit="1" customWidth="1"/>
    <col min="4" max="4" width="32" bestFit="1" customWidth="1"/>
    <col min="5" max="5" width="15.453125" bestFit="1" customWidth="1"/>
    <col min="6" max="6" width="8.6328125" bestFit="1" customWidth="1"/>
    <col min="7" max="7" width="33.54296875" bestFit="1" customWidth="1"/>
    <col min="8" max="8" width="17.36328125" bestFit="1" customWidth="1"/>
    <col min="9" max="9" width="33.54296875" bestFit="1" customWidth="1"/>
    <col min="10" max="10" width="17.36328125" bestFit="1" customWidth="1"/>
    <col min="11" max="11" width="33.54296875" bestFit="1" customWidth="1"/>
    <col min="12" max="12" width="17.36328125" bestFit="1" customWidth="1"/>
    <col min="13" max="13" width="32.6328125" bestFit="1" customWidth="1"/>
    <col min="14" max="14" width="17.36328125" bestFit="1" customWidth="1"/>
    <col min="15" max="15" width="32.453125" bestFit="1" customWidth="1"/>
    <col min="16" max="16" width="17.36328125" bestFit="1" customWidth="1"/>
    <col min="17" max="17" width="42.36328125" bestFit="1" customWidth="1"/>
    <col min="18" max="18" width="17.36328125" bestFit="1" customWidth="1"/>
    <col min="19" max="19" width="42.453125" bestFit="1" customWidth="1"/>
    <col min="20" max="20" width="17.36328125" bestFit="1" customWidth="1"/>
    <col min="21" max="21" width="14.36328125" customWidth="1"/>
  </cols>
  <sheetData>
    <row r="1" spans="1:2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5" x14ac:dyDescent="0.35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4.5" x14ac:dyDescent="0.35"/>
  <cols>
    <col min="1" max="1" width="32" bestFit="1" customWidth="1"/>
    <col min="2" max="2" width="53.6328125" customWidth="1"/>
    <col min="3" max="3" width="11.6328125" customWidth="1"/>
    <col min="4" max="4" width="29.54296875" customWidth="1"/>
    <col min="5" max="5" width="25.36328125" customWidth="1"/>
    <col min="6" max="6" width="14.453125" customWidth="1"/>
    <col min="7" max="7" width="9.6328125" customWidth="1"/>
    <col min="8" max="8" width="12.54296875" style="2" customWidth="1"/>
    <col min="9" max="9" width="14.453125" customWidth="1"/>
    <col min="10" max="10" width="12" customWidth="1"/>
    <col min="11" max="11" width="25.6328125" customWidth="1"/>
    <col min="12" max="12" width="15.54296875" customWidth="1"/>
    <col min="13" max="13" width="14.6328125" customWidth="1"/>
    <col min="14" max="14" width="12.36328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35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35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35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35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35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35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35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35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35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35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35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35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35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35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35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35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35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35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35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35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35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35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35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35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35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35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35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35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35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35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35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35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35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35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35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35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35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35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35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35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35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35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35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35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35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35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3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35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35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35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35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35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35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35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35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35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4.5" x14ac:dyDescent="0.35"/>
  <cols>
    <col min="1" max="1" width="27.54296875" bestFit="1" customWidth="1"/>
    <col min="2" max="2" width="23.36328125" bestFit="1" customWidth="1"/>
    <col min="3" max="3" width="12.36328125" bestFit="1" customWidth="1"/>
    <col min="4" max="4" width="29.453125" bestFit="1" customWidth="1"/>
    <col min="5" max="5" width="14.36328125" bestFit="1" customWidth="1"/>
    <col min="6" max="6" width="8.36328125" bestFit="1" customWidth="1"/>
    <col min="7" max="7" width="12.36328125" bestFit="1" customWidth="1"/>
    <col min="8" max="8" width="13" bestFit="1" customWidth="1"/>
    <col min="9" max="9" width="8.6328125" bestFit="1" customWidth="1"/>
    <col min="10" max="10" width="30.36328125" bestFit="1" customWidth="1"/>
    <col min="11" max="11" width="16.6328125" bestFit="1" customWidth="1"/>
    <col min="12" max="12" width="14.6328125" bestFit="1" customWidth="1"/>
    <col min="13" max="13" width="19.36328125" customWidth="1"/>
    <col min="14" max="14" width="18.453125" customWidth="1"/>
    <col min="15" max="15" width="13.36328125" customWidth="1"/>
  </cols>
  <sheetData>
    <row r="1" spans="1:16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35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35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35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35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35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35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35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35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35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35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35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35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35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35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35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35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35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35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35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35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35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35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35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35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35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35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35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35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35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1" zoomScale="85" zoomScaleNormal="85" workbookViewId="0">
      <selection activeCell="P31" sqref="P31"/>
    </sheetView>
  </sheetViews>
  <sheetFormatPr defaultRowHeight="14.5" x14ac:dyDescent="0.35"/>
  <cols>
    <col min="1" max="1" width="14.6328125" customWidth="1"/>
    <col min="2" max="2" width="77.6328125" customWidth="1"/>
    <col min="3" max="3" width="12" customWidth="1"/>
    <col min="4" max="4" width="27.36328125" customWidth="1"/>
    <col min="5" max="5" width="12.6328125" customWidth="1"/>
    <col min="6" max="6" width="36.36328125" customWidth="1"/>
    <col min="7" max="7" width="16.6328125" customWidth="1"/>
    <col min="8" max="8" width="18.36328125" customWidth="1"/>
    <col min="9" max="9" width="16.6328125" customWidth="1"/>
    <col min="10" max="10" width="18.36328125" customWidth="1"/>
    <col min="11" max="11" width="16.6328125" customWidth="1"/>
    <col min="12" max="12" width="18.36328125" customWidth="1"/>
    <col min="13" max="13" width="16.63281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36328125" customWidth="1"/>
  </cols>
  <sheetData>
    <row r="1" spans="1:18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3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35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35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35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35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35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35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35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35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35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35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35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3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3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3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3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3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3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35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35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35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35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35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35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35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35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35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35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36328125" customWidth="1"/>
    <col min="5" max="5" width="20.54296875" customWidth="1"/>
    <col min="6" max="6" width="21.6328125" customWidth="1"/>
    <col min="7" max="7" width="17.6328125" customWidth="1"/>
    <col min="8" max="8" width="22.6328125" customWidth="1"/>
    <col min="9" max="9" width="18.453125" customWidth="1"/>
    <col min="10" max="10" width="16.6328125" customWidth="1"/>
    <col min="11" max="11" width="12.453125" customWidth="1"/>
    <col min="12" max="12" width="13.3632812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5" x14ac:dyDescent="0.35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4.5" x14ac:dyDescent="0.35"/>
  <cols>
    <col min="1" max="1" width="14.6328125" customWidth="1"/>
    <col min="2" max="2" width="120" bestFit="1" customWidth="1"/>
    <col min="3" max="3" width="20" customWidth="1"/>
    <col min="4" max="4" width="35.36328125" customWidth="1"/>
    <col min="5" max="5" width="14.453125" customWidth="1"/>
    <col min="6" max="6" width="36.6328125" customWidth="1"/>
    <col min="7" max="7" width="16.6328125" customWidth="1"/>
    <col min="8" max="8" width="20.6328125" customWidth="1"/>
    <col min="9" max="9" width="16.6328125" customWidth="1"/>
    <col min="10" max="10" width="31.36328125" bestFit="1" customWidth="1"/>
    <col min="11" max="11" width="17.453125" bestFit="1" customWidth="1"/>
    <col min="12" max="12" width="22.453125" customWidth="1"/>
    <col min="13" max="13" width="17.90625" customWidth="1"/>
    <col min="15" max="15" width="11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3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35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35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35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35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35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35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35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35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3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3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3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35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35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35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35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35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35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35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35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35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35">
      <c r="A27" s="59" t="s">
        <v>1728</v>
      </c>
      <c r="B27" s="59" t="s">
        <v>55</v>
      </c>
      <c r="C27" s="59" t="str">
        <f t="shared" ref="C27:C28" si="10">A27</f>
        <v>KLS7-TS3601</v>
      </c>
      <c r="D27" t="str">
        <f>CONCATENATE("Schematic\",E27,".SchLib")</f>
        <v>Schematic\Tact_button.SchLib</v>
      </c>
      <c r="E27" s="59" t="s">
        <v>54</v>
      </c>
      <c r="F27" s="59" t="str">
        <f>CONCATENATE("Footprints\Buttons\",G27,".PcbLib")</f>
        <v>Footprints\Buttons\KLS7-TS3601.PcbLib</v>
      </c>
      <c r="G27" s="59" t="s">
        <v>1728</v>
      </c>
      <c r="H27" s="59"/>
      <c r="I27" s="59"/>
      <c r="J27" s="59" t="str">
        <f t="shared" ref="J27:J28" si="11">CONCATENATE("Footprints\",K27,".PcbLib")</f>
        <v>Footprints\.PcbLib</v>
      </c>
      <c r="K27" s="59"/>
      <c r="L27" s="2" t="str">
        <f t="shared" ref="L27:L28" si="12">CONCATENATE("Footprints\",M27,".PcbLib")</f>
        <v>Footprints\.PcbLib</v>
      </c>
      <c r="M27" s="59"/>
      <c r="N27" s="59"/>
      <c r="O27" s="59" t="s">
        <v>1729</v>
      </c>
      <c r="P27" s="59" t="s">
        <v>1714</v>
      </c>
    </row>
    <row r="28" spans="1:16" x14ac:dyDescent="0.35">
      <c r="A28" s="59" t="s">
        <v>1730</v>
      </c>
      <c r="B28" s="59" t="s">
        <v>1731</v>
      </c>
      <c r="C28" s="59" t="str">
        <f t="shared" si="10"/>
        <v>L-KLS5-CR2032-03</v>
      </c>
      <c r="D28" t="s">
        <v>1012</v>
      </c>
      <c r="E28" s="59" t="s">
        <v>1013</v>
      </c>
      <c r="F28" s="59" t="str">
        <f t="shared" ref="F28" si="13">CONCATENATE("Footprints\",G28,".PcbLib")</f>
        <v>Footprints\L-KLS5-CR2032-03.PcbLib</v>
      </c>
      <c r="G28" s="59" t="s">
        <v>1730</v>
      </c>
      <c r="H28" s="59"/>
      <c r="I28" s="59"/>
      <c r="J28" s="59" t="str">
        <f t="shared" si="11"/>
        <v>Footprints\.PcbLib</v>
      </c>
      <c r="K28" s="59"/>
      <c r="L28" s="2" t="str">
        <f t="shared" si="12"/>
        <v>Footprints\.PcbLib</v>
      </c>
      <c r="M28" s="59"/>
      <c r="N28" s="59"/>
      <c r="O28" s="59" t="s">
        <v>1732</v>
      </c>
      <c r="P28" s="59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9"/>
  <sheetViews>
    <sheetView topLeftCell="A20" zoomScale="70" zoomScaleNormal="70" workbookViewId="0">
      <selection activeCell="C71" sqref="C71"/>
    </sheetView>
  </sheetViews>
  <sheetFormatPr defaultRowHeight="14.5" x14ac:dyDescent="0.35"/>
  <cols>
    <col min="1" max="1" width="14.6328125" customWidth="1"/>
    <col min="2" max="2" width="40.453125" customWidth="1"/>
    <col min="3" max="3" width="13.36328125" customWidth="1"/>
    <col min="4" max="4" width="45.6328125" customWidth="1"/>
    <col min="5" max="5" width="17.36328125" customWidth="1"/>
    <col min="6" max="6" width="51" customWidth="1"/>
    <col min="7" max="7" width="16.6328125" customWidth="1"/>
    <col min="8" max="8" width="44.453125" customWidth="1"/>
    <col min="9" max="9" width="23.6328125" customWidth="1"/>
    <col min="10" max="10" width="28.6328125" customWidth="1"/>
    <col min="11" max="11" width="11.6328125" customWidth="1"/>
  </cols>
  <sheetData>
    <row r="1" spans="1:1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</row>
    <row r="2" spans="1:12" x14ac:dyDescent="0.3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2" x14ac:dyDescent="0.3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2" x14ac:dyDescent="0.35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2" x14ac:dyDescent="0.3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2" x14ac:dyDescent="0.3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2" x14ac:dyDescent="0.35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2" x14ac:dyDescent="0.3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2" x14ac:dyDescent="0.35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2" x14ac:dyDescent="0.3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2" x14ac:dyDescent="0.3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2" x14ac:dyDescent="0.3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2" x14ac:dyDescent="0.35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2" x14ac:dyDescent="0.35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2" x14ac:dyDescent="0.35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2" x14ac:dyDescent="0.35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35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35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35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35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35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35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35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35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35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35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35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35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35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35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35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35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3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3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3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3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3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3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3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35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3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3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3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3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3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3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3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3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35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3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3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3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3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3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35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35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3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3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35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35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35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35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35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35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35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35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35">
      <c r="A67" t="s">
        <v>1589</v>
      </c>
      <c r="B67" t="s">
        <v>1590</v>
      </c>
      <c r="C67" s="2" t="s">
        <v>1589</v>
      </c>
      <c r="D67" t="str">
        <f t="shared" ref="D67:D69" si="11">CONCATENATE("Schematic\Connectors\", E67, ".SchLib")</f>
        <v>Schematic\Connectors\Conn_4pin_sh.SchLib</v>
      </c>
      <c r="E67" t="s">
        <v>1588</v>
      </c>
      <c r="F67" t="str">
        <f t="shared" ref="F67:F69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35">
      <c r="A68" s="60" t="s">
        <v>1733</v>
      </c>
      <c r="B68" s="60" t="s">
        <v>1734</v>
      </c>
      <c r="C68" s="61" t="str">
        <f t="shared" ref="C68" si="13">A68</f>
        <v>Mini-USB-B5F</v>
      </c>
      <c r="D68" s="62" t="str">
        <f t="shared" si="11"/>
        <v>Schematic\Connectors\Mini-USB-B5F.SchLib</v>
      </c>
      <c r="E68" s="61" t="str">
        <f t="shared" ref="E68" si="14">C68</f>
        <v>Mini-USB-B5F</v>
      </c>
      <c r="F68" s="62" t="str">
        <f t="shared" si="12"/>
        <v>Footprints\Connectors\KLS1-229-5FA.PcbLib</v>
      </c>
      <c r="G68" s="60" t="s">
        <v>1735</v>
      </c>
      <c r="H68" s="60"/>
      <c r="I68" s="60"/>
      <c r="J68" s="60" t="s">
        <v>1736</v>
      </c>
      <c r="K68" s="41" t="s">
        <v>978</v>
      </c>
      <c r="L68" s="60" t="s">
        <v>1714</v>
      </c>
    </row>
    <row r="69" spans="1:12" x14ac:dyDescent="0.35">
      <c r="A69" t="s">
        <v>1737</v>
      </c>
      <c r="B69" t="s">
        <v>1738</v>
      </c>
      <c r="C69" t="s">
        <v>1737</v>
      </c>
      <c r="D69" s="62" t="str">
        <f t="shared" si="11"/>
        <v>Schematic\Connectors\Conn_64pin.SchLib</v>
      </c>
      <c r="E69" t="s">
        <v>1741</v>
      </c>
      <c r="F69" s="62" t="str">
        <f t="shared" si="12"/>
        <v>Footprints\Connectors\AMPHENOL_10018783-11111TLF.PcbLib</v>
      </c>
      <c r="G69" t="s">
        <v>1740</v>
      </c>
      <c r="J69" t="s">
        <v>1739</v>
      </c>
      <c r="K69" t="s">
        <v>1425</v>
      </c>
      <c r="L69" t="s">
        <v>1425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2026-10-18T22:04:12Z</dcterms:modified>
</cp:coreProperties>
</file>