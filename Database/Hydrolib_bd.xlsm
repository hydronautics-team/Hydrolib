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5C5B2CC-30C4-4819-B5A7-6BE90448264B}" xr6:coauthVersionLast="47" xr6:coauthVersionMax="47" xr10:uidLastSave="{00000000-0000-0000-0000-000000000000}"/>
  <bookViews>
    <workbookView xWindow="45972" yWindow="-108" windowWidth="23256" windowHeight="12456" firstSheet="3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8" l="1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B6" i="9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<sst xmlns="http://schemas.openxmlformats.org/spreadsheetml/2006/main" count="2418" uniqueCount="940">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</sst>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</cellXfs>
  <cellStyles count="1">
    <cellStyle name="Обычный" xfId="0" builtinId="0"/>
  </cellStyles>
  <dxfs count="91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6" tableType="xml" totalsRowShown="0" headerRowDxfId="90" connectionId="6">
  <autoFilter ref="A1:G26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9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6" tableType="xml" totalsRowShown="0" connectionId="13">
  <autoFilter ref="A1:I6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6" connectionId="14">
  <autoFilter ref="A1:I8" xr:uid="{11DAD5D3-6841-4BFD-8583-65DE6E00D680}"/>
  <tableColumns count="9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2" tableType="xml" totalsRowShown="0" headerRowDxfId="69" dataDxfId="68" connectionId="12">
  <autoFilter ref="A1:K172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2" tableType="xml" totalsRowShown="0" headerRowDxfId="31" headerRowBorderDxfId="30" tableBorderDxfId="29" connectionId="3">
  <autoFilter ref="A1:L22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9" tableType="xml" totalsRowShown="0" headerRowDxfId="14" dataDxfId="13" connectionId="10">
  <autoFilter ref="A1:I9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5" tableType="xml" totalsRowShown="0" headerRowDxfId="3" connectionId="7">
  <autoFilter ref="A1:I15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6"/>
  <sheetViews>
    <sheetView zoomScale="85" zoomScaleNormal="85" workbookViewId="0">
      <selection activeCell="F49" sqref="F4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6"/>
  <sheetViews>
    <sheetView workbookViewId="0">
      <selection activeCell="I12" sqref="I12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  <row r="6" spans="1:9" x14ac:dyDescent="0.35">
      <c r="A6" t="s">
        <v>888</v>
      </c>
      <c r="B6" t="str">
        <f>CONCATENATE("Диод шоттки на ", H6," В, номинальный ток ", I6," А")</f>
        <v>Диод шоттки на 100 В, номинальный ток 8 А</v>
      </c>
      <c r="C6" t="str">
        <f>A6</f>
        <v>SK810</v>
      </c>
      <c r="D6" s="2" t="s">
        <v>86</v>
      </c>
      <c r="E6" t="s">
        <v>87</v>
      </c>
      <c r="F6" t="str">
        <f>CONCATENATE("Footprints\",G6,".PcbLib")</f>
        <v>Footprints\SMC.PcbLib</v>
      </c>
      <c r="G6" t="s">
        <v>88</v>
      </c>
      <c r="H6">
        <v>100</v>
      </c>
      <c r="I6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tabSelected="1"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</row>
    <row r="9" spans="1:19" ht="15.5" x14ac:dyDescent="0.35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2"/>
  <sheetViews>
    <sheetView topLeftCell="D40" zoomScaleNormal="100" workbookViewId="0">
      <selection activeCell="AB82" sqref="AB8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1"/>
      <c r="K52" s="1"/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7" workbookViewId="0">
      <selection activeCell="D47" sqref="D47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2"/>
  <sheetViews>
    <sheetView topLeftCell="A7" zoomScale="85" zoomScaleNormal="85" workbookViewId="0">
      <selection activeCell="L24" sqref="L24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2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</row>
    <row r="22" spans="1:12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6"/>
  <sheetViews>
    <sheetView zoomScaleNormal="100" workbookViewId="0">
      <selection activeCell="P9" sqref="P9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876</v>
      </c>
      <c r="H5" s="2" t="str">
        <f t="shared" ref="H5:H6" si="0">CONCATENATE("Footprints\Inductance\",I5,".PcbLib")</f>
        <v>Footprints\Inductance\.PcbLib</v>
      </c>
      <c r="I5" s="2"/>
      <c r="J5" s="2" t="str">
        <f t="shared" ref="J5:J6" si="1">CONCATENATE("Footprints\Inductance\",K5,".PcbLib")</f>
        <v>Footprints\Inductance\.PcbLib</v>
      </c>
      <c r="K5" s="2"/>
      <c r="L5" s="2" t="str">
        <f t="shared" ref="L5:L6" si="2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>A6</f>
        <v>IHLP4040DZER220M11</v>
      </c>
      <c r="D6" s="2" t="s">
        <v>104</v>
      </c>
      <c r="E6" s="2" t="s">
        <v>102</v>
      </c>
      <c r="F6" s="2" t="str">
        <f>CONCATENATE("Footprints\Inductance\",G6,".PcbLib")</f>
        <v>Footprints\Inductance\IHLP-4040.PcbLib</v>
      </c>
      <c r="G6" s="2" t="s">
        <v>342</v>
      </c>
      <c r="H6" s="2" t="str">
        <f t="shared" si="0"/>
        <v>Footprints\Inductance\.PcbLib</v>
      </c>
      <c r="I6" s="2"/>
      <c r="J6" s="2" t="str">
        <f t="shared" si="1"/>
        <v>Footprints\Inductance\.PcbLib</v>
      </c>
      <c r="K6" s="2"/>
      <c r="L6" s="2" t="str">
        <f t="shared" si="2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9"/>
  <sheetViews>
    <sheetView workbookViewId="0">
      <selection activeCell="A9" sqref="A9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5"/>
  <sheetViews>
    <sheetView zoomScale="85" zoomScaleNormal="85" workbookViewId="0">
      <selection activeCell="B35" sqref="B35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2024-12-12T19:01:38Z</dcterms:modified>
</cp:coreProperties>
</file>