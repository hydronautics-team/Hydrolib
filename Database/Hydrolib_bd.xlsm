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47786858-1596-4A73-9C95-8A8B8E3A817A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" l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B6" i="9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B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5" i="9"/>
  <c r="C5" i="9"/>
  <c r="F5" i="9"/>
  <c r="F4" i="9"/>
  <c r="C4" i="9"/>
  <c r="B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<sst xmlns="http://schemas.openxmlformats.org/spreadsheetml/2006/main" count="2363" uniqueCount="908">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</sst>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</cellXfs>
  <cellStyles count="1">
    <cellStyle name="Обычный" xfId="0" builtinId="0"/>
  </cellStyles>
  <dxfs count="91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2" tableType="xml" totalsRowShown="0" headerRowDxfId="90" connectionId="6">
  <autoFilter ref="A1:G22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9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6" tableType="xml" totalsRowShown="0" connectionId="13">
  <autoFilter ref="A1:I6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6" tableType="xml" totalsRowShown="0" dataDxfId="88" connectionId="15">
  <autoFilter ref="A1:K6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6" connectionId="14">
  <autoFilter ref="A1:I8" xr:uid="{11DAD5D3-6841-4BFD-8583-65DE6E00D680}"/>
  <tableColumns count="9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2" tableType="xml" totalsRowShown="0" headerRowDxfId="69" dataDxfId="68" connectionId="12">
  <autoFilter ref="A1:K172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4" tableType="xml" totalsRowShown="0" headerRowDxfId="3" connectionId="7">
  <autoFilter ref="A1:I14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2"/>
  <sheetViews>
    <sheetView tabSelected="1" workbookViewId="0">
      <selection activeCell="G24" sqref="G24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6"/>
  <sheetViews>
    <sheetView workbookViewId="0">
      <selection activeCell="I12" sqref="I12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5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2" t="str">
        <f>CONCATENATE("Диод шоттки на ", H3," В, номинальный ток ", I3," А")</f>
        <v>Диод шоттки на 20 В, номинальный ток 3 А</v>
      </c>
      <c r="C3" s="2" t="str">
        <f>A3</f>
        <v>SK32</v>
      </c>
      <c r="D3" s="2" t="s">
        <v>86</v>
      </c>
      <c r="E3" s="2" t="s">
        <v>87</v>
      </c>
      <c r="F3" s="2" t="str">
        <f>CONCATENATE("Footprints\",G3,".PcbLib")</f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>CONCATENATE("Диод шоттки на ", H4," В, номинальный ток ", I4," А")</f>
        <v>Диод шоттки на 30 В, номинальный ток 0.2 А</v>
      </c>
      <c r="C4" t="str">
        <f>A4</f>
        <v>BAT54WS</v>
      </c>
      <c r="D4" s="2" t="s">
        <v>86</v>
      </c>
      <c r="E4" t="s">
        <v>87</v>
      </c>
      <c r="F4" t="str">
        <f>CONCATENATE("Footprints\",G4,".PcbLib")</f>
        <v>Footprints\SOD-323.PcbLib</v>
      </c>
      <c r="G4" t="s">
        <v>72</v>
      </c>
      <c r="H4">
        <v>30</v>
      </c>
      <c r="I4" t="s">
        <v>345</v>
      </c>
    </row>
    <row r="5" spans="1:9" x14ac:dyDescent="0.35">
      <c r="A5" t="s">
        <v>346</v>
      </c>
      <c r="B5" t="str">
        <f>CONCATENATE("Диод шоттки на ", H5," В, номинальный ток ", I5," А")</f>
        <v>Диод шоттки на 45 В, номинальный ток 10 А</v>
      </c>
      <c r="C5" t="str">
        <f>A5</f>
        <v>10S45SP</v>
      </c>
      <c r="D5" s="2" t="s">
        <v>86</v>
      </c>
      <c r="E5" t="s">
        <v>87</v>
      </c>
      <c r="F5" t="str">
        <f>CONCATENATE("Footprints\",G5,".PcbLib")</f>
        <v>Footprints\TO-277.PcbLib</v>
      </c>
      <c r="G5" t="s">
        <v>347</v>
      </c>
      <c r="H5">
        <v>45</v>
      </c>
      <c r="I5">
        <v>10</v>
      </c>
    </row>
    <row r="6" spans="1:9" x14ac:dyDescent="0.35">
      <c r="A6" t="s">
        <v>888</v>
      </c>
      <c r="B6" t="str">
        <f>CONCATENATE("Диод шоттки на ", H6," В, номинальный ток ", I6," А")</f>
        <v>Диод шоттки на 100 В, номинальный ток 8 А</v>
      </c>
      <c r="C6" t="str">
        <f>A6</f>
        <v>SK810</v>
      </c>
      <c r="D6" s="2" t="s">
        <v>86</v>
      </c>
      <c r="E6" t="s">
        <v>87</v>
      </c>
      <c r="F6" t="str">
        <f>CONCATENATE("Footprints\",G6,".PcbLib")</f>
        <v>Footprints\SMC.PcbLib</v>
      </c>
      <c r="G6" t="s">
        <v>88</v>
      </c>
      <c r="H6">
        <v>100</v>
      </c>
      <c r="I6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6"/>
  <sheetViews>
    <sheetView workbookViewId="0">
      <selection activeCell="G2" sqref="G2:G6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80</v>
      </c>
      <c r="F2" t="str">
        <f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5">
      <c r="A3" t="s">
        <v>79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81</v>
      </c>
      <c r="F3" t="str">
        <f>CONCATENATE("Footprints\",G3,".PcbLib")</f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80</v>
      </c>
      <c r="F4" t="str">
        <f>CONCATENATE("Footprints\",G4,".PcbLib")</f>
        <v>Footprints\SMA.PcbLib</v>
      </c>
      <c r="G4" t="s">
        <v>131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335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80</v>
      </c>
      <c r="F5" t="str">
        <f>CONCATENATE("Footprints\",G5,".PcbLib")</f>
        <v>Footprints\SMB.PcbLib</v>
      </c>
      <c r="G5" t="s">
        <v>343</v>
      </c>
      <c r="H5">
        <v>18</v>
      </c>
      <c r="I5">
        <v>600</v>
      </c>
      <c r="J5" t="str">
        <f t="shared" si="0"/>
        <v>18 В</v>
      </c>
    </row>
    <row r="6" spans="1:11" x14ac:dyDescent="0.35">
      <c r="A6" t="s">
        <v>857</v>
      </c>
      <c r="B6" t="str">
        <f xml:space="preserve"> 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t="str">
        <f>A6</f>
        <v>PESD5V0S1UB</v>
      </c>
      <c r="D6" t="str">
        <f>CONCATENATE("Schematic\TVS\",E6,".SchLib")</f>
        <v>Schematic\TVS\TVS_1_1dir.SchLib</v>
      </c>
      <c r="E6" t="s">
        <v>80</v>
      </c>
      <c r="F6" t="str">
        <f>CONCATENATE("Footprints\",G6,".PcbLib")</f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</row>
    <row r="9" spans="1:19" ht="15.5" x14ac:dyDescent="0.35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2"/>
  <sheetViews>
    <sheetView topLeftCell="D40" zoomScaleNormal="100" workbookViewId="0">
      <selection activeCell="AB82" sqref="AB82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1"/>
      <c r="K52" s="1"/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7" workbookViewId="0">
      <selection activeCell="D47" sqref="D47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6"/>
  <sheetViews>
    <sheetView zoomScaleNormal="100" workbookViewId="0">
      <selection activeCell="P9" sqref="P9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>A5</f>
        <v>IHLP2525CZER4R7M01</v>
      </c>
      <c r="D5" s="2" t="s">
        <v>104</v>
      </c>
      <c r="E5" s="2" t="s">
        <v>102</v>
      </c>
      <c r="F5" s="2" t="str">
        <f>CONCATENATE("Footprints\Inductance\",G5,".PcbLib")</f>
        <v>Footprints\Inductance\IHLP-2525.PcbLib</v>
      </c>
      <c r="G5" s="2" t="s">
        <v>876</v>
      </c>
      <c r="H5" s="2" t="str">
        <f t="shared" ref="H5:H6" si="0">CONCATENATE("Footprints\Inductance\",I5,".PcbLib")</f>
        <v>Footprints\Inductance\.PcbLib</v>
      </c>
      <c r="I5" s="2"/>
      <c r="J5" s="2" t="str">
        <f t="shared" ref="J5:J6" si="1">CONCATENATE("Footprints\Inductance\",K5,".PcbLib")</f>
        <v>Footprints\Inductance\.PcbLib</v>
      </c>
      <c r="K5" s="2"/>
      <c r="L5" s="2" t="str">
        <f t="shared" ref="L5:L6" si="2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>A6</f>
        <v>IHLP4040DZER220M11</v>
      </c>
      <c r="D6" s="2" t="s">
        <v>104</v>
      </c>
      <c r="E6" s="2" t="s">
        <v>102</v>
      </c>
      <c r="F6" s="2" t="str">
        <f>CONCATENATE("Footprints\Inductance\",G6,".PcbLib")</f>
        <v>Footprints\Inductance\IHLP-4040.PcbLib</v>
      </c>
      <c r="G6" s="2" t="s">
        <v>342</v>
      </c>
      <c r="H6" s="2" t="str">
        <f t="shared" si="0"/>
        <v>Footprints\Inductance\.PcbLib</v>
      </c>
      <c r="I6" s="2"/>
      <c r="J6" s="2" t="str">
        <f t="shared" si="1"/>
        <v>Footprints\Inductance\.PcbLib</v>
      </c>
      <c r="K6" s="2"/>
      <c r="L6" s="2" t="str">
        <f t="shared" si="2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7"/>
  <sheetViews>
    <sheetView workbookViewId="0">
      <selection activeCell="C10" sqref="C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t="s">
        <v>885</v>
      </c>
      <c r="B7" t="s">
        <v>886</v>
      </c>
      <c r="C7" t="str">
        <f t="shared" ref="C7" si="0">A7</f>
        <v>CBM432AST23</v>
      </c>
      <c r="D7" t="str">
        <f>CONCATENATE("Schematic\precision_shunt_regulator",".SchLib")</f>
        <v>Schematic\precision_shunt_regulator.SchLib</v>
      </c>
      <c r="E7" t="s">
        <v>887</v>
      </c>
      <c r="F7" t="str">
        <f>CONCATENATE("Footprints\",G7,".PcbLib")</f>
        <v>Footprints\SOT23-3.PcbLib</v>
      </c>
      <c r="G7" t="s">
        <v>18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zoomScaleNormal="100" workbookViewId="0">
      <selection activeCell="F16" sqref="F16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2024-12-05T21:07:48Z</dcterms:modified>
</cp:coreProperties>
</file>