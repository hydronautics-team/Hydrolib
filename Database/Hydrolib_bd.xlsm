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filterPrivacy="1" codeName="ЭтаКнига"/>
  <xr:revisionPtr revIDLastSave="0" documentId="13_ncr:1_{26F9F611-951A-4840-ACE4-4C2341C17F84}" xr6:coauthVersionLast="47" xr6:coauthVersionMax="47" xr10:uidLastSave="{00000000-0000-0000-0000-000000000000}"/>
  <bookViews>
    <workbookView xWindow="11424" yWindow="0" windowWidth="11712" windowHeight="12336" tabRatio="896" firstSheet="10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1" i="6" l="1"/>
  <c r="F71" i="6"/>
  <c r="H70" i="6"/>
  <c r="F70" i="6"/>
  <c r="E70" i="6"/>
  <c r="F73" i="1"/>
  <c r="D73" i="1"/>
  <c r="C73" i="1"/>
  <c r="F72" i="1"/>
  <c r="E72" i="1"/>
  <c r="D72" i="1"/>
  <c r="C72" i="1"/>
  <c r="F71" i="1"/>
  <c r="E71" i="1"/>
  <c r="D71" i="1"/>
  <c r="C71" i="1"/>
  <c r="C70" i="1"/>
  <c r="D70" i="1"/>
  <c r="F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<sst xmlns="http://schemas.openxmlformats.org/spreadsheetml/2006/main" count="4237" uniqueCount="1770">
  <si>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</si>
  <si>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</si>
  <si>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</si>
  <si>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</si>
  <si>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</si>
  <si>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</si>
  <si>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</si>
  <si>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</si>
  <si>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</si>
  <si>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</si>
  <si>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</si>
  <si>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</si>
  <si>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</si>
  <si>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</si>
  <si>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</si>
  <si>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</si>
  <si>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</si>
  <si>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</si>
  <si>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</si>
  <si>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</si>
  <si>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</si>
  <si>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</si>
  <si>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</si>
  <si>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</si>
  <si>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</si>
  <si>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</si>
  <si>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</si>
  <si>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</si>
  <si>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</si>
  <si>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</si>
  <si>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</si>
  <si>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</si>
  <si>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</si>
  <si>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</si>
  <si>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</si>
  <si>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</si>
  <si>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</si>
  <si>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</si>
  <si>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</si>
  <si>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</si>
  <si>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</si>
  <si>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</si>
  <si>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</si>
  <si>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</si>
  <si>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</si>
  <si>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</si>
  <si>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</si>
  <si>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</si>
  <si>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</si>
  <si>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</si>
  <si>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</si>
  <si>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</si>
  <si>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</si>
  <si>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</si>
  <si>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</si>
  <si>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</si>
  <si>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</si>
  <si>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</si>
  <si>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</si>
  <si>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</si>
  <si>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</si>
  <si>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</si>
  <si>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</si>
  <si>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</si>
  <si>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</si>
  <si>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</si>
  <si>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</si>
  <si>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</si>
  <si>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</si>
  <si>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</si>
  <si>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</si>
  <si>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</si>
  <si>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</si>
  <si>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</si>
  <si>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</si>
  <si>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</si>
  <si>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</si>
  <si>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</si>
  <si>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</si>
  <si>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</si>
  <si>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</si>
  <si>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</si>
  <si>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</si>
  <si>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</si>
  <si>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</si>
  <si>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</si>
  <si>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</si>
  <si>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</si>
  <si>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</si>
  <si>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</si>
  <si>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</si>
  <si>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</si>
  <si>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</si>
  <si>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</si>
  <si>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</si>
  <si>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</si>
  <si>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</si>
  <si>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</si>
  <si>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</si>
  <si>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</si>
  <si>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</si>
  <si>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</si>
  <si>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</si>
  <si>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</si>
  <si>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</si>
  <si>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</si>
  <si>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</si>
  <si>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</si>
  <si>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</si>
  <si>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</si>
  <si>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</si>
  <si>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</si>
  <si>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</si>
  <si>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</si>
  <si>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</si>
  <si>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</si>
  <si>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</si>
  <si>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</si>
  <si>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</si>
  <si>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</si>
  <si>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</si>
  <si>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</si>
  <si>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</si>
  <si>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</si>
  <si>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</si>
  <si>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</si>
  <si>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</si>
  <si>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</si>
  <si>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</si>
  <si>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</si>
  <si>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</si>
  <si>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</si>
  <si>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</si>
  <si>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</si>
  <si>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</si>
  <si>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</si>
  <si>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</si>
  <si>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</si>
  <si>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</si>
  <si>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</si>
  <si>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</si>
  <si>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</si>
  <si>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</si>
  <si>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</si>
  <si>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</si>
  <si>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</si>
  <si>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</si>
  <si>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</si>
  <si>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</si>
  <si>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</si>
  <si>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</si>
  <si>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</si>
  <si>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</si>
  <si>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</si>
  <si>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</si>
  <si>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</si>
  <si>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</si>
  <si>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</si>
  <si>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</si>
  <si>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</si>
  <si>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</si>
  <si>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</si>
  <si>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</si>
  <si>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</si>
  <si>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</si>
  <si>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</si>
  <si>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</si>
  <si>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</si>
  <si>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</si>
  <si>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</si>
  <si>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</si>
  <si>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</si>
  <si>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</si>
  <si>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</si>
  <si>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</si>
  <si>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</si>
  <si>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</si>
  <si>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</si>
  <si>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</si>
  <si>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</si>
  <si>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</si>
  <si>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</si>
  <si>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</si>
  <si>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</si>
  <si>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</si>
  <si>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</si>
  <si>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</si>
  <si>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</si>
  <si>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</si>
  <si>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</si>
  <si>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</si>
  <si>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</si>
  <si>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</si>
  <si>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</si>
  <si>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</si>
  <si>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</si>
  <si>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</si>
  <si>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</si>
  <si>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</si>
  <si>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</si>
  <si>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</si>
  <si>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</si>
  <si>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</si>
  <si>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</si>
  <si>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</si>
  <si>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</si>
  <si>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</si>
  <si>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</si>
  <si>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</si>
  <si>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</si>
  <si>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</si>
  <si>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</si>
  <si>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</si>
  <si>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</si>
  <si>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</si>
  <si>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</si>
  <si>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</si>
  <si>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</si>
  <si>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</si>
  <si>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</si>
  <si>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</si>
  <si>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</si>
  <si>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</si>
  <si>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</si>
  <si>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</si>
  <si>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</si>
  <si>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</si>
  <si>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</si>
  <si>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</si>
  <si>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</si>
  <si>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</si>
  <si>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</si>
  <si>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</si>
  <si>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</si>
  <si>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</si>
  <si>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</si>
  <si>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</si>
  <si>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</si>
  <si>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</si>
  <si>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</si>
  <si>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</si>
  <si>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</si>
  <si>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</si>
  <si>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</si>
  <si>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</si>
  <si>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</si>
  <si>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</si>
  <si>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</si>
  <si>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</si>
  <si>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</si>
  <si>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</si>
  <si>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</si>
  <si>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</si>
  <si>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</si>
  <si>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</si>
  <si>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</si>
  <si>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</si>
  <si>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</si>
  <si>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</si>
  <si>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</si>
  <si>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</si>
  <si>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</si>
  <si>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</si>
  <si>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</si>
  <si>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</si>
  <si>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</si>
  <si>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</si>
  <si>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</si>
  <si>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</si>
  <si>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</si>
  <si>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</si>
  <si>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</si>
  <si>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</si>
  <si>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</si>
  <si>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</si>
  <si>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</si>
  <si>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</si>
  <si>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</si>
  <si>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</si>
  <si>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</si>
  <si>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</si>
  <si>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</si>
  <si>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</si>
  <si>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</si>
  <si>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</si>
  <si>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</si>
  <si>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</si>
  <si>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</si>
  <si>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</si>
  <si>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</si>
  <si>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</si>
  <si>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</si>
  <si>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</si>
  <si>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</si>
  <si>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</si>
  <si>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</si>
  <si>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</si>
  <si>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</si>
  <si>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</si>
  <si>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</si>
  <si>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</si>
  <si>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</si>
  <si>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</si>
  <si>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</si>
  <si>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</si>
  <si>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</si>
  <si>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</si>
  <si>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</si>
  <si>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</si>
  <si>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</si>
  <si>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</si>
  <si>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</si>
  <si>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</si>
  <si>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</si>
  <si>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</si>
  <si>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</si>
  <si>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</si>
  <si>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</si>
  <si>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</si>
  <si>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</si>
  <si>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</si>
  <si>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</si>
  <si>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</si>
  <si>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</si>
  <si>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</si>
  <si>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</si>
  <si>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</si>
  <si>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</si>
  <si>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</si>
  <si>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</si>
  <si>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</si>
  <si>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</si>
  <si>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</si>
  <si>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</si>
  <si>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</si>
  <si>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</si>
  <si>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</si>
  <si>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</si>
  <si>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</si>
  <si>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</si>
  <si>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</si>
  <si>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</si>
  <si>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</si>
  <si>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</si>
  <si>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</si>
  <si>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</si>
  <si>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</si>
  <si>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</si>
  <si>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</si>
  <si>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</si>
  <si>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</si>
  <si>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</si>
  <si>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</si>
  <si>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</si>
  <si>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</si>
  <si>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</si>
  <si>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</si>
  <si>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</si>
  <si>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</si>
  <si>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</si>
  <si>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</si>
  <si>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</si>
  <si>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</si>
  <si>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</si>
  <si>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</si>
  <si>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</si>
  <si>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</si>
  <si>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</si>
  <si>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</si>
  <si>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</si>
  <si>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</si>
  <si>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</si>
  <si>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</si>
  <si>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</si>
  <si>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</si>
  <si>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</si>
  <si>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</si>
  <si>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</si>
  <si>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</si>
  <si>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</si>
  <si>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</si>
  <si>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</si>
  <si>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</si>
  <si>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</si>
  <si>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</si>
  <si>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</si>
  <si>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</si>
  <si>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</si>
  <si>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</si>
  <si>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</si>
  <si>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</si>
  <si>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</si>
  <si>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</si>
  <si>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</si>
  <si>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</si>
  <si>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</si>
  <si>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</si>
  <si>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</si>
  <si>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</si>
  <si>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</si>
  <si>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</si>
  <si>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</si>
  <si>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</si>
  <si>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</si>
  <si>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</si>
  <si>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</si>
  <si>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</si>
  <si>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</si>
  <si>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</si>
  <si>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</si>
  <si>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</si>
  <si>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</si>
  <si>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</si>
  <si>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</si>
  <si>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</si>
  <si>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</si>
  <si>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</si>
  <si>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</si>
  <si>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</si>
  <si>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</si>
  <si>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</si>
  <si>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</si>
  <si>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</si>
  <si>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</si>
  <si>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</si>
  <si>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</si>
  <si>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</si>
  <si>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</si>
  <si>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</si>
  <si>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</si>
  <si>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</si>
  <si>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</si>
  <si>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</si>
  <si>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</si>
  <si>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</si>
  <si>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</si>
  <si>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</si>
  <si>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</si>
  <si>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</si>
  <si>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</si>
  <si>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</si>
  <si>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</si>
  <si>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</si>
  <si>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</si>
  <si>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</si>
  <si>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</si>
  <si>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</si>
  <si>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</si>
  <si>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</si>
  <si>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</si>
  <si>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</si>
  <si>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</si>
  <si>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</si>
  <si>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</si>
  <si>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</si>
  <si>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</si>
  <si>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</si>
  <si>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</si>
  <si>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</si>
  <si>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</si>
  <si>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</si>
  <si>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</si>
  <si>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</si>
  <si>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</si>
  <si>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</si>
  <si>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</si>
  <si>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</si>
  <si>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</si>
  <si>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</si>
  <si>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</si>
  <si>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</si>
  <si>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</si>
  <si>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</si>
  <si>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</si>
  <si>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</si>
  <si>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</si>
  <si>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</si>
  <si>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</si>
  <si>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</si>
  <si>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</si>
  <si>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</si>
  <si>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</si>
  <si>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</si>
  <si>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</si>
  <si>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</si>
  <si>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</si>
  <si>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</si>
  <si>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</si>
  <si>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</si>
  <si>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</si>
  <si>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</si>
  <si>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</si>
  <si>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</si>
  <si>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</si>
  <si>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</si>
  <si>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</si>
  <si>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</si>
  <si>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</si>
  <si>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</si>
  <si>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</si>
  <si>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</si>
  <si>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</si>
  <si>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</si>
  <si>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</si>
  <si>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</si>
  <si>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</si>
  <si>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</si>
  <si>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</si>
  <si>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</si>
  <si>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</si>
  <si>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</si>
  <si>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</si>
  <si>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</si>
  <si>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</si>
  <si>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</si>
  <si>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</si>
  <si>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</si>
  <si>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</si>
  <si>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</si>
  <si>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</si>
  <si>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</si>
  <si>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</si>
  <si>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</si>
  <si>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</si>
  <si>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</si>
  <si>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</si>
  <si>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</si>
  <si>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</si>
  <si>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</si>
  <si>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</si>
  <si>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</si>
  <si>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</si>
  <si>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</si>
  <si>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</si>
  <si>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</si>
  <si>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</si>
  <si>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</si>
  <si>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</si>
  <si>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</si>
  <si>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</si>
  <si>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</si>
  <si>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</si>
  <si>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</si>
  <si>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</si>
  <si>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</si>
  <si>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</si>
  <si>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</si>
  <si>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</si>
  <si>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</si>
  <si>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</si>
  <si>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</si>
  <si>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</si>
  <si>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</si>
  <si>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</si>
  <si>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</si>
  <si>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</si>
  <si>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</si>
  <si>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</si>
  <si>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</si>
  <si>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</si>
  <si>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</si>
  <si>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</si>
  <si>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</si>
  <si>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</si>
  <si>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</si>
  <si>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</si>
  <si>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</si>
  <si>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</si>
  <si>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</si>
  <si>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</si>
  <si>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</si>
  <si>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</si>
  <si>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</si>
  <si>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</si>
  <si>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</si>
  <si>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</si>
  <si>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</si>
  <si>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</si>
  <si>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</si>
  <si>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</si>
  <si>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</si>
  <si>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</si>
  <si>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</si>
  <si>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</si>
  <si>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</si>
  <si>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</si>
  <si>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</si>
  <si>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</si>
  <si>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</si>
  <si>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</si>
  <si>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</si>
  <si>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</si>
  <si>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</si>
  <si>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</si>
  <si>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</si>
  <si>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</si>
  <si>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</si>
  <si>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</si>
  <si>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</si>
  <si>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</si>
  <si>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</si>
  <si>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</si>
  <si>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</si>
  <si>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</si>
  <si>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</si>
  <si>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</si>
  <si>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</si>
  <si>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</si>
  <si>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</si>
  <si>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</si>
  <si>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</si>
  <si>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</si>
  <si>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</si>
  <si>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</si>
  <si>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</si>
  <si>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</si>
  <si>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</si>
  <si>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</si>
  <si>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</si>
  <si>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</si>
  <si>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</si>
  <si>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</si>
  <si>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</si>
  <si>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</si>
  <si>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</si>
  <si>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</si>
  <si>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</si>
  <si>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</si>
  <si>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</si>
  <si>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</si>
  <si>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</si>
  <si>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</si>
  <si>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</si>
  <si>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</si>
  <si>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</si>
  <si>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</si>
  <si>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</si>
  <si>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</si>
  <si>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</si>
  <si>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</si>
  <si>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</si>
  <si>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</si>
  <si>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</si>
  <si>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</si>
  <si>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</si>
  <si>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</si>
  <si>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</si>
  <si>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</si>
  <si>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</si>
  <si>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</si>
  <si>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</si>
  <si>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</si>
  <si>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</si>
  <si>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</si>
  <si>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</si>
  <si>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</si>
  <si>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</si>
  <si>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</si>
  <si>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</si>
  <si>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</si>
  <si>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</si>
  <si>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</si>
  <si>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</si>
  <si>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</si>
  <si>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</si>
  <si>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</si>
  <si>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</si>
  <si>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</si>
  <si>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</si>
  <si>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</si>
  <si>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</si>
  <si>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</si>
  <si>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</si>
  <si>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</si>
  <si>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</si>
  <si>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</si>
  <si>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</si>
  <si>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</si>
  <si>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</si>
  <si>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</si>
  <si>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</si>
  <si>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</si>
  <si>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</si>
  <si>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</si>
  <si>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</si>
  <si>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</si>
  <si>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</si>
  <si>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</si>
  <si>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</si>
  <si>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</si>
  <si>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</si>
  <si>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</si>
  <si>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</si>
  <si>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</si>
  <si>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</si>
  <si>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</si>
  <si>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</si>
  <si>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</si>
  <si>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</si>
  <si>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</si>
  <si>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</si>
  <si>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</si>
  <si>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</si>
  <si>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</si>
  <si>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</si>
  <si>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</si>
  <si>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</si>
  <si>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</si>
  <si>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</si>
  <si>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</si>
  <si>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</si>
  <si>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</si>
  <si>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</si>
  <si>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</si>
  <si>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</si>
  <si>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</si>
  <si>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</si>
  <si>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</si>
  <si>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</si>
  <si>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</si>
  <si>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</si>
  <si>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</si>
  <si>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</si>
  <si>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</si>
  <si>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</si>
  <si>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</si>
  <si>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</si>
  <si>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</si>
  <si>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</si>
  <si>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</si>
  <si>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</si>
  <si>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</si>
  <si>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</si>
  <si>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</si>
  <si>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</si>
  <si>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</si>
  <si>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</si>
  <si>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</si>
  <si>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</si>
  <si>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</si>
  <si>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</si>
  <si>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</si>
  <si>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</si>
  <si>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</si>
  <si>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</si>
  <si>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</si>
  <si>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</si>
  <si>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</si>
  <si>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</si>
  <si>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</si>
  <si>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</si>
  <si>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</si>
  <si>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</si>
  <si>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</si>
  <si>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</si>
  <si>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</si>
  <si>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</si>
  <si>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</si>
  <si>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</si>
  <si>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</si>
  <si>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</si>
  <si>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</si>
  <si>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</si>
  <si>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</si>
  <si>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</si>
  <si>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</si>
  <si>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</si>
  <si>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</si>
  <si>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</si>
  <si>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</si>
  <si>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</si>
  <si>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</si>
  <si>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</si>
  <si>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</si>
  <si>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</si>
  <si>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</si>
  <si>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</si>
  <si>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</si>
  <si>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</si>
  <si>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</si>
  <si>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</si>
  <si>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</si>
  <si>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</si>
  <si>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</si>
  <si>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</si>
  <si>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</si>
  <si>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</si>
  <si>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</si>
  <si>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</si>
  <si>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</si>
  <si>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</si>
  <si>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</si>
  <si>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</si>
  <si>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</si>
  <si>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</si>
  <si>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</si>
  <si>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</si>
  <si>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</si>
  <si>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</si>
  <si>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</si>
  <si>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</si>
  <si>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</si>
  <si>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</si>
  <si>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</si>
  <si>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</si>
  <si>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</si>
  <si>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</si>
  <si>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</si>
  <si>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</si>
  <si>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</si>
  <si>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</si>
  <si>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</si>
  <si>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</si>
  <si>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</si>
  <si>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</si>
  <si>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</si>
  <si>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</si>
  <si>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</si>
  <si>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</si>
  <si>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</si>
  <si>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</si>
  <si>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</si>
  <si>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</si>
  <si>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</si>
  <si>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</si>
  <si>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</si>
  <si>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</si>
  <si>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</si>
  <si>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</si>
  <si>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</si>
  <si>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</si>
  <si>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</si>
  <si>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</si>
  <si>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</si>
  <si>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</si>
  <si>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</si>
  <si>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</si>
  <si>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</si>
  <si>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</si>
  <si>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</si>
  <si>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</si>
  <si>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</si>
  <si>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</si>
  <si>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</si>
  <si>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</si>
  <si>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</si>
  <si>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</si>
  <si>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</si>
  <si>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</si>
  <si>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</si>
  <si>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</si>
  <si>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</si>
  <si>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</si>
  <si>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</si>
  <si>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</si>
  <si>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</si>
  <si>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</si>
  <si>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</si>
  <si>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</si>
  <si>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</si>
  <si>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</si>
  <si>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</si>
  <si>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</si>
  <si>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</si>
  <si>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</si>
  <si>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</si>
  <si>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</si>
  <si>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</si>
  <si>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</si>
  <si>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</si>
  <si>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</si>
  <si>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</si>
  <si>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</si>
  <si>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</si>
  <si>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</si>
  <si>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</si>
  <si>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</si>
  <si>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</si>
  <si>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</si>
  <si>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</si>
  <si>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</si>
  <si>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</si>
  <si>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</si>
  <si>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</si>
  <si>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</si>
  <si>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</si>
  <si>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</si>
  <si>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</si>
  <si>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</si>
  <si>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</si>
  <si>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</si>
  <si>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</si>
  <si>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</si>
  <si>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</si>
  <si>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</si>
  <si>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</si>
  <si>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</si>
  <si>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</si>
  <si>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</si>
  <si>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</si>
  <si>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</si>
  <si>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</si>
  <si>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</si>
  <si>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</si>
  <si>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</si>
  <si>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</si>
  <si>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</si>
  <si>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</si>
  <si>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</si>
  <si>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</si>
  <si>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</si>
  <si>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</si>
  <si>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</si>
  <si>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</si>
  <si>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</si>
  <si>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</si>
  <si>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</si>
  <si>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</si>
  <si>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</si>
  <si>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</si>
  <si>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</si>
  <si>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</si>
  <si>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</si>
  <si>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</si>
  <si>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</si>
  <si>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</si>
  <si>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</si>
  <si>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</si>
  <si>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</si>
  <si>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</si>
  <si>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</si>
  <si>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</si>
  <si>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</si>
  <si>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</si>
  <si>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</si>
  <si>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</si>
  <si>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</si>
  <si>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</si>
  <si>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</si>
  <si>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</si>
  <si>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</si>
  <si>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</si>
  <si>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</si>
  <si>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</si>
  <si>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</si>
  <si>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</si>
  <si>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</si>
  <si>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</si>
  <si>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</si>
  <si>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</si>
  <si>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</si>
  <si>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</si>
  <si>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</si>
  <si>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</si>
  <si>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</si>
  <si>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</si>
  <si>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</si>
  <si>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</si>
  <si>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</si>
  <si>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</si>
  <si>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</si>
  <si>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</si>
  <si>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</si>
  <si>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</si>
  <si>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</si>
  <si>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</si>
  <si>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</si>
  <si>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</si>
  <si>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</si>
  <si>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</si>
  <si>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</si>
  <si>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</si>
  <si>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</si>
  <si>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</si>
  <si>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</si>
  <si>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</si>
  <si>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</si>
  <si>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</si>
  <si>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</si>
  <si>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</si>
  <si>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</si>
  <si>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</si>
  <si>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</si>
  <si>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</si>
  <si>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</si>
  <si>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</si>
  <si>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</si>
  <si>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</si>
  <si>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</si>
  <si>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</si>
  <si>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</si>
  <si>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</si>
  <si>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</si>
  <si>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</si>
  <si>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</si>
  <si>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</si>
  <si>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</si>
  <si>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</si>
  <si>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</si>
  <si>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</si>
  <si>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</si>
  <si>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</si>
  <si>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</si>
  <si>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</si>
  <si>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</si>
  <si>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</si>
  <si>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</si>
  <si>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</si>
  <si>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</si>
  <si>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</si>
  <si>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</si>
  <si>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</si>
  <si>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</si>
  <si>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</si>
  <si>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</si>
  <si>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</si>
  <si>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</si>
  <si>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</si>
  <si>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</si>
  <si>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</si>
  <si>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</si>
  <si>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</si>
  <si>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</si>
  <si>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</si>
  <si>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</si>
  <si>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</si>
  <si>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</si>
  <si>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</si>
  <si>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</si>
  <si>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</si>
  <si>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</si>
  <si>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</si>
  <si>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</si>
  <si>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</si>
  <si>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</si>
  <si>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</si>
  <si>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</si>
  <si>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</si>
  <si>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</si>
  <si>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</si>
  <si>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</si>
  <si>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</si>
  <si>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</si>
  <si>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</si>
  <si>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</si>
  <si>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</si>
  <si>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</si>
  <si>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</si>
  <si>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</si>
  <si>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</si>
  <si>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</si>
  <si>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</si>
  <si>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</si>
  <si>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</si>
  <si>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</si>
  <si>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</si>
  <si>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</si>
  <si>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</si>
  <si>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</si>
  <si>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</si>
  <si>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</si>
  <si>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</si>
  <si>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</si>
  <si>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</si>
  <si>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</si>
  <si>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</si>
  <si>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</si>
  <si>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</si>
  <si>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</si>
  <si>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</si>
  <si>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</si>
  <si>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</si>
  <si>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</si>
  <si>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</si>
  <si>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</si>
  <si>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</si>
  <si>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</si>
  <si>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</si>
  <si>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</si>
  <si>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</si>
  <si>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</si>
  <si>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</si>
  <si>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</si>
  <si>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</si>
  <si>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</si>
  <si>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</si>
  <si>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</si>
  <si>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</si>
  <si>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</si>
  <si>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</si>
  <si>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</si>
  <si>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</si>
  <si>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</si>
  <si>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</si>
  <si>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</si>
  <si>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</si>
  <si>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</si>
  <si>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</si>
  <si>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</si>
  <si>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</si>
  <si>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</si>
  <si>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</si>
  <si>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</si>
  <si>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</si>
  <si>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</si>
  <si>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</si>
  <si>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</si>
  <si>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</si>
  <si>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</si>
  <si>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</si>
  <si>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</si>
  <si>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</si>
  <si>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</si>
  <si>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</si>
  <si>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</si>
  <si>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</si>
  <si>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</si>
  <si>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</si>
  <si>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</si>
  <si>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</si>
  <si>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</si>
  <si>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</si>
  <si>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</si>
  <si>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</si>
  <si>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</si>
  <si>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</si>
  <si>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</si>
  <si>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</si>
  <si>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</si>
  <si>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</si>
  <si>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</si>
  <si>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</si>
  <si>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</si>
  <si>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</si>
  <si>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</si>
  <si>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</si>
  <si>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</si>
  <si>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</si>
  <si>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</si>
  <si>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</si>
  <si>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</si>
  <si>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</si>
  <si>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</si>
  <si>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</si>
  <si>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</si>
  <si>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</si>
  <si>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</si>
  <si>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</si>
  <si>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</si>
  <si>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</si>
  <si>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</si>
  <si>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</si>
  <si>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</si>
  <si>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</si>
  <si>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</si>
  <si>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</si>
  <si>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</si>
  <si>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</si>
  <si>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</si>
  <si>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</si>
  <si>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</si>
  <si>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</si>
  <si>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</si>
  <si>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</si>
  <si>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</si>
  <si>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</si>
  <si>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</si>
  <si>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</si>
  <si>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</si>
  <si>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</si>
  <si>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</si>
  <si>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</si>
  <si>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</si>
  <si>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</si>
  <si>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</si>
  <si>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</si>
  <si>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</si>
  <si>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</si>
  <si>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</si>
  <si>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</si>
  <si>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</si>
  <si>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</si>
  <si>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</si>
  <si>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</si>
  <si>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</si>
  <si>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</si>
  <si>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</si>
  <si>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</si>
  <si>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</si>
  <si>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</si>
  <si>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</si>
  <si>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</si>
  <si>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</si>
  <si>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</si>
  <si>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</si>
  <si>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</si>
  <si>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</si>
  <si>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</si>
  <si>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</si>
  <si>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</si>
  <si>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</si>
  <si>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</si>
  <si>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</si>
  <si>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</si>
  <si>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</si>
  <si>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</si>
  <si>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</si>
  <si>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</si>
  <si>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</si>
  <si>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</si>
  <si>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</si>
  <si>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</si>
  <si>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</si>
  <si>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</si>
  <si>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</si>
  <si>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</si>
  <si>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</si>
  <si>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</si>
  <si>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</si>
  <si>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</si>
  <si>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</si>
  <si>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</si>
  <si>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</si>
  <si>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</si>
  <si>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</si>
  <si>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</si>
  <si>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</si>
  <si>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</si>
  <si>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</si>
  <si>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</si>
  <si>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</si>
  <si>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</si>
  <si>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</si>
  <si>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</si>
  <si>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</si>
  <si>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</si>
  <si>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</si>
  <si>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</si>
  <si>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</si>
  <si>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</si>
  <si>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</si>
  <si>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</si>
  <si>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</si>
  <si>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</si>
  <si>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</si>
  <si>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</si>
  <si>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</si>
  <si>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</si>
  <si>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</si>
  <si>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</si>
  <si>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</si>
  <si>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</si>
  <si>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</si>
  <si>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</si>
  <si>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</si>
  <si>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</si>
  <si>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</si>
  <si>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</si>
  <si>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</si>
  <si>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</si>
  <si>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</si>
  <si>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</si>
  <si>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</si>
  <si>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</si>
  <si>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</si>
  <si>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</si>
  <si>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</si>
  <si>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</si>
  <si>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</si>
  <si>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</si>
  <si>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</si>
  <si>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</si>
  <si>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</si>
  <si>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</si>
  <si>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</si>
  <si>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</si>
  <si>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</si>
  <si>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</si>
  <si>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</si>
  <si>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</si>
  <si>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</si>
  <si>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</si>
  <si>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</si>
  <si>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</si>
  <si>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</si>
  <si>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</si>
  <si>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</si>
  <si>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</si>
  <si>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</si>
  <si>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</si>
  <si>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</si>
  <si>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</si>
  <si>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</si>
  <si>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</si>
  <si>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</si>
  <si>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</si>
  <si>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</si>
  <si>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</si>
  <si>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</si>
  <si>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</si>
  <si>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</si>
  <si>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</si>
  <si>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</si>
  <si>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</si>
  <si>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</si>
  <si>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</si>
  <si>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</si>
  <si>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</si>
  <si>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</si>
  <si>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</si>
  <si>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</si>
  <si>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</si>
  <si>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</si>
  <si>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</si>
  <si>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</si>
  <si>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</si>
  <si>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</si>
  <si>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</si>
  <si>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</si>
  <si>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</si>
  <si>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</si>
  <si>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</si>
  <si>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</si>
  <si>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</si>
  <si>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</si>
  <si>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</si>
  <si>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</si>
  <si>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</si>
  <si>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</si>
  <si>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</si>
  <si>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</si>
  <si>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</si>
  <si>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</si>
  <si>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</si>
  <si>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</si>
  <si>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</si>
  <si>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</si>
  <si>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</si>
  <si>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</si>
  <si>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</si>
  <si>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</si>
  <si>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</si>
  <si>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</si>
  <si>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</si>
  <si>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</si>
  <si>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</si>
  <si>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</si>
  <si>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</si>
  <si>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</si>
  <si>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</si>
  <si>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</si>
  <si>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</si>
  <si>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</si>
  <si>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</si>
  <si>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</si>
  <si>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</si>
  <si>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</si>
  <si>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</si>
  <si>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</si>
  <si>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</si>
  <si>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</si>
  <si>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</si>
  <si>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</si>
  <si>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</si>
  <si>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</si>
  <si>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</si>
  <si>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</si>
  <si>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</si>
  <si>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</si>
  <si>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</si>
  <si>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</si>
  <si>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</si>
  <si>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</si>
  <si>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</si>
  <si>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</si>
  <si>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</si>
  <si>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</si>
  <si>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</si>
  <si>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</si>
  <si>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</si>
  <si>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</si>
  <si>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</si>
  <si>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</si>
  <si>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</si>
  <si>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</si>
  <si>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</si>
  <si>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</si>
  <si>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</si>
  <si>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</si>
  <si>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</si>
  <si>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</si>
  <si>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</si>
  <si>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</si>
  <si>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</si>
  <si>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</si>
  <si>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</si>
  <si>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</si>
  <si>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</si>
  <si>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</si>
  <si>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</si>
  <si>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</si>
  <si>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</si>
  <si>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</si>
  <si>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</si>
  <si>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</si>
  <si>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</si>
  <si>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</si>
  <si>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</si>
  <si>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</si>
  <si>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</si>
  <si>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</si>
  <si>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</si>
  <si>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</si>
  <si>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</si>
  <si>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</si>
  <si>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</si>
  <si>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</si>
  <si>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</si>
  <si>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</si>
  <si>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</si>
  <si>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</si>
  <si>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</si>
  <si>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</si>
  <si>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</si>
  <si>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</si>
  <si>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</si>
  <si>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</si>
  <si>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</si>
  <si>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</si>
  <si>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</si>
  <si>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</si>
  <si>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</si>
  <si>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</si>
  <si>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</si>
  <si>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</si>
  <si>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</si>
  <si>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</si>
  <si>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</si>
  <si>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</si>
  <si>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</si>
  <si>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</si>
  <si>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</si>
  <si>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</si>
  <si>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</si>
  <si>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</si>
  <si>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</si>
  <si>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</si>
  <si>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</si>
  <si>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</si>
  <si>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</si>
  <si>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</si>
  <si>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</si>
  <si>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</si>
  <si>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</si>
  <si>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</si>
  <si>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</si>
  <si>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</si>
  <si>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</si>
  <si>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</si>
  <si>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</si>
  <si>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</si>
  <si>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</si>
  <si>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</si>
  <si>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</si>
  <si>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</si>
  <si>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</si>
  <si>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</si>
  <si>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</si>
  <si>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</si>
  <si>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</si>
  <si>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</si>
  <si>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</si>
  <si>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</si>
  <si>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</si>
  <si>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</si>
  <si>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</si>
  <si>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</si>
  <si>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</si>
  <si>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</si>
  <si>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</si>
  <si>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</si>
  <si>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</si>
  <si>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</si>
  <si>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</si>
  <si>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</si>
  <si>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</si>
  <si>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</si>
  <si>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</si>
  <si>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</si>
  <si>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</si>
  <si>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</si>
  <si>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</si>
  <si>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</si>
  <si>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</si>
  <si>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</si>
  <si>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</si>
  <si>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</si>
  <si>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</si>
  <si>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</si>
  <si>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</si>
  <si>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</si>
  <si>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</si>
  <si>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</si>
  <si>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</si>
  <si>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</si>
  <si>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</si>
  <si>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</si>
  <si>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</si>
  <si>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</si>
  <si>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</si>
  <si>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</si>
  <si>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</si>
  <si>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</si>
  <si>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</si>
  <si>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</si>
  <si>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</si>
  <si>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</si>
  <si>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</si>
  <si>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</si>
  <si>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</si>
  <si>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</si>
  <si>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</si>
  <si>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</si>
  <si>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</si>
  <si>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</si>
  <si>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</si>
  <si>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</si>
  <si>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</si>
  <si>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</si>
  <si>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</si>
  <si>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</si>
  <si>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</si>
  <si>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</si>
  <si>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</si>
  <si>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</si>
  <si>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</si>
  <si>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</si>
  <si>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</si>
  <si>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</si>
  <si>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</si>
  <si>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</si>
  <si>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</si>
  <si>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</si>
  <si>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</si>
  <si>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</si>
  <si>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</si>
  <si>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</si>
  <si>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</si>
  <si>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</si>
  <si>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</si>
  <si>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</si>
  <si>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</si>
  <si>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</si>
  <si>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</si>
  <si>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</si>
  <si>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</si>
  <si>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</si>
  <si>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</si>
  <si>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</si>
  <si>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</si>
  <si>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</si>
  <si>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</si>
  <si>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</si>
  <si>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</si>
  <si>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</si>
  <si>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</si>
  <si>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</si>
  <si>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</si>
  <si>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</si>
  <si>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</si>
  <si>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</si>
  <si>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</si>
  <si>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</si>
  <si>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</si>
  <si>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</si>
  <si>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</si>
  <si>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</si>
  <si>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</si>
  <si>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</si>
  <si>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</si>
  <si>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</si>
  <si>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</si>
  <si>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</si>
  <si>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</si>
  <si>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</si>
  <si>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</si>
  <si>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</si>
  <si>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</si>
  <si>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</si>
  <si>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</si>
  <si>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</si>
  <si>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</si>
  <si>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</si>
  <si>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</si>
  <si>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</si>
  <si>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</si>
  <si>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</si>
  <si>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</si>
  <si>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</si>
  <si>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</si>
  <si>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</si>
  <si>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</si>
  <si>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</si>
  <si>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</si>
  <si>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</si>
  <si>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</si>
  <si>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</si>
  <si>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</si>
  <si>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</si>
  <si>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</si>
  <si>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</si>
  <si>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</si>
  <si>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</si>
  <si>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</si>
  <si>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</si>
  <si>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</si>
  <si>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</si>
  <si>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</si>
  <si>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</si>
  <si>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</si>
  <si>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</si>
  <si>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</si>
  <si>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</si>
  <si>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</si>
  <si>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</si>
  <si>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</si>
  <si>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</si>
  <si>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</si>
  <si>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</si>
  <si>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</si>
  <si>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</si>
  <si>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</si>
  <si>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</si>
  <si>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</si>
  <si>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</si>
  <si>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</si>
  <si>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</si>
  <si>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</si>
  <si>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</si>
  <si>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</si>
  <si>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</si>
  <si>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</si>
  <si>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</si>
  <si>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</si>
  <si>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</si>
  <si>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</si>
  <si>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</si>
  <si>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</si>
  <si>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</si>
  <si>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</si>
  <si>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</si>
  <si>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</si>
  <si>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</si>
  <si>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</si>
  <si>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</si>
  <si>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</si>
  <si>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</si>
  <si>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</si>
  <si>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</si>
  <si>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</si>
  <si>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</si>
  <si>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</si>
  <si>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</si>
  <si>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</si>
  <si>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</si>
  <si>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</si>
  <si>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</si>
  <si>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</si>
  <si>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</si>
  <si>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</si>
  <si>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</si>
  <si>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</si>
  <si>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</si>
  <si>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</si>
  <si>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</si>
  <si>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</si>
  <si>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</si>
  <si>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</si>
  <si>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</si>
  <si>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</si>
  <si>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</si>
  <si>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</si>
  <si>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</si>
  <si>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</si>
  <si>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</si>
  <si>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</si>
  <si>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</si>
  <si>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</si>
  <si>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</si>
  <si>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</si>
  <si>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</si>
  <si>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</si>
  <si>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</si>
  <si>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</si>
  <si>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</si>
  <si>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</si>
  <si>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</si>
  <si>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</si>
  <si>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</si>
  <si>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</si>
  <si>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</si>
  <si>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</si>
  <si>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</si>
  <si>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</si>
  <si>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</si>
  <si>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</si>
  <si>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</si>
  <si>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</si>
  <si>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</si>
  <si>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</si>
  <si>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</si>
  <si>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</si>
  <si>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</si>
  <si>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</si>
  <si>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</si>
  <si>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</si>
  <si>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</si>
  <si>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</si>
  <si>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</si>
  <si>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</si>
  <si>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</si>
  <si>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</si>
  <si>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</si>
  <si>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</si>
  <si>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</si>
  <si>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</si>
  <si>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</si>
  <si>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</si>
  <si>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</si>
  <si>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</si>
  <si>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</si>
  <si>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</si>
  <si>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</si>
  <si>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</si>
  <si>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</si>
  <si>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</si>
  <si>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</si>
  <si>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</si>
  <si>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</si>
  <si>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</si>
  <si>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</si>
  <si>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</si>
  <si>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</si>
  <si>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</si>
  <si>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</si>
  <si>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</si>
  <si>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</si>
  <si>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https://www.chipdip.ru/product/adr02bujz-reel7-analog-devices-8001656524</t>
  </si>
  <si>
    <t>Vouka05</t>
  </si>
  <si>
    <t>https://www.chipdip.ru/product/ads1220ipwr-24-bit-sigma-delta-texas-instruments-9000527504</t>
  </si>
  <si>
    <t>Vouka06</t>
  </si>
  <si>
    <t>https://www.chipdip.ru/product/max3051eka-t-can-transiver-1mbps-3.3v-sot-23-8-maxim-9000980588</t>
  </si>
  <si>
    <t>AP63203WU-7</t>
  </si>
  <si>
    <t>DC-DC Преобразователь</t>
  </si>
  <si>
    <t>ADR02BUJZ</t>
  </si>
  <si>
    <t>Источник опорного напряжения, 5В</t>
  </si>
  <si>
    <t>ADS1220IPWR</t>
  </si>
  <si>
    <t>24-Бит Sigma-Delta аналого-цифровой преобразователь</t>
  </si>
  <si>
    <t>Picoblade_532610371</t>
  </si>
  <si>
    <t>Picoblade 3-pin разъем</t>
  </si>
  <si>
    <t>Conn_3pin_2shield</t>
  </si>
  <si>
    <t>CONN_532610001-SD_03_MOL</t>
  </si>
  <si>
    <t>https://www.chipdip.ru/product/53398-0667-pin-header-signal-wire-to-board-1.25-mm-1-molex-8013238168?from=similar_product_calc</t>
  </si>
  <si>
    <t>PicoBlade_53398-0471</t>
  </si>
  <si>
    <t>Разъем PicoBlade 1.25 мм, 4pin</t>
  </si>
  <si>
    <t>Conn_4pin_2shield</t>
  </si>
  <si>
    <t>53398-0471</t>
  </si>
  <si>
    <t>https://www.chipdip.ru/product/53398-0471-razem-picoblade-1.25-mm-4pin-shtyrevoy-na-molex-9000180711</t>
  </si>
  <si>
    <t>Столбец1</t>
  </si>
  <si>
    <t>Столбец2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</si>
</sst>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13" fillId="0" borderId="0" xfId="0" applyFont="1"/>
    <xf numFmtId="0" fontId="0" fillId="0" borderId="0" xfId="0" applyAlignment="1">
      <alignment horizontal="left" vertical="top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3" tableType="xml" totalsRowShown="0" headerRowDxfId="146" connectionId="6">
  <autoFilter ref="A1:M73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1" connectionId="19">
  <autoFilter ref="A1:M15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N71" tableType="xml" totalsRowShown="0" headerRowDxfId="3" connectionId="7">
  <autoFilter ref="A1:N71" xr:uid="{1A41BD32-B698-4872-A86C-4CAC56B9AD83}"/>
  <tableColumns count="14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  <tableColumn id="13" xr3:uid="{24AD4F99-B35A-4243-A80F-480FEDF99238}" uniqueName="13" name="Столбец1"/>
    <tableColumn id="14" xr3:uid="{B2C0751C-B905-4DAF-AEB8-9116B5A08DB5}" uniqueName="14" name="Столбец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3"/>
  <sheetViews>
    <sheetView topLeftCell="H47" zoomScale="85" zoomScaleNormal="85" workbookViewId="0">
      <selection activeCell="F77" sqref="F77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3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3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3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3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3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3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3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3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3">
      <c r="A70" t="s">
        <v>1744</v>
      </c>
      <c r="B70" t="s">
        <v>1745</v>
      </c>
      <c r="C70" s="2" t="str">
        <f>A70</f>
        <v>URB2405YMD-15WR3</v>
      </c>
      <c r="D70" t="str">
        <f>CONCATENATE("Schematic\",A70,".SchLib")</f>
        <v>Schematic\URB2405YMD-15WR3.SchLib</v>
      </c>
      <c r="E70" t="s">
        <v>1744</v>
      </c>
      <c r="F70" t="str">
        <f>CONCATENATE("Footprints\",G70,".PcbLib")</f>
        <v>Footprints\URB2405YMD-15WR3.PcbLib</v>
      </c>
      <c r="G70" t="s">
        <v>1744</v>
      </c>
      <c r="L70" t="s">
        <v>1746</v>
      </c>
      <c r="M70" t="s">
        <v>1694</v>
      </c>
    </row>
    <row r="71" spans="1:13" x14ac:dyDescent="0.3">
      <c r="A71" t="s">
        <v>1754</v>
      </c>
      <c r="B71" t="s">
        <v>1755</v>
      </c>
      <c r="C71" s="2" t="str">
        <f>A71</f>
        <v>ADR02BUJZ</v>
      </c>
      <c r="D71" t="str">
        <f>CONCATENATE("Schematic\",A71,".SchLib")</f>
        <v>Schematic\ADR02BUJZ.SchLib</v>
      </c>
      <c r="E71" t="str">
        <f>A71</f>
        <v>ADR02BUJZ</v>
      </c>
      <c r="F71" t="str">
        <f t="shared" ref="F71:F73" si="32">CONCATENATE("Footprints\",G71,".PcbLib")</f>
        <v>Footprints\SOT23-5.PcbLib</v>
      </c>
      <c r="G71" s="56" t="s">
        <v>1376</v>
      </c>
      <c r="L71" s="38" t="s">
        <v>1747</v>
      </c>
      <c r="M71" t="s">
        <v>1748</v>
      </c>
    </row>
    <row r="72" spans="1:13" x14ac:dyDescent="0.3">
      <c r="A72" t="s">
        <v>1756</v>
      </c>
      <c r="B72" s="59" t="s">
        <v>1757</v>
      </c>
      <c r="C72" s="2" t="str">
        <f>A72</f>
        <v>ADS1220IPWR</v>
      </c>
      <c r="D72" t="str">
        <f>CONCATENATE("Schematic\",A72,".SchLib")</f>
        <v>Schematic\ADS1220IPWR.SchLib</v>
      </c>
      <c r="E72" t="str">
        <f>A72</f>
        <v>ADS1220IPWR</v>
      </c>
      <c r="F72" t="str">
        <f t="shared" si="32"/>
        <v>Footprints\TSSOP-16.PcbLib</v>
      </c>
      <c r="G72" t="s">
        <v>722</v>
      </c>
      <c r="L72" s="38" t="s">
        <v>1749</v>
      </c>
      <c r="M72" t="s">
        <v>1750</v>
      </c>
    </row>
    <row r="73" spans="1:13" x14ac:dyDescent="0.3">
      <c r="A73" t="s">
        <v>1752</v>
      </c>
      <c r="B73" t="s">
        <v>1753</v>
      </c>
      <c r="C73" s="2">
        <f>A74</f>
        <v>0</v>
      </c>
      <c r="D73" t="str">
        <f>CONCATENATE("Schematic\",A74,".SchLib")</f>
        <v>Schematic\.SchLib</v>
      </c>
      <c r="E73" t="s">
        <v>1752</v>
      </c>
      <c r="F73" t="str">
        <f>CONCATENATE("Footprints\",G73,".PcbLib")</f>
        <v>Footprints\SOT23-8.PcbLib</v>
      </c>
      <c r="G73" t="s">
        <v>1697</v>
      </c>
      <c r="L73" s="38" t="s">
        <v>1751</v>
      </c>
      <c r="M73" t="s">
        <v>1750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" customHeight="1" x14ac:dyDescent="0.3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3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3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6" x14ac:dyDescent="0.3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6" x14ac:dyDescent="0.3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6" x14ac:dyDescent="0.3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6" x14ac:dyDescent="0.3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6" x14ac:dyDescent="0.3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6" x14ac:dyDescent="0.3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6" x14ac:dyDescent="0.3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6" x14ac:dyDescent="0.3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6" x14ac:dyDescent="0.3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6" x14ac:dyDescent="0.3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6" x14ac:dyDescent="0.3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6" x14ac:dyDescent="0.3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6" x14ac:dyDescent="0.3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6" x14ac:dyDescent="0.3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6" x14ac:dyDescent="0.3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6" x14ac:dyDescent="0.3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6" x14ac:dyDescent="0.3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6" x14ac:dyDescent="0.3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6" x14ac:dyDescent="0.3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6" x14ac:dyDescent="0.3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6" x14ac:dyDescent="0.3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6" x14ac:dyDescent="0.3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6" x14ac:dyDescent="0.3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6" x14ac:dyDescent="0.3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3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3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3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3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3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3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3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3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3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3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3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3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6" x14ac:dyDescent="0.3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  <col min="15" max="15" width="11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3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3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3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3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3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3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3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3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3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3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3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3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3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3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3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3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3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3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3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3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N71"/>
  <sheetViews>
    <sheetView tabSelected="1" topLeftCell="H21" zoomScale="46" zoomScaleNormal="46" workbookViewId="0">
      <selection activeCell="T72" sqref="T72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4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  <c r="M1" s="1" t="s">
        <v>1768</v>
      </c>
      <c r="N1" s="1" t="s">
        <v>1769</v>
      </c>
    </row>
    <row r="2" spans="1:14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4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4" x14ac:dyDescent="0.3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4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4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4" x14ac:dyDescent="0.3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4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4" x14ac:dyDescent="0.3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4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4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4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4" x14ac:dyDescent="0.3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4" x14ac:dyDescent="0.3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4" x14ac:dyDescent="0.3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4" x14ac:dyDescent="0.3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4" x14ac:dyDescent="0.3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4" x14ac:dyDescent="0.3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4" x14ac:dyDescent="0.3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4" x14ac:dyDescent="0.3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4" x14ac:dyDescent="0.3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4" x14ac:dyDescent="0.3">
      <c r="C70" s="60" t="s">
        <v>1758</v>
      </c>
      <c r="D70" t="s">
        <v>1759</v>
      </c>
      <c r="E70" s="2" t="str">
        <f>C70</f>
        <v>Picoblade_532610371</v>
      </c>
      <c r="F70" t="str">
        <f>CONCATENATE("Schematic\Connectors\",C70,".SchLib")</f>
        <v>Schematic\Connectors\Picoblade_532610371.SchLib</v>
      </c>
      <c r="G70" s="60" t="s">
        <v>1760</v>
      </c>
      <c r="H70" t="str">
        <f>CONCATENATE("Footprints\Connectors\",I70,".PcbLib")</f>
        <v>Footprints\Connectors\CONN_532610001-SD_03_MOL.PcbLib</v>
      </c>
      <c r="I70" t="s">
        <v>1761</v>
      </c>
      <c r="L70" t="s">
        <v>1762</v>
      </c>
      <c r="M70" s="40" t="s">
        <v>978</v>
      </c>
      <c r="N70" t="s">
        <v>1750</v>
      </c>
    </row>
    <row r="71" spans="1:14" x14ac:dyDescent="0.3">
      <c r="C71" t="s">
        <v>1763</v>
      </c>
      <c r="D71" t="s">
        <v>1764</v>
      </c>
      <c r="E71" t="s">
        <v>1763</v>
      </c>
      <c r="F71" t="str">
        <f>CONCATENATE("Schematic\Connectors\", C71, ".SchLib")</f>
        <v>Schematic\Connectors\PicoBlade_53398-0471.SchLib</v>
      </c>
      <c r="G71" t="s">
        <v>1765</v>
      </c>
      <c r="H71" t="str">
        <f>CONCATENATE("Footprints\Connectors\",I71,".PcbLib")</f>
        <v>Footprints\Connectors\53398-0471.PcbLib</v>
      </c>
      <c r="I71" t="s">
        <v>1766</v>
      </c>
      <c r="L71" s="38" t="s">
        <v>1767</v>
      </c>
      <c r="M71" s="40" t="s">
        <v>978</v>
      </c>
      <c r="N71" t="s">
        <v>1750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2026-10-24T19:59:00Z</dcterms:modified>
</cp:coreProperties>
</file>