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ЭтаКнига"/>
  <xr:revisionPtr revIDLastSave="0" documentId="13_ncr:1_{FA6DE941-A466-4F2B-B0D6-7B83575E5FD2}" xr6:coauthVersionLast="47" xr6:coauthVersionMax="47" xr10:uidLastSave="{00000000-0000-0000-0000-000000000000}"/>
  <bookViews>
    <workbookView xWindow="11424" yWindow="0" windowWidth="11712" windowHeight="12336" tabRatio="896" firstSheet="1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6" l="1"/>
  <c r="E71" i="6"/>
  <c r="D71" i="6"/>
  <c r="F70" i="6"/>
  <c r="E70" i="6"/>
  <c r="D70" i="6"/>
  <c r="C70" i="6"/>
  <c r="F72" i="1"/>
  <c r="E72" i="1"/>
  <c r="D72" i="1"/>
  <c r="C72" i="1"/>
  <c r="F71" i="1"/>
  <c r="E71" i="1"/>
  <c r="D71" i="1"/>
  <c r="C71" i="1"/>
  <c r="F70" i="1"/>
  <c r="E70" i="1"/>
  <c r="D70" i="1"/>
  <c r="C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<sst xmlns="http://schemas.openxmlformats.org/spreadsheetml/2006/main" count="4233" uniqueCount="1767">
  <si>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</si>
  <si>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</si>
  <si>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</si>
  <si>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</si>
  <si>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</si>
  <si>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</si>
  <si>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</si>
  <si>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</si>
  <si>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</si>
  <si>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</si>
  <si>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</si>
  <si>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</si>
  <si>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</si>
  <si>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</si>
  <si>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</si>
  <si>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</si>
  <si>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</si>
  <si>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</si>
  <si>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</si>
  <si>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</si>
  <si>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</si>
  <si>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</si>
  <si>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</si>
  <si>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</si>
  <si>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</si>
  <si>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</si>
  <si>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</si>
  <si>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</si>
  <si>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</si>
  <si>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</si>
  <si>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</si>
  <si>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</si>
  <si>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</si>
  <si>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</si>
  <si>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</si>
  <si>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</si>
  <si>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</si>
  <si>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</si>
  <si>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</si>
  <si>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</si>
  <si>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</si>
  <si>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</si>
  <si>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</si>
  <si>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</si>
  <si>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</si>
  <si>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</si>
  <si>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</si>
  <si>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</si>
  <si>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</si>
  <si>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</si>
  <si>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</si>
  <si>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</si>
  <si>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</si>
  <si>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</si>
  <si>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</si>
  <si>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</si>
  <si>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</si>
  <si>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</si>
  <si>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</si>
  <si>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</si>
  <si>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</si>
  <si>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</si>
  <si>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</si>
  <si>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</si>
  <si>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</si>
  <si>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</si>
  <si>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</si>
  <si>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</si>
  <si>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</si>
  <si>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</si>
  <si>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</si>
  <si>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</si>
  <si>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</si>
  <si>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</si>
  <si>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</si>
  <si>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</si>
  <si>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</si>
  <si>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</si>
  <si>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</si>
  <si>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</si>
  <si>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</si>
  <si>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</si>
  <si>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</si>
  <si>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</si>
  <si>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</si>
  <si>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</si>
  <si>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</si>
  <si>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</si>
  <si>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</si>
  <si>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</si>
  <si>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</si>
  <si>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</si>
  <si>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</si>
  <si>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</si>
  <si>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</si>
  <si>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</si>
  <si>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</si>
  <si>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</si>
  <si>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</si>
  <si>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</si>
  <si>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</si>
  <si>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</si>
  <si>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</si>
  <si>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</si>
  <si>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</si>
  <si>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</si>
  <si>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</si>
  <si>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</si>
  <si>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</si>
  <si>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</si>
  <si>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</si>
  <si>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</si>
  <si>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</si>
  <si>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</si>
  <si>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</si>
  <si>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</si>
  <si>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</si>
  <si>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</si>
  <si>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</si>
  <si>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</si>
  <si>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</si>
  <si>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</si>
  <si>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</si>
  <si>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</si>
  <si>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</si>
  <si>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</si>
  <si>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</si>
  <si>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</si>
  <si>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</si>
  <si>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</si>
  <si>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</si>
  <si>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</si>
  <si>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</si>
  <si>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</si>
  <si>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</si>
  <si>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</si>
  <si>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</si>
  <si>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</si>
  <si>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</si>
  <si>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</si>
  <si>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</si>
  <si>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</si>
  <si>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</si>
  <si>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</si>
  <si>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</si>
  <si>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</si>
  <si>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</si>
  <si>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</si>
  <si>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</si>
  <si>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</si>
  <si>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</si>
  <si>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</si>
  <si>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</si>
  <si>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</si>
  <si>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</si>
  <si>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</si>
  <si>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</si>
  <si>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</si>
  <si>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</si>
  <si>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</si>
  <si>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</si>
  <si>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</si>
  <si>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</si>
  <si>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</si>
  <si>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</si>
  <si>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</si>
  <si>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</si>
  <si>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</si>
  <si>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</si>
  <si>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</si>
  <si>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</si>
  <si>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</si>
  <si>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</si>
  <si>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</si>
  <si>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</si>
  <si>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</si>
  <si>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</si>
  <si>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</si>
  <si>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</si>
  <si>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</si>
  <si>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</si>
  <si>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</si>
  <si>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</si>
  <si>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</si>
  <si>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</si>
  <si>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</si>
  <si>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</si>
  <si>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</si>
  <si>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</si>
  <si>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</si>
  <si>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</si>
  <si>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</si>
  <si>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</si>
  <si>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</si>
  <si>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</si>
  <si>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</si>
  <si>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</si>
  <si>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</si>
  <si>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</si>
  <si>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</si>
  <si>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</si>
  <si>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</si>
  <si>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</si>
  <si>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</si>
  <si>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</si>
  <si>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</si>
  <si>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</si>
  <si>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</si>
  <si>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</si>
  <si>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</si>
  <si>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</si>
  <si>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</si>
  <si>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</si>
  <si>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</si>
  <si>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</si>
  <si>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</si>
  <si>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</si>
  <si>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</si>
  <si>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</si>
  <si>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</si>
  <si>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</si>
  <si>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</si>
  <si>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</si>
  <si>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</si>
  <si>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</si>
  <si>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</si>
  <si>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</si>
  <si>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</si>
  <si>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</si>
  <si>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</si>
  <si>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</si>
  <si>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</si>
  <si>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</si>
  <si>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</si>
  <si>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</si>
  <si>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</si>
  <si>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</si>
  <si>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</si>
  <si>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</si>
  <si>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</si>
  <si>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</si>
  <si>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</si>
  <si>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</si>
  <si>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</si>
  <si>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</si>
  <si>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</si>
  <si>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</si>
  <si>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</si>
  <si>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</si>
  <si>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</si>
  <si>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</si>
  <si>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</si>
  <si>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</si>
  <si>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</si>
  <si>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</si>
  <si>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</si>
  <si>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</si>
  <si>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</si>
  <si>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</si>
  <si>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</si>
  <si>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</si>
  <si>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</si>
  <si>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</si>
  <si>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</si>
  <si>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</si>
  <si>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</si>
  <si>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</si>
  <si>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</si>
  <si>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</si>
  <si>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</si>
  <si>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</si>
  <si>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</si>
  <si>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</si>
  <si>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</si>
  <si>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</si>
  <si>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</si>
  <si>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</si>
  <si>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</si>
  <si>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</si>
  <si>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</si>
  <si>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</si>
  <si>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</si>
  <si>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</si>
  <si>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</si>
  <si>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</si>
  <si>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</si>
  <si>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</si>
  <si>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</si>
  <si>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</si>
  <si>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</si>
  <si>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</si>
  <si>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</si>
  <si>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</si>
  <si>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</si>
  <si>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</si>
  <si>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</si>
  <si>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</si>
  <si>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</si>
  <si>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</si>
  <si>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</si>
  <si>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</si>
  <si>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</si>
  <si>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</si>
  <si>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</si>
  <si>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</si>
  <si>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</si>
  <si>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</si>
  <si>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</si>
  <si>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</si>
  <si>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</si>
  <si>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</si>
  <si>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</si>
  <si>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</si>
  <si>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</si>
  <si>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</si>
  <si>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</si>
  <si>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</si>
  <si>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</si>
  <si>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</si>
  <si>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</si>
  <si>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</si>
  <si>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</si>
  <si>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</si>
  <si>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</si>
  <si>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</si>
  <si>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</si>
  <si>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</si>
  <si>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</si>
  <si>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</si>
  <si>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</si>
  <si>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</si>
  <si>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</si>
  <si>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</si>
  <si>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</si>
  <si>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</si>
  <si>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</si>
  <si>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</si>
  <si>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</si>
  <si>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</si>
  <si>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</si>
  <si>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</si>
  <si>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</si>
  <si>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</si>
  <si>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</si>
  <si>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</si>
  <si>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</si>
  <si>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</si>
  <si>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</si>
  <si>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</si>
  <si>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</si>
  <si>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</si>
  <si>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</si>
  <si>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</si>
  <si>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</si>
  <si>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</si>
  <si>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</si>
  <si>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</si>
  <si>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</si>
  <si>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</si>
  <si>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</si>
  <si>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</si>
  <si>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</si>
  <si>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</si>
  <si>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</si>
  <si>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</si>
  <si>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</si>
  <si>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</si>
  <si>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</si>
  <si>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</si>
  <si>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</si>
  <si>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</si>
  <si>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</si>
  <si>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</si>
  <si>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</si>
  <si>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</si>
  <si>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</si>
  <si>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</si>
  <si>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</si>
  <si>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</si>
  <si>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</si>
  <si>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</si>
  <si>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</si>
  <si>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</si>
  <si>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</si>
  <si>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</si>
  <si>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</si>
  <si>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</si>
  <si>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</si>
  <si>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</si>
  <si>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</si>
  <si>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</si>
  <si>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</si>
  <si>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</si>
  <si>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</si>
  <si>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</si>
  <si>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</si>
  <si>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</si>
  <si>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</si>
  <si>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</si>
  <si>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</si>
  <si>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</si>
  <si>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</si>
  <si>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</si>
  <si>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</si>
  <si>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</si>
  <si>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</si>
  <si>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</si>
  <si>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</si>
  <si>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</si>
  <si>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</si>
  <si>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</si>
  <si>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</si>
  <si>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</si>
  <si>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</si>
  <si>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</si>
  <si>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</si>
  <si>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</si>
  <si>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</si>
  <si>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</si>
  <si>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</si>
  <si>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</si>
  <si>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</si>
  <si>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</si>
  <si>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</si>
  <si>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</si>
  <si>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</si>
  <si>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</si>
  <si>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</si>
  <si>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</si>
  <si>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</si>
  <si>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</si>
  <si>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</si>
  <si>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</si>
  <si>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</si>
  <si>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</si>
  <si>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</si>
  <si>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</si>
  <si>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</si>
  <si>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</si>
  <si>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</si>
  <si>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</si>
  <si>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</si>
  <si>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</si>
  <si>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</si>
  <si>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</si>
  <si>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</si>
  <si>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</si>
  <si>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</si>
  <si>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</si>
  <si>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</si>
  <si>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</si>
  <si>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</si>
  <si>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</si>
  <si>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</si>
  <si>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</si>
  <si>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</si>
  <si>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</si>
  <si>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</si>
  <si>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</si>
  <si>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</si>
  <si>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</si>
  <si>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</si>
  <si>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</si>
  <si>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</si>
  <si>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</si>
  <si>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</si>
  <si>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</si>
  <si>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</si>
  <si>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</si>
  <si>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</si>
  <si>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</si>
  <si>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</si>
  <si>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</si>
  <si>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</si>
  <si>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</si>
  <si>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</si>
  <si>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</si>
  <si>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</si>
  <si>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</si>
  <si>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</si>
  <si>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</si>
  <si>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</si>
  <si>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</si>
  <si>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</si>
  <si>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</si>
  <si>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</si>
  <si>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</si>
  <si>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</si>
  <si>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</si>
  <si>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</si>
  <si>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</si>
  <si>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</si>
  <si>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</si>
  <si>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</si>
  <si>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</si>
  <si>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</si>
  <si>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</si>
  <si>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</si>
  <si>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</si>
  <si>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</si>
  <si>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</si>
  <si>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</si>
  <si>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</si>
  <si>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</si>
  <si>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</si>
  <si>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</si>
  <si>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</si>
  <si>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</si>
  <si>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</si>
  <si>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</si>
  <si>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</si>
  <si>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</si>
  <si>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</si>
  <si>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</si>
  <si>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</si>
  <si>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</si>
  <si>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</si>
  <si>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</si>
  <si>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</si>
  <si>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</si>
  <si>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</si>
  <si>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</si>
  <si>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</si>
  <si>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</si>
  <si>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</si>
  <si>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</si>
  <si>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</si>
  <si>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</si>
  <si>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</si>
  <si>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</si>
  <si>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</si>
  <si>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</si>
  <si>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</si>
  <si>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</si>
  <si>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</si>
  <si>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</si>
  <si>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</si>
  <si>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</si>
  <si>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</si>
  <si>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</si>
  <si>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</si>
  <si>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</si>
  <si>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</si>
  <si>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</si>
  <si>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</si>
  <si>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</si>
  <si>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</si>
  <si>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</si>
  <si>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</si>
  <si>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</si>
  <si>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</si>
  <si>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</si>
  <si>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</si>
  <si>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</si>
  <si>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</si>
  <si>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</si>
  <si>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</si>
  <si>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</si>
  <si>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</si>
  <si>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</si>
  <si>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</si>
  <si>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</si>
  <si>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</si>
  <si>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</si>
  <si>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</si>
  <si>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</si>
  <si>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</si>
  <si>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</si>
  <si>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</si>
  <si>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</si>
  <si>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</si>
  <si>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</si>
  <si>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</si>
  <si>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</si>
  <si>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</si>
  <si>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</si>
  <si>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</si>
  <si>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</si>
  <si>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</si>
  <si>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</si>
  <si>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</si>
  <si>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</si>
  <si>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</si>
  <si>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</si>
  <si>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</si>
  <si>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</si>
  <si>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</si>
  <si>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</si>
  <si>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</si>
  <si>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</si>
  <si>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</si>
  <si>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</si>
  <si>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</si>
  <si>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</si>
  <si>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</si>
  <si>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</si>
  <si>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</si>
  <si>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</si>
  <si>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</si>
  <si>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</si>
  <si>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</si>
  <si>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</si>
  <si>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</si>
  <si>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</si>
  <si>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</si>
  <si>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</si>
  <si>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</si>
  <si>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</si>
  <si>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</si>
  <si>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</si>
  <si>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</si>
  <si>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</si>
  <si>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</si>
  <si>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</si>
  <si>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</si>
  <si>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</si>
  <si>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</si>
  <si>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</si>
  <si>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</si>
  <si>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</si>
  <si>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</si>
  <si>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</si>
  <si>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</si>
  <si>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</si>
  <si>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</si>
  <si>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</si>
  <si>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</si>
  <si>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</si>
  <si>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</si>
  <si>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</si>
  <si>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</si>
  <si>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</si>
  <si>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</si>
  <si>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</si>
  <si>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</si>
  <si>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</si>
  <si>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</si>
  <si>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</si>
  <si>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</si>
  <si>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</si>
  <si>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</si>
  <si>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</si>
  <si>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</si>
  <si>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</si>
  <si>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</si>
  <si>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</si>
  <si>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</si>
  <si>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</si>
  <si>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</si>
  <si>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</si>
  <si>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</si>
  <si>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</si>
  <si>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</si>
  <si>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</si>
  <si>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</si>
  <si>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</si>
  <si>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</si>
  <si>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</si>
  <si>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</si>
  <si>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</si>
  <si>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</si>
  <si>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</si>
  <si>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</si>
  <si>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</si>
  <si>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</si>
  <si>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</si>
  <si>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</si>
  <si>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</si>
  <si>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</si>
  <si>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</si>
  <si>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</si>
  <si>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</si>
  <si>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</si>
  <si>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</si>
  <si>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</si>
  <si>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</si>
  <si>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</si>
  <si>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</si>
  <si>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</si>
  <si>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</si>
  <si>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</si>
  <si>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</si>
  <si>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</si>
  <si>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</si>
  <si>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</si>
  <si>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</si>
  <si>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</si>
  <si>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</si>
  <si>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</si>
  <si>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</si>
  <si>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</si>
  <si>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</si>
  <si>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</si>
  <si>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</si>
  <si>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</si>
  <si>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</si>
  <si>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</si>
  <si>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</si>
  <si>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</si>
  <si>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</si>
  <si>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</si>
  <si>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</si>
  <si>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</si>
  <si>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</si>
  <si>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</si>
  <si>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</si>
  <si>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</si>
  <si>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</si>
  <si>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</si>
  <si>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</si>
  <si>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</si>
  <si>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</si>
  <si>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</si>
  <si>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</si>
  <si>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</si>
  <si>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</si>
  <si>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</si>
  <si>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</si>
  <si>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</si>
  <si>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</si>
  <si>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</si>
  <si>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</si>
  <si>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</si>
  <si>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</si>
  <si>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</si>
  <si>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</si>
  <si>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</si>
  <si>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</si>
  <si>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</si>
  <si>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</si>
  <si>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</si>
  <si>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</si>
  <si>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</si>
  <si>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</si>
  <si>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</si>
  <si>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</si>
  <si>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</si>
  <si>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</si>
  <si>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</si>
  <si>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</si>
  <si>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</si>
  <si>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</si>
  <si>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</si>
  <si>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</si>
  <si>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</si>
  <si>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</si>
  <si>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</si>
  <si>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</si>
  <si>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</si>
  <si>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</si>
  <si>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</si>
  <si>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</si>
  <si>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</si>
  <si>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</si>
  <si>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</si>
  <si>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</si>
  <si>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</si>
  <si>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</si>
  <si>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</si>
  <si>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</si>
  <si>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</si>
  <si>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</si>
  <si>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</si>
  <si>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</si>
  <si>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</si>
  <si>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</si>
  <si>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</si>
  <si>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</si>
  <si>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</si>
  <si>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</si>
  <si>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</si>
  <si>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</si>
  <si>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</si>
  <si>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</si>
  <si>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</si>
  <si>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</si>
  <si>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</si>
  <si>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</si>
  <si>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</si>
  <si>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</si>
  <si>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</si>
  <si>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</si>
  <si>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</si>
  <si>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</si>
  <si>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</si>
  <si>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</si>
  <si>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</si>
  <si>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</si>
  <si>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</si>
  <si>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</si>
  <si>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</si>
  <si>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</si>
  <si>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</si>
  <si>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</si>
  <si>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</si>
  <si>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</si>
  <si>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</si>
  <si>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</si>
  <si>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</si>
  <si>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</si>
  <si>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</si>
  <si>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</si>
  <si>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</si>
  <si>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</si>
  <si>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</si>
  <si>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</si>
  <si>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</si>
  <si>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</si>
  <si>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</si>
  <si>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</si>
  <si>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</si>
  <si>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</si>
  <si>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</si>
  <si>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</si>
  <si>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</si>
  <si>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</si>
  <si>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</si>
  <si>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</si>
  <si>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</si>
  <si>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</si>
  <si>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</si>
  <si>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</si>
  <si>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</si>
  <si>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</si>
  <si>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</si>
  <si>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</si>
  <si>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</si>
  <si>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</si>
  <si>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</si>
  <si>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</si>
  <si>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</si>
  <si>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</si>
  <si>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</si>
  <si>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</si>
  <si>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</si>
  <si>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</si>
  <si>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</si>
  <si>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</si>
  <si>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</si>
  <si>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</si>
  <si>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</si>
  <si>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</si>
  <si>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</si>
  <si>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</si>
  <si>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</si>
  <si>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</si>
  <si>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</si>
  <si>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</si>
  <si>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</si>
  <si>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</si>
  <si>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</si>
  <si>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</si>
  <si>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</si>
  <si>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</si>
  <si>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</si>
  <si>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</si>
  <si>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</si>
  <si>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</si>
  <si>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</si>
  <si>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</si>
  <si>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</si>
  <si>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</si>
  <si>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</si>
  <si>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</si>
  <si>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</si>
  <si>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</si>
  <si>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</si>
  <si>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</si>
  <si>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</si>
  <si>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</si>
  <si>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</si>
  <si>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</si>
  <si>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</si>
  <si>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</si>
  <si>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</si>
  <si>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</si>
  <si>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</si>
  <si>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</si>
  <si>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</si>
  <si>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</si>
  <si>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</si>
  <si>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</si>
  <si>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</si>
  <si>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</si>
  <si>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</si>
  <si>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</si>
  <si>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</si>
  <si>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</si>
  <si>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</si>
  <si>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</si>
  <si>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</si>
  <si>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</si>
  <si>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</si>
  <si>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</si>
  <si>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</si>
  <si>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</si>
  <si>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</si>
  <si>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</si>
  <si>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</si>
  <si>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</si>
  <si>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</si>
  <si>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</si>
  <si>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</si>
  <si>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</si>
  <si>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</si>
  <si>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</si>
  <si>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</si>
  <si>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</si>
  <si>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</si>
  <si>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</si>
  <si>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</si>
  <si>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</si>
  <si>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</si>
  <si>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</si>
  <si>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</si>
  <si>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</si>
  <si>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</si>
  <si>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</si>
  <si>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</si>
  <si>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</si>
  <si>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</si>
  <si>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</si>
  <si>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</si>
  <si>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</si>
  <si>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</si>
  <si>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</si>
  <si>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</si>
  <si>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</si>
  <si>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</si>
  <si>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</si>
  <si>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</si>
  <si>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</si>
  <si>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</si>
  <si>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</si>
  <si>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</si>
  <si>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</si>
  <si>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</si>
  <si>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</si>
  <si>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</si>
  <si>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</si>
  <si>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</si>
  <si>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</si>
  <si>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</si>
  <si>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</si>
  <si>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</si>
  <si>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</si>
  <si>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</si>
  <si>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</si>
  <si>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</si>
  <si>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</si>
  <si>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</si>
  <si>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</si>
  <si>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</si>
  <si>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</si>
  <si>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</si>
  <si>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</si>
  <si>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</si>
  <si>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</si>
  <si>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</si>
  <si>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</si>
  <si>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</si>
  <si>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</si>
  <si>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</si>
  <si>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</si>
  <si>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</si>
  <si>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</si>
  <si>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</si>
  <si>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</si>
  <si>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</si>
  <si>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</si>
  <si>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</si>
  <si>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</si>
  <si>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</si>
  <si>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</si>
  <si>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</si>
  <si>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</si>
  <si>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</si>
  <si>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</si>
  <si>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</si>
  <si>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</si>
  <si>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</si>
  <si>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</si>
  <si>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</si>
  <si>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</si>
  <si>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</si>
  <si>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</si>
  <si>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</si>
  <si>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</si>
  <si>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</si>
  <si>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</si>
  <si>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</si>
  <si>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</si>
  <si>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</si>
  <si>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</si>
  <si>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</si>
  <si>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</si>
  <si>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</si>
  <si>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</si>
  <si>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</si>
  <si>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</si>
  <si>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</si>
  <si>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</si>
  <si>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</si>
  <si>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</si>
  <si>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</si>
  <si>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</si>
  <si>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</si>
  <si>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</si>
  <si>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</si>
  <si>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</si>
  <si>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</si>
  <si>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</si>
  <si>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</si>
  <si>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</si>
  <si>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</si>
  <si>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</si>
  <si>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</si>
  <si>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</si>
  <si>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</si>
  <si>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</si>
  <si>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</si>
  <si>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</si>
  <si>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</si>
  <si>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</si>
  <si>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</si>
  <si>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</si>
  <si>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</si>
  <si>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</si>
  <si>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</si>
  <si>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</si>
  <si>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</si>
  <si>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</si>
  <si>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</si>
  <si>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</si>
  <si>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</si>
  <si>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</si>
  <si>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</si>
  <si>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</si>
  <si>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</si>
  <si>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</si>
  <si>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</si>
  <si>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</si>
  <si>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</si>
  <si>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</si>
  <si>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</si>
  <si>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</si>
  <si>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</si>
  <si>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</si>
  <si>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</si>
  <si>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</si>
  <si>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</si>
  <si>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</si>
  <si>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</si>
  <si>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</si>
  <si>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</si>
  <si>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</si>
  <si>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</si>
  <si>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</si>
  <si>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</si>
  <si>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</si>
  <si>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</si>
  <si>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</si>
  <si>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</si>
  <si>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</si>
  <si>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</si>
  <si>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</si>
  <si>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</si>
  <si>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</si>
  <si>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</si>
  <si>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</si>
  <si>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</si>
  <si>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</si>
  <si>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</si>
  <si>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</si>
  <si>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</si>
  <si>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</si>
  <si>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</si>
  <si>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</si>
  <si>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</si>
  <si>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</si>
  <si>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</si>
  <si>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</si>
  <si>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</si>
  <si>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</si>
  <si>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</si>
  <si>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</si>
  <si>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</si>
  <si>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</si>
  <si>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</si>
  <si>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</si>
  <si>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</si>
  <si>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</si>
  <si>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</si>
  <si>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</si>
  <si>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</si>
  <si>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</si>
  <si>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</si>
  <si>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</si>
  <si>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</si>
  <si>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</si>
  <si>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</si>
  <si>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</si>
  <si>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</si>
  <si>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</si>
  <si>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</si>
  <si>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</si>
  <si>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</si>
  <si>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</si>
  <si>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</si>
  <si>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</si>
  <si>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</si>
  <si>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</si>
  <si>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</si>
  <si>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</si>
  <si>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</si>
  <si>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</si>
  <si>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</si>
  <si>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</si>
  <si>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</si>
  <si>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</si>
  <si>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</si>
  <si>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</si>
  <si>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</si>
  <si>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</si>
  <si>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</si>
  <si>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</si>
  <si>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</si>
  <si>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</si>
  <si>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</si>
  <si>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</si>
  <si>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</si>
  <si>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</si>
  <si>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</si>
  <si>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</si>
  <si>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</si>
  <si>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</si>
  <si>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</si>
  <si>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</si>
  <si>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</si>
  <si>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</si>
  <si>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</si>
  <si>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</si>
  <si>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</si>
  <si>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</si>
  <si>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</si>
  <si>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</si>
  <si>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</si>
  <si>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</si>
  <si>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</si>
  <si>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</si>
  <si>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</si>
  <si>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</si>
  <si>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</si>
  <si>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</si>
  <si>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</si>
  <si>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</si>
  <si>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</si>
  <si>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</si>
  <si>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</si>
  <si>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</si>
  <si>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</si>
  <si>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</si>
  <si>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</si>
  <si>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</si>
  <si>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</si>
  <si>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</si>
  <si>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</si>
  <si>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</si>
  <si>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</si>
  <si>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</si>
  <si>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</si>
  <si>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</si>
  <si>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</si>
  <si>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</si>
  <si>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</si>
  <si>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</si>
  <si>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</si>
  <si>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</si>
  <si>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</si>
  <si>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</si>
  <si>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</si>
  <si>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</si>
  <si>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</si>
  <si>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</si>
  <si>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</si>
  <si>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</si>
  <si>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</si>
  <si>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</si>
  <si>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</si>
  <si>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</si>
  <si>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</si>
  <si>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</si>
  <si>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</si>
  <si>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</si>
  <si>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</si>
  <si>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</si>
  <si>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</si>
  <si>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</si>
  <si>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</si>
  <si>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</si>
  <si>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</si>
  <si>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</si>
  <si>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</si>
  <si>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</si>
  <si>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</si>
  <si>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</si>
  <si>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</si>
  <si>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</si>
  <si>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</si>
  <si>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</si>
  <si>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</si>
  <si>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</si>
  <si>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</si>
  <si>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</si>
  <si>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</si>
  <si>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</si>
  <si>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</si>
  <si>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</si>
  <si>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</si>
  <si>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</si>
  <si>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</si>
  <si>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</si>
  <si>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</si>
  <si>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</si>
  <si>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</si>
  <si>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</si>
  <si>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</si>
  <si>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</si>
  <si>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</si>
  <si>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</si>
  <si>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</si>
  <si>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</si>
  <si>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</si>
  <si>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</si>
  <si>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</si>
  <si>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</si>
  <si>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</si>
  <si>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</si>
  <si>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</si>
  <si>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</si>
  <si>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</si>
  <si>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</si>
  <si>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</si>
  <si>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</si>
  <si>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</si>
  <si>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</si>
  <si>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</si>
  <si>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</si>
  <si>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</si>
  <si>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</si>
  <si>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</si>
  <si>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</si>
  <si>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</si>
  <si>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</si>
  <si>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</si>
  <si>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</si>
  <si>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</si>
  <si>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</si>
  <si>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</si>
  <si>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</si>
  <si>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</si>
  <si>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</si>
  <si>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</si>
  <si>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</si>
  <si>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</si>
  <si>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</si>
  <si>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</si>
  <si>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</si>
  <si>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</si>
  <si>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</si>
  <si>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</si>
  <si>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</si>
  <si>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</si>
  <si>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</si>
  <si>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</si>
  <si>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</si>
  <si>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</si>
  <si>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</si>
  <si>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</si>
  <si>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</si>
  <si>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</si>
  <si>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</si>
  <si>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</si>
  <si>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</si>
  <si>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</si>
  <si>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</si>
  <si>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</si>
  <si>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</si>
  <si>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</si>
  <si>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</si>
  <si>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</si>
  <si>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</si>
  <si>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</si>
  <si>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</si>
  <si>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</si>
  <si>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</si>
  <si>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</si>
  <si>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</si>
  <si>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</si>
  <si>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</si>
  <si>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</si>
  <si>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</si>
  <si>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</si>
  <si>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</si>
  <si>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</si>
  <si>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</si>
  <si>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</si>
  <si>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</si>
  <si>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</si>
  <si>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</si>
  <si>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</si>
  <si>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</si>
  <si>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</si>
  <si>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</si>
  <si>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</si>
  <si>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</si>
  <si>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</si>
  <si>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</si>
  <si>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</si>
  <si>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</si>
  <si>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</si>
  <si>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</si>
  <si>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</si>
  <si>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</si>
  <si>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</si>
  <si>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</si>
  <si>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</si>
  <si>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</si>
  <si>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</si>
  <si>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</si>
  <si>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</si>
  <si>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</si>
  <si>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</si>
  <si>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</si>
  <si>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</si>
  <si>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</si>
  <si>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</si>
  <si>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</si>
  <si>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</si>
  <si>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</si>
  <si>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</si>
  <si>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</si>
  <si>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</si>
  <si>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</si>
  <si>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</si>
  <si>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</si>
  <si>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</si>
  <si>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</si>
  <si>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</si>
  <si>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</si>
  <si>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</si>
  <si>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</si>
  <si>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</si>
  <si>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</si>
  <si>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</si>
  <si>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</si>
  <si>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</si>
  <si>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</si>
  <si>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</si>
  <si>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</si>
  <si>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</si>
  <si>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</si>
  <si>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</si>
  <si>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</si>
  <si>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</si>
  <si>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</si>
  <si>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</si>
  <si>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</si>
  <si>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</si>
  <si>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</si>
  <si>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</si>
  <si>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</si>
  <si>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</si>
  <si>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</si>
  <si>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</si>
  <si>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</si>
  <si>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</si>
  <si>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</si>
  <si>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</si>
  <si>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</si>
  <si>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</si>
  <si>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</si>
  <si>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</si>
  <si>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</si>
  <si>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</si>
  <si>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</si>
  <si>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</si>
  <si>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</si>
  <si>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</si>
  <si>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</si>
  <si>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</si>
  <si>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</si>
  <si>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</si>
  <si>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</si>
  <si>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</si>
  <si>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</si>
  <si>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</si>
  <si>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</si>
  <si>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</si>
  <si>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</si>
  <si>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</si>
  <si>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</si>
  <si>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</si>
  <si>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</si>
  <si>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</si>
  <si>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</si>
  <si>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</si>
  <si>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</si>
  <si>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</si>
  <si>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</si>
  <si>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</si>
  <si>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</si>
  <si>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</si>
  <si>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</si>
  <si>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</si>
  <si>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</si>
  <si>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</si>
  <si>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</si>
  <si>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</si>
  <si>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</si>
  <si>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</si>
  <si>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</si>
  <si>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</si>
  <si>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</si>
  <si>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</si>
  <si>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</si>
  <si>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</si>
  <si>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</si>
  <si>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</si>
  <si>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</si>
  <si>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</si>
  <si>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</si>
  <si>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</si>
  <si>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</si>
  <si>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</si>
  <si>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</si>
  <si>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</si>
  <si>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</si>
  <si>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</si>
  <si>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</si>
  <si>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</si>
  <si>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</si>
  <si>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</si>
  <si>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</si>
  <si>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</si>
  <si>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</si>
  <si>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</si>
  <si>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</si>
  <si>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</si>
  <si>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</si>
  <si>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</si>
  <si>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</si>
  <si>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</si>
  <si>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</si>
  <si>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</si>
  <si>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</si>
  <si>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</si>
  <si>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</si>
  <si>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</si>
  <si>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</si>
  <si>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</si>
  <si>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</si>
  <si>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</si>
  <si>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</si>
  <si>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</si>
  <si>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</si>
  <si>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</si>
  <si>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</si>
  <si>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</si>
  <si>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</si>
  <si>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</si>
  <si>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</si>
  <si>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</si>
  <si>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</si>
  <si>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</si>
  <si>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</si>
  <si>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</si>
  <si>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</si>
  <si>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</si>
  <si>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</si>
  <si>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</si>
  <si>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</si>
  <si>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</si>
  <si>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</si>
  <si>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</si>
  <si>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</si>
  <si>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</si>
  <si>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</si>
  <si>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</si>
  <si>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</si>
  <si>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</si>
  <si>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</si>
  <si>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</si>
  <si>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</si>
  <si>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</si>
  <si>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</si>
  <si>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</si>
  <si>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</si>
  <si>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</si>
  <si>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</si>
  <si>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</si>
  <si>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</si>
  <si>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</si>
  <si>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</si>
  <si>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</si>
  <si>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</si>
  <si>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</si>
  <si>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</si>
  <si>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</si>
  <si>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</si>
  <si>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</si>
  <si>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</si>
  <si>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</si>
  <si>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</si>
  <si>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</si>
  <si>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</si>
  <si>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</si>
  <si>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</si>
  <si>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</si>
  <si>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</si>
  <si>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</si>
  <si>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</si>
  <si>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</si>
  <si>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</si>
  <si>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</si>
  <si>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</si>
  <si>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</si>
  <si>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</si>
  <si>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</si>
  <si>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</si>
  <si>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</si>
  <si>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</si>
  <si>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</si>
  <si>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</si>
  <si>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</si>
  <si>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</si>
  <si>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</si>
  <si>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</si>
  <si>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</si>
  <si>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</si>
  <si>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</si>
  <si>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</si>
  <si>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</si>
  <si>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</si>
  <si>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</si>
  <si>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</si>
  <si>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</si>
  <si>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</si>
  <si>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</si>
  <si>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</si>
  <si>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</si>
  <si>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</si>
  <si>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</si>
  <si>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</si>
  <si>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</si>
  <si>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</si>
  <si>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</si>
  <si>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</si>
  <si>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</si>
  <si>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</si>
  <si>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</si>
  <si>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</si>
  <si>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</si>
  <si>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</si>
  <si>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</si>
  <si>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</si>
  <si>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</si>
  <si>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</si>
  <si>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</si>
  <si>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</si>
  <si>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</si>
  <si>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</si>
  <si>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</si>
  <si>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</si>
  <si>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</si>
  <si>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</si>
  <si>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</si>
  <si>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</si>
  <si>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</si>
  <si>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</si>
  <si>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</si>
  <si>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</si>
  <si>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</si>
  <si>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</si>
  <si>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</si>
  <si>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</si>
  <si>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</si>
  <si>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</si>
  <si>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</si>
  <si>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</si>
  <si>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</si>
  <si>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</si>
  <si>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</si>
  <si>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</si>
  <si>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</si>
  <si>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</si>
  <si>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</si>
  <si>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</si>
  <si>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</si>
  <si>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</si>
  <si>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</si>
  <si>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</si>
  <si>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</si>
  <si>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</si>
  <si>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</si>
  <si>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</si>
  <si>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</si>
  <si>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</si>
  <si>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</si>
  <si>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</si>
  <si>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</si>
  <si>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</si>
  <si>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</si>
  <si>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</si>
  <si>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</si>
  <si>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</si>
  <si>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</si>
  <si>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</si>
  <si>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</si>
  <si>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</si>
  <si>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</si>
  <si>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</si>
  <si>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</si>
  <si>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</si>
  <si>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</si>
  <si>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</si>
  <si>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</si>
  <si>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</si>
  <si>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</si>
  <si>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</si>
  <si>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</si>
  <si>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</si>
  <si>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</si>
  <si>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</si>
  <si>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</si>
  <si>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</si>
  <si>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</si>
  <si>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</si>
  <si>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</si>
  <si>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</si>
  <si>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</si>
  <si>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</si>
  <si>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</si>
  <si>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</si>
  <si>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</si>
  <si>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</si>
  <si>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</si>
  <si>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</si>
  <si>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</si>
  <si>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</si>
  <si>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</si>
  <si>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</si>
  <si>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</si>
  <si>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</si>
  <si>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</si>
  <si>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</si>
  <si>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</si>
  <si>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</si>
  <si>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</si>
  <si>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</si>
  <si>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</si>
  <si>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</si>
  <si>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</si>
  <si>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</si>
  <si>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</si>
  <si>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</si>
  <si>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</si>
  <si>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</si>
  <si>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</si>
  <si>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</si>
  <si>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</si>
  <si>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</si>
  <si>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</si>
  <si>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</si>
  <si>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</si>
  <si>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</si>
  <si>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</si>
  <si>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</si>
  <si>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</si>
  <si>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</si>
  <si>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</si>
  <si>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</si>
  <si>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</si>
  <si>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</si>
  <si>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</si>
  <si>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</si>
  <si>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</si>
  <si>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</si>
  <si>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</si>
  <si>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</si>
  <si>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</si>
  <si>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</si>
  <si>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</si>
  <si>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</si>
  <si>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</si>
  <si>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</si>
  <si>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</si>
  <si>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</si>
  <si>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</si>
  <si>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</si>
  <si>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</si>
  <si>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</si>
  <si>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</si>
  <si>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</si>
  <si>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</si>
  <si>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</si>
  <si>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</si>
  <si>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</si>
  <si>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</si>
  <si>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</si>
  <si>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</si>
  <si>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</si>
  <si>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</si>
  <si>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</si>
  <si>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</si>
  <si>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</si>
  <si>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</si>
  <si>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</si>
  <si>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</si>
  <si>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</si>
  <si>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</si>
  <si>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</si>
  <si>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</si>
  <si>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</si>
  <si>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</si>
  <si>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</si>
  <si>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</si>
  <si>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</si>
  <si>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</si>
  <si>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</si>
  <si>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</si>
  <si>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</si>
  <si>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</si>
  <si>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</si>
  <si>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</si>
  <si>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</si>
  <si>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</si>
  <si>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</si>
  <si>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</si>
  <si>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</si>
  <si>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</si>
  <si>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</si>
  <si>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</si>
  <si>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</si>
  <si>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GRM1885C1H560J</t>
  </si>
  <si>
    <t>Конденсатор 0603C ёмкостью 56 п 5%, 630 В, NP0</t>
  </si>
  <si>
    <t>Vouka06</t>
  </si>
  <si>
    <t>ADR02BUJZ</t>
  </si>
  <si>
    <t>Источник опорного напряжения, 5В</t>
  </si>
  <si>
    <t>ADR01/ADR02/ADR03/ADR06 (Rev. S)</t>
  </si>
  <si>
    <t>Vouka05</t>
  </si>
  <si>
    <t>ADS1220IPWR</t>
  </si>
  <si>
    <t>24-Бит Sigma-Delta аналого-цифровой преобразователь</t>
  </si>
  <si>
    <t>Low-Power, Low-Noise, 24-Bit, ADC for Small-Signal Sensors (Rev. B)</t>
  </si>
  <si>
    <t>AP63203WU-7</t>
  </si>
  <si>
    <t>DC-DC Преобразователь</t>
  </si>
  <si>
    <t>SOT-23-8</t>
  </si>
  <si>
    <t>MAX3051 - +3.3V, 1Mbps, Low-Supply-Current CAN Transceiver</t>
  </si>
  <si>
    <t>REF195ESZ</t>
  </si>
  <si>
    <t>Источник опорного напряжения с низким падением напряжения, микромощный, 5В</t>
  </si>
  <si>
    <t>Picoblade_532610371</t>
  </si>
  <si>
    <t>Picoblade 3-pin разъем</t>
  </si>
  <si>
    <t>CONN_532610001-SD_03_MOL</t>
  </si>
  <si>
    <t>PicoBlade_53398-0471</t>
  </si>
  <si>
    <t>Разъем PicoBlade 1.25 мм, 4pin</t>
  </si>
  <si>
    <t>53398-0471</t>
  </si>
  <si>
    <t>53398-0471, Разъем PicoBlade 1.25 мм, 4pin, штыревой , на плату – купить оптом и в розницу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</si>
</sst>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1C2D3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horizontal="left" vertical="top"/>
    </xf>
  </cellXfs>
  <cellStyles count="2">
    <cellStyle name="Гиперссылка" xfId="1" builtinId="8"/>
    <cellStyle name="Обычный" xfId="0" builtinId="0"/>
  </cellStyles>
  <dxfs count="147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2" tableType="xml" totalsRowShown="0" headerRowDxfId="1" connectionId="6">
  <autoFilter ref="A1:M72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0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1">
      <xmlColumnPr mapId="30" xpath="/Schottky/Part/VoltageNominal_V" xmlDataType="string"/>
    </tableColumn>
    <tableColumn id="9" xr3:uid="{431126AD-34DC-40A1-9CB6-D627B7878BEA}" uniqueName="Current_A" name="Current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39" connectionId="19">
  <autoFilter ref="A1:M15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5" connectionId="18">
  <autoFilter ref="A1:M20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18" dataDxfId="117" connectionId="14">
  <autoFilter ref="A1:O190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1" connectionId="12">
  <autoFilter ref="A1:L6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Voltage (V)" dataDxfId="93">
      <xmlColumnPr mapId="84" xpath="/Rectifier_diodes/Part/RepetitivePeakReverseVoltage" xmlDataType="string"/>
    </tableColumn>
    <tableColumn id="9" xr3:uid="{EB5ACFA6-079B-4694-9B63-C1A08D4A6545}" uniqueName="Current" name="Current 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4" headerRowBorderDxfId="63" tableBorderDxfId="62" connectionId="2">
  <autoFilter ref="A1:N57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7" headerRowBorderDxfId="46" tableBorderDxfId="45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4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Voltage (V)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19" dataDxfId="18" connectionId="11">
  <autoFilter ref="A1:P28" xr:uid="{071F457A-0F82-4CD6-80C4-65E86DBEF353}"/>
  <tableColumns count="16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Footprint Path 4" dataDxfId="6">
      <calculatedColumnFormula>CONCATENATE("Footprints\",M2,".PcbLib")</calculatedColumnFormula>
    </tableColumn>
    <tableColumn id="13" xr3:uid="{C52E9A30-4E71-4BA8-BCEB-15C10C4A25CB}" uniqueName="13" name="Footprint Ref 4" dataDxfId="5"/>
    <tableColumn id="14" xr3:uid="{DF464249-2F59-4FAB-86C7-C3B8ACB81D99}" uniqueName="14" name="Value" dataDxfId="4"/>
    <tableColumn id="15" xr3:uid="{078A2BF1-2982-44EA-B14E-8AD36C6A8565}" uniqueName="15" name="Datasheet" dataDxfId="3"/>
    <tableColumn id="16" xr3:uid="{63FCD68C-47BF-4FDE-8472-6A537D68D453}" uniqueName="16" name="Автор" dataDxfId="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1" tableType="xml" totalsRowShown="0" headerRowDxfId="146" connectionId="7">
  <autoFilter ref="A1:L71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45">
      <xmlColumnPr mapId="12" xpath="/Connectors/Part/Comment" xmlDataType="string"/>
    </tableColumn>
    <tableColumn id="4" xr3:uid="{380EC291-D984-459A-9EA9-43539735BE21}" uniqueName="LibraryPath" name="Library Path" dataDxfId="144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43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hyperlink" Target="https://static.chipdip.ru/lib/404/DOC001404089.pdf" TargetMode="Externa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17" Type="http://schemas.openxmlformats.org/officeDocument/2006/relationships/table" Target="../tables/table1.xml"/><Relationship Id="rId2" Type="http://schemas.openxmlformats.org/officeDocument/2006/relationships/hyperlink" Target="https://cdn.promelec.ru/upload/datasheet/6/4/CD00284753.pdf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5" Type="http://schemas.openxmlformats.org/officeDocument/2006/relationships/hyperlink" Target="https://static.chipdip.ru/lib/517/DOC011517353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hyperlink" Target="https://static.chipdip.ru/lib/876/DOC015876362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hipdip.ru/product/53398-0471-razem-picoblade-1.25-mm-4pin-shtyrevoy-na-molex-9000180711?utm_source=direct&amp;utm_medium=cpc&amp;utm_campaign=Y_dinamicheskaya_max_conv&amp;utm_content=text1_ya&amp;utm_term=---autotargeting&amp;position_type=dynamic_places&amp;etext=&amp;ybaip=1" TargetMode="Externa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10" Type="http://schemas.openxmlformats.org/officeDocument/2006/relationships/table" Target="../tables/table14.xm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5"/>
  <sheetViews>
    <sheetView topLeftCell="C60" zoomScale="85" zoomScaleNormal="85" workbookViewId="0">
      <selection activeCell="L77" sqref="L77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3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3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3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71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3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3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3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3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3">
      <c r="A70" t="s">
        <v>1747</v>
      </c>
      <c r="B70" t="s">
        <v>1748</v>
      </c>
      <c r="C70" s="2" t="str">
        <f>A70</f>
        <v>ADR02BUJZ</v>
      </c>
      <c r="D70" t="str">
        <f>CONCATENATE("Schematic\",A70,".SchLib")</f>
        <v>Schematic\ADR02BUJZ.SchLib</v>
      </c>
      <c r="E70" t="str">
        <f>A70</f>
        <v>ADR02BUJZ</v>
      </c>
      <c r="F70" t="str">
        <f t="shared" si="31"/>
        <v>Footprints\SOT23-5.PcbLib</v>
      </c>
      <c r="G70" s="56" t="s">
        <v>1376</v>
      </c>
      <c r="L70" s="38" t="s">
        <v>1749</v>
      </c>
      <c r="M70" t="s">
        <v>1750</v>
      </c>
    </row>
    <row r="71" spans="1:13" x14ac:dyDescent="0.3">
      <c r="A71" t="s">
        <v>1751</v>
      </c>
      <c r="B71" s="59" t="s">
        <v>1752</v>
      </c>
      <c r="C71" s="2" t="str">
        <f>A71</f>
        <v>ADS1220IPWR</v>
      </c>
      <c r="D71" t="str">
        <f>CONCATENATE("Schematic\",A71,".SchLib")</f>
        <v>Schematic\ADS1220IPWR.SchLib</v>
      </c>
      <c r="E71" t="str">
        <f>A71</f>
        <v>ADS1220IPWR</v>
      </c>
      <c r="F71" t="str">
        <f t="shared" si="31"/>
        <v>Footprints\TSSOP-16.PcbLib</v>
      </c>
      <c r="G71" t="s">
        <v>722</v>
      </c>
      <c r="L71" s="38" t="s">
        <v>1753</v>
      </c>
      <c r="M71" t="s">
        <v>1746</v>
      </c>
    </row>
    <row r="72" spans="1:13" x14ac:dyDescent="0.3">
      <c r="A72" t="s">
        <v>1754</v>
      </c>
      <c r="B72" t="s">
        <v>1755</v>
      </c>
      <c r="C72" s="2" t="str">
        <f>A73</f>
        <v>MAX3051EKA+T</v>
      </c>
      <c r="D72" t="str">
        <f>CONCATENATE("Schematic\",A73,".SchLib")</f>
        <v>Schematic\MAX3051EKA+T.SchLib</v>
      </c>
      <c r="E72" t="str">
        <f>A73</f>
        <v>MAX3051EKA+T</v>
      </c>
      <c r="F72" t="str">
        <f>CONCATENATE("Footprints\",G72,".PcbLib")</f>
        <v>Footprints\SOT-23-8.PcbLib</v>
      </c>
      <c r="G72" t="s">
        <v>1756</v>
      </c>
      <c r="L72" s="38" t="s">
        <v>1757</v>
      </c>
      <c r="M72" t="s">
        <v>1746</v>
      </c>
    </row>
    <row r="73" spans="1:13" x14ac:dyDescent="0.3">
      <c r="A73" t="s">
        <v>1695</v>
      </c>
      <c r="B73" t="s">
        <v>1696</v>
      </c>
      <c r="C73" s="2"/>
      <c r="G73" s="36"/>
      <c r="L73" s="38"/>
    </row>
    <row r="74" spans="1:13" x14ac:dyDescent="0.3">
      <c r="A74" t="s">
        <v>1758</v>
      </c>
      <c r="B74" t="s">
        <v>1759</v>
      </c>
      <c r="C74" s="2"/>
    </row>
    <row r="75" spans="1:13" x14ac:dyDescent="0.3">
      <c r="C75" s="2"/>
      <c r="G75" s="60"/>
      <c r="L75" s="38"/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  <hyperlink ref="L71" r:id="rId13" display="https://static.chipdip.ru/lib/404/DOC001404089.pdf" xr:uid="{AEDD3104-3368-4FF3-8BBB-A7A552DB130D}"/>
    <hyperlink ref="L72" r:id="rId14" display="https://static.chipdip.ru/lib/876/DOC015876362.pdf" xr:uid="{BEF0651F-4D94-446B-A7B4-D14CB543BA2A}"/>
    <hyperlink ref="L70" r:id="rId15" display="https://static.chipdip.ru/lib/517/DOC011517353.pdf" xr:uid="{C2809BF1-190E-44E7-B55C-4711C686D722}"/>
  </hyperlinks>
  <pageMargins left="0.7" right="0.7" top="0.75" bottom="0.75" header="0.3" footer="0.3"/>
  <pageSetup paperSize="9" orientation="portrait" r:id="rId16"/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3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3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L171" zoomScale="70" zoomScaleNormal="70" workbookViewId="0">
      <selection activeCell="B193" sqref="B19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6" x14ac:dyDescent="0.3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6" x14ac:dyDescent="0.3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6" x14ac:dyDescent="0.3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3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3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8"/>
  <sheetViews>
    <sheetView topLeftCell="E21" zoomScale="58" zoomScaleNormal="58" workbookViewId="0">
      <selection activeCell="N62" sqref="N62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3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3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3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3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3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3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  <row r="58" spans="1:14" x14ac:dyDescent="0.3">
      <c r="A58" s="2" t="s">
        <v>1744</v>
      </c>
      <c r="B58" t="s">
        <v>1745</v>
      </c>
      <c r="C58" s="2" t="s">
        <v>1744</v>
      </c>
      <c r="D58" s="2" t="s">
        <v>30</v>
      </c>
      <c r="E58" s="2"/>
      <c r="F58" s="2"/>
      <c r="G58" s="37"/>
      <c r="I58" s="2"/>
      <c r="J58" s="2"/>
      <c r="K58" s="2"/>
      <c r="L58" s="2"/>
      <c r="M58" s="2"/>
      <c r="N58" s="2"/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3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3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1"/>
  <sheetViews>
    <sheetView topLeftCell="M1" zoomScale="70" zoomScaleNormal="70" workbookViewId="0">
      <selection activeCell="R33" sqref="R33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  <row r="31" spans="1:18" x14ac:dyDescent="0.3">
      <c r="D31" s="2"/>
      <c r="E31" s="2"/>
      <c r="F31" s="2"/>
      <c r="G31" s="2"/>
      <c r="H31" s="2"/>
      <c r="I31" s="2"/>
      <c r="J31" s="2"/>
      <c r="K31" s="2"/>
      <c r="L31" s="2"/>
      <c r="M31" s="2"/>
      <c r="Q31" s="38"/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F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topLeftCell="K1" zoomScale="85" zoomScaleNormal="85" workbookViewId="0">
      <selection activeCell="D29" sqref="D29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  <col min="15" max="15" width="11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3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3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3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3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3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3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3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3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71"/>
  <sheetViews>
    <sheetView tabSelected="1" topLeftCell="E33" zoomScale="52" zoomScaleNormal="52" workbookViewId="0">
      <selection activeCell="F72" sqref="F72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2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2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2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2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2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2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2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3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3">
      <c r="A70" s="61" t="s">
        <v>1760</v>
      </c>
      <c r="B70" t="s">
        <v>1761</v>
      </c>
      <c r="C70" s="2" t="str">
        <f>A70</f>
        <v>Picoblade_532610371</v>
      </c>
      <c r="D70" t="str">
        <f>CONCATENATE("Schematic\Connectors\",A70,".SchLib")</f>
        <v>Schematic\Connectors\Picoblade_532610371.SchLib</v>
      </c>
      <c r="E70" s="61" t="str">
        <f>A70</f>
        <v>Picoblade_532610371</v>
      </c>
      <c r="F70" t="str">
        <f>CONCATENATE("Footprints\Connectors\",G70,".PcbLib")</f>
        <v>Footprints\Connectors\CONN_532610001-SD_03_MOL.PcbLib</v>
      </c>
      <c r="G70" t="s">
        <v>1762</v>
      </c>
      <c r="K70" s="40" t="s">
        <v>978</v>
      </c>
      <c r="L70" t="s">
        <v>1746</v>
      </c>
    </row>
    <row r="71" spans="1:12" x14ac:dyDescent="0.3">
      <c r="A71" t="s">
        <v>1763</v>
      </c>
      <c r="B71" t="s">
        <v>1764</v>
      </c>
      <c r="C71" t="s">
        <v>1765</v>
      </c>
      <c r="D71" t="str">
        <f>CONCATENATE("Schematic\Connectors\", A71, ".SchLib")</f>
        <v>Schematic\Connectors\PicoBlade_53398-0471.SchLib</v>
      </c>
      <c r="E71" t="str">
        <f>A71</f>
        <v>PicoBlade_53398-0471</v>
      </c>
      <c r="F71" t="str">
        <f>CONCATENATE("Footprints\Connectors\",G71,".PcbLib")</f>
        <v>Footprints\Connectors\53398-0471.PcbLib</v>
      </c>
      <c r="G71" t="s">
        <v>1765</v>
      </c>
      <c r="J71" s="38" t="s">
        <v>1766</v>
      </c>
      <c r="K71" s="40" t="s">
        <v>978</v>
      </c>
      <c r="L71" t="s">
        <v>1746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  <hyperlink ref="J71" r:id="rId8" display="https://www.chipdip.ru/product/53398-0471-razem-picoblade-1.25-mm-4pin-shtyrevoy-na-molex-9000180711?utm_source=direct&amp;utm_medium=cpc&amp;utm_campaign=Y_dinamicheskaya_max_conv&amp;utm_content=text1_ya&amp;utm_term=---autotargeting&amp;position_type=dynamic_places&amp;etext=&amp;ybaip=1" xr:uid="{152EA10D-F148-451E-AE0A-0C47CA5416A4}"/>
  </hyperlinks>
  <pageMargins left="0.7" right="0.7" top="0.75" bottom="0.75" header="0.3" footer="0.3"/>
  <pageSetup paperSize="9" orientation="portrait" r:id="rId9"/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2026-09-30T17:00:43Z</dcterms:modified>
</cp:coreProperties>
</file>