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ЭтаКнига"/>
  <xr:revisionPtr revIDLastSave="0" documentId="13_ncr:1_{C54BEC80-B5FC-4C0B-A144-8B41199E5BA9}" xr6:coauthVersionLast="47" xr6:coauthVersionMax="47" xr10:uidLastSave="{00000000-0000-0000-0000-000000000000}"/>
  <bookViews>
    <workbookView xWindow="-110" yWindow="-110" windowWidth="25820" windowHeight="15500" tabRatio="701" firstSheet="5" activeTab="5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0" i="11" l="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<sst xmlns="http://schemas.openxmlformats.org/spreadsheetml/2006/main" count="3590" uniqueCount="1465">
  <si>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</si>
  <si>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</si>
  <si>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</si>
  <si>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</si>
  <si>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</si>
  <si>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</si>
  <si>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</si>
  <si>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</si>
  <si>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</si>
  <si>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</si>
  <si>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</si>
  <si>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</si>
  <si>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</si>
  <si>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</si>
  <si>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</si>
  <si>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</si>
  <si>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</si>
  <si>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</si>
  <si>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</si>
  <si>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</si>
  <si>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</si>
  <si>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</si>
  <si>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</si>
  <si>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</si>
  <si>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</si>
  <si>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</si>
  <si>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</si>
  <si>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</si>
  <si>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</si>
  <si>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</si>
  <si>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</si>
  <si>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</si>
  <si>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</si>
  <si>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</si>
  <si>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</si>
  <si>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</si>
  <si>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</si>
  <si>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</si>
  <si>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</si>
  <si>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</si>
  <si>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</si>
  <si>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</si>
  <si>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</si>
  <si>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</si>
  <si>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</si>
  <si>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</si>
  <si>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</si>
  <si>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</si>
  <si>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</si>
  <si>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</si>
  <si>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</si>
  <si>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</si>
  <si>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</si>
  <si>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</si>
  <si>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</si>
  <si>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</si>
  <si>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</si>
  <si>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</si>
  <si>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</si>
  <si>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</si>
  <si>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</si>
  <si>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</si>
  <si>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</si>
  <si>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</si>
  <si>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</si>
  <si>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</si>
  <si>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</si>
  <si>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</si>
  <si>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</si>
  <si>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</si>
  <si>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</si>
  <si>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</si>
  <si>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</si>
  <si>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</si>
  <si>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</si>
  <si>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</si>
  <si>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</si>
  <si>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</si>
  <si>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</si>
  <si>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</si>
  <si>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</si>
  <si>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</si>
  <si>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</si>
  <si>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</si>
  <si>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</si>
  <si>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</si>
  <si>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</si>
  <si>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</si>
  <si>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</si>
  <si>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</si>
  <si>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</si>
  <si>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</si>
  <si>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</si>
  <si>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</si>
  <si>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</si>
  <si>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</si>
  <si>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</si>
  <si>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</si>
  <si>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</si>
  <si>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</si>
  <si>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</si>
  <si>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</si>
  <si>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</si>
  <si>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</si>
  <si>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</si>
  <si>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</si>
  <si>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</si>
  <si>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</si>
  <si>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</si>
  <si>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</si>
  <si>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</si>
  <si>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</si>
  <si>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</si>
  <si>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</si>
  <si>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</si>
  <si>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</si>
  <si>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</si>
  <si>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</si>
  <si>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</si>
  <si>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</si>
  <si>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</si>
  <si>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</si>
  <si>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</si>
  <si>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</si>
  <si>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</si>
  <si>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</si>
  <si>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</si>
  <si>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</si>
  <si>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</si>
  <si>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</si>
  <si>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</si>
  <si>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</si>
  <si>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</si>
  <si>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</si>
  <si>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</si>
  <si>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</si>
  <si>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</si>
  <si>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</si>
  <si>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</si>
  <si>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</si>
  <si>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</si>
  <si>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</si>
  <si>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</si>
  <si>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</si>
  <si>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</si>
  <si>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</si>
  <si>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</si>
  <si>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</si>
  <si>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</si>
  <si>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</si>
  <si>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</si>
  <si>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</si>
  <si>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</si>
  <si>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</si>
  <si>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</si>
  <si>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</si>
  <si>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</si>
  <si>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</si>
  <si>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</si>
  <si>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</si>
  <si>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</si>
  <si>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</si>
  <si>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</si>
  <si>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</si>
  <si>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</si>
  <si>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</si>
  <si>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</si>
  <si>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</si>
  <si>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</si>
  <si>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</si>
  <si>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</si>
  <si>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</si>
  <si>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</si>
  <si>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</si>
  <si>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</si>
  <si>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</si>
  <si>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</si>
  <si>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</si>
  <si>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</si>
  <si>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</si>
  <si>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</si>
  <si>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</si>
  <si>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</si>
  <si>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</si>
  <si>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</si>
  <si>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</si>
  <si>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</si>
  <si>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</si>
  <si>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</si>
  <si>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</si>
  <si>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</si>
  <si>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</si>
  <si>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</si>
  <si>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</si>
  <si>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</si>
  <si>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</si>
  <si>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</si>
  <si>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</si>
  <si>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</si>
  <si>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</si>
  <si>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</si>
  <si>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</si>
  <si>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</si>
  <si>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</si>
  <si>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</si>
  <si>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</si>
  <si>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</si>
  <si>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</si>
  <si>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</si>
  <si>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</si>
  <si>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</si>
  <si>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</si>
  <si>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</si>
  <si>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</si>
  <si>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</si>
  <si>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</si>
  <si>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</si>
  <si>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</si>
  <si>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</si>
  <si>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</si>
  <si>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</si>
  <si>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</si>
  <si>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</si>
  <si>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</si>
  <si>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</si>
  <si>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</si>
  <si>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</si>
  <si>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</si>
  <si>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</si>
  <si>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</si>
  <si>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</si>
  <si>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</si>
  <si>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</si>
  <si>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</si>
  <si>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</si>
  <si>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</si>
  <si>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</si>
  <si>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</si>
  <si>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</si>
  <si>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</si>
  <si>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</si>
  <si>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</si>
  <si>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</si>
  <si>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</si>
  <si>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</si>
  <si>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</si>
  <si>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</si>
  <si>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</si>
  <si>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</si>
  <si>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</si>
  <si>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</si>
  <si>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</si>
  <si>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</si>
  <si>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</si>
  <si>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</si>
  <si>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</si>
  <si>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</si>
  <si>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</si>
  <si>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</si>
  <si>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</si>
  <si>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</si>
  <si>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</si>
  <si>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</si>
  <si>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</si>
  <si>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</si>
  <si>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</si>
  <si>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</si>
  <si>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</si>
  <si>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</si>
  <si>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</si>
  <si>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</si>
  <si>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</si>
  <si>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</si>
  <si>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</si>
  <si>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</si>
  <si>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</si>
  <si>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</si>
  <si>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</si>
  <si>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</si>
  <si>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</si>
  <si>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</si>
  <si>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</si>
  <si>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</si>
  <si>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</si>
  <si>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</si>
  <si>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</si>
  <si>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</si>
  <si>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</si>
  <si>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</si>
  <si>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</si>
  <si>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</si>
  <si>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</si>
  <si>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</si>
  <si>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</si>
  <si>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</si>
  <si>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</si>
  <si>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</si>
  <si>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</si>
  <si>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</si>
  <si>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</si>
  <si>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</si>
  <si>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</si>
  <si>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</si>
  <si>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</si>
  <si>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</si>
  <si>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</si>
  <si>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</si>
  <si>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</si>
  <si>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</si>
  <si>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</si>
  <si>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</si>
  <si>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</si>
  <si>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</si>
  <si>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</si>
  <si>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</si>
  <si>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</si>
  <si>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</si>
  <si>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</si>
  <si>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</si>
  <si>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</si>
  <si>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</si>
  <si>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</si>
  <si>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</si>
  <si>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</si>
  <si>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</si>
  <si>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</si>
  <si>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</si>
  <si>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</si>
  <si>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</si>
  <si>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</si>
  <si>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</si>
  <si>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</si>
  <si>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</si>
  <si>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</si>
  <si>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</si>
  <si>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</si>
  <si>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</si>
  <si>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</si>
  <si>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</si>
  <si>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</si>
  <si>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</si>
  <si>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</si>
  <si>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</si>
  <si>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</si>
  <si>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</si>
  <si>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</si>
  <si>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</si>
  <si>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</si>
  <si>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</si>
  <si>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</si>
  <si>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</si>
  <si>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</si>
  <si>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</si>
  <si>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</si>
  <si>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</si>
  <si>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</si>
  <si>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</si>
  <si>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</si>
  <si>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</si>
  <si>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</si>
  <si>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</si>
  <si>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</si>
  <si>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</si>
  <si>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</si>
  <si>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</si>
  <si>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</si>
  <si>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</si>
  <si>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</si>
  <si>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</si>
  <si>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</si>
  <si>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</si>
  <si>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</si>
  <si>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</si>
  <si>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</si>
  <si>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</si>
  <si>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</si>
  <si>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</si>
  <si>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</si>
  <si>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</si>
  <si>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</si>
  <si>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</si>
  <si>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</si>
  <si>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</si>
  <si>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</si>
  <si>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</si>
  <si>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</si>
  <si>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</si>
  <si>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</si>
  <si>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</si>
  <si>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</si>
  <si>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</si>
  <si>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</si>
  <si>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</si>
  <si>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</si>
  <si>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</si>
  <si>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</si>
  <si>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</si>
  <si>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</si>
  <si>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</si>
  <si>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</si>
  <si>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</si>
  <si>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</si>
  <si>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</si>
  <si>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</si>
  <si>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</si>
  <si>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</si>
  <si>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</si>
  <si>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</si>
  <si>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</si>
  <si>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</si>
  <si>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</si>
  <si>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</si>
  <si>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</si>
  <si>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</si>
  <si>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</si>
  <si>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</si>
  <si>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</si>
  <si>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</si>
  <si>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</si>
  <si>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</si>
  <si>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</si>
  <si>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</si>
  <si>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</si>
  <si>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</si>
  <si>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</si>
  <si>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</si>
  <si>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</si>
  <si>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</si>
  <si>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</si>
  <si>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</si>
  <si>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</si>
  <si>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</si>
  <si>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</si>
  <si>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</si>
  <si>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</si>
  <si>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</si>
  <si>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</si>
  <si>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</si>
  <si>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</si>
  <si>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</si>
  <si>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</si>
  <si>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</si>
  <si>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</si>
  <si>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</si>
  <si>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</si>
  <si>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</si>
  <si>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</si>
  <si>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</si>
  <si>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</si>
  <si>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</si>
  <si>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</si>
  <si>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</si>
  <si>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</si>
  <si>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</si>
  <si>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</si>
  <si>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</si>
  <si>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</si>
  <si>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</si>
  <si>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</si>
  <si>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</si>
  <si>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</si>
  <si>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</si>
  <si>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</si>
  <si>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</si>
  <si>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</si>
  <si>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</si>
  <si>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</si>
  <si>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</si>
  <si>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</si>
  <si>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</si>
  <si>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</si>
  <si>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</si>
  <si>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</si>
  <si>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</si>
  <si>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</si>
  <si>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</si>
  <si>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</si>
  <si>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</si>
  <si>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</si>
  <si>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</si>
  <si>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</si>
  <si>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</si>
  <si>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</si>
  <si>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</si>
  <si>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</si>
  <si>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</si>
  <si>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</si>
  <si>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</si>
  <si>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</si>
  <si>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</si>
  <si>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</si>
  <si>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</si>
  <si>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</si>
  <si>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</si>
  <si>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</si>
  <si>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</si>
  <si>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</si>
  <si>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</si>
  <si>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</si>
  <si>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</si>
  <si>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</si>
  <si>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</si>
  <si>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</si>
  <si>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</si>
  <si>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</si>
  <si>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</si>
  <si>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</si>
  <si>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</si>
  <si>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</si>
  <si>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</si>
  <si>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</si>
  <si>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</si>
  <si>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</si>
  <si>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</si>
  <si>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</si>
  <si>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</si>
  <si>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</si>
  <si>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</si>
  <si>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</si>
  <si>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</si>
  <si>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</si>
  <si>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</si>
  <si>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</si>
  <si>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</si>
  <si>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</si>
  <si>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</si>
  <si>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</si>
  <si>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</si>
  <si>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</si>
  <si>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</si>
  <si>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</si>
  <si>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</si>
  <si>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</si>
  <si>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</si>
  <si>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</si>
  <si>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</si>
  <si>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</si>
  <si>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</si>
  <si>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</si>
  <si>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</si>
  <si>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</si>
  <si>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</si>
  <si>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</si>
  <si>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</si>
  <si>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</si>
  <si>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</si>
  <si>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</si>
  <si>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</si>
  <si>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</si>
  <si>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</si>
  <si>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</si>
  <si>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</si>
  <si>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</si>
  <si>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</si>
  <si>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</si>
  <si>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</si>
  <si>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</si>
  <si>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</si>
  <si>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</si>
  <si>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</si>
  <si>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</si>
  <si>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</si>
  <si>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</si>
  <si>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</si>
  <si>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</si>
  <si>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</si>
  <si>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</si>
  <si>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</si>
  <si>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</si>
  <si>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</si>
  <si>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</si>
  <si>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</si>
  <si>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</si>
  <si>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</si>
  <si>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</si>
  <si>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</si>
  <si>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</si>
  <si>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</si>
  <si>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</si>
  <si>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</si>
  <si>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</si>
  <si>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</si>
  <si>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</si>
  <si>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</si>
  <si>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</si>
  <si>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</si>
  <si>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</si>
  <si>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</si>
  <si>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</si>
  <si>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</si>
  <si>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</si>
  <si>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</si>
  <si>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</si>
  <si>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</si>
  <si>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</si>
  <si>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</si>
  <si>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</si>
  <si>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</si>
  <si>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</si>
  <si>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</si>
  <si>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</si>
  <si>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</si>
  <si>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</si>
  <si>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</si>
  <si>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</si>
  <si>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</si>
  <si>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</si>
  <si>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</si>
  <si>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</si>
  <si>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</si>
  <si>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</si>
  <si>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</si>
  <si>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</si>
  <si>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</si>
  <si>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</si>
  <si>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</si>
  <si>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</si>
  <si>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</si>
  <si>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</si>
  <si>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</si>
  <si>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</si>
  <si>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</si>
  <si>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</si>
  <si>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</si>
  <si>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</si>
  <si>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</si>
  <si>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</si>
  <si>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</si>
  <si>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</si>
  <si>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</si>
  <si>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</si>
  <si>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</si>
  <si>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</si>
  <si>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</si>
  <si>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</si>
  <si>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</si>
  <si>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</si>
  <si>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</si>
  <si>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</si>
  <si>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</si>
  <si>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</si>
  <si>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</si>
  <si>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</si>
  <si>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</si>
  <si>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</si>
  <si>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</si>
  <si>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</si>
  <si>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</si>
  <si>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</si>
  <si>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</si>
  <si>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</si>
  <si>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</si>
  <si>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</si>
  <si>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</si>
  <si>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</si>
  <si>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</si>
  <si>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</si>
  <si>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</si>
  <si>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</si>
  <si>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</si>
  <si>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</si>
  <si>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</si>
  <si>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</si>
  <si>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</si>
  <si>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</si>
  <si>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</si>
  <si>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</si>
  <si>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</si>
  <si>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</si>
  <si>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</si>
  <si>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</si>
  <si>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</si>
  <si>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</si>
  <si>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</si>
  <si>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</si>
  <si>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</si>
  <si>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</si>
  <si>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</si>
  <si>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</si>
  <si>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</si>
  <si>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</si>
  <si>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</si>
  <si>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</si>
  <si>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</si>
  <si>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</si>
  <si>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</si>
  <si>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</si>
  <si>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</si>
  <si>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</si>
  <si>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</si>
  <si>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</si>
  <si>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</si>
  <si>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</si>
  <si>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</si>
  <si>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</si>
  <si>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</si>
  <si>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</si>
  <si>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</si>
  <si>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</si>
  <si>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</si>
  <si>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</si>
  <si>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</si>
  <si>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</si>
  <si>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</si>
  <si>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</si>
  <si>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</si>
  <si>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</si>
  <si>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</si>
  <si>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</si>
  <si>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</si>
  <si>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</si>
  <si>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</si>
  <si>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</si>
  <si>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</si>
  <si>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</si>
  <si>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</si>
  <si>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</si>
  <si>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</si>
  <si>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</si>
  <si>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</si>
  <si>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</si>
  <si>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</si>
  <si>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</si>
  <si>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</si>
  <si>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</si>
  <si>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</si>
  <si>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</si>
  <si>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</si>
  <si>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</si>
  <si>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</si>
  <si>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</si>
  <si>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</si>
  <si>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</si>
  <si>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</si>
  <si>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</si>
  <si>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</si>
  <si>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</si>
  <si>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</si>
  <si>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</si>
  <si>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</si>
  <si>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</si>
  <si>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</si>
  <si>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</si>
  <si>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</si>
  <si>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</si>
  <si>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</si>
  <si>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</si>
  <si>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</si>
  <si>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</si>
  <si>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</si>
  <si>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</si>
  <si>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</si>
  <si>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</si>
  <si>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</si>
  <si>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</si>
  <si>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</si>
  <si>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</si>
  <si>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</si>
  <si>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</si>
  <si>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</si>
  <si>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</si>
  <si>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</si>
  <si>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</si>
  <si>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</si>
  <si>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</si>
  <si>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</si>
  <si>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</si>
  <si>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</si>
  <si>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</si>
  <si>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</si>
  <si>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</si>
  <si>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</si>
  <si>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</si>
  <si>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</si>
  <si>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</si>
  <si>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</si>
  <si>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</si>
  <si>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</si>
  <si>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</si>
  <si>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</si>
  <si>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</si>
  <si>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</si>
  <si>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</si>
  <si>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</si>
  <si>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</si>
  <si>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</si>
  <si>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</si>
  <si>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</si>
  <si>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</si>
  <si>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</si>
  <si>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</si>
  <si>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</si>
  <si>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</si>
  <si>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</si>
  <si>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</si>
  <si>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</si>
  <si>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</si>
  <si>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</si>
  <si>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</si>
  <si>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</si>
  <si>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</si>
  <si>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</si>
  <si>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</si>
  <si>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</si>
  <si>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</si>
  <si>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</si>
  <si>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</si>
  <si>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</si>
  <si>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</si>
  <si>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</si>
  <si>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</si>
  <si>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</si>
  <si>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</si>
  <si>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</si>
  <si>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</si>
  <si>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</si>
  <si>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</si>
  <si>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</si>
  <si>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</si>
  <si>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</si>
  <si>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</si>
  <si>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</si>
  <si>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</si>
  <si>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</si>
  <si>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</si>
  <si>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</si>
  <si>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</si>
  <si>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</si>
  <si>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</si>
  <si>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</si>
  <si>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</si>
  <si>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</si>
  <si>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</si>
  <si>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</si>
  <si>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</si>
  <si>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</si>
  <si>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</si>
  <si>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</si>
  <si>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</si>
  <si>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</si>
  <si>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</si>
  <si>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</si>
  <si>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</si>
  <si>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</si>
  <si>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</si>
  <si>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</si>
  <si>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</si>
  <si>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</si>
  <si>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</si>
  <si>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</si>
  <si>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</si>
  <si>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</si>
  <si>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</si>
  <si>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</si>
  <si>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</si>
  <si>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</si>
  <si>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</si>
  <si>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</si>
  <si>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</si>
  <si>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</si>
  <si>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</si>
  <si>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</si>
  <si>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</si>
  <si>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</si>
  <si>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</si>
  <si>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</si>
  <si>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</si>
  <si>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</si>
  <si>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</si>
  <si>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</si>
  <si>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</si>
  <si>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</si>
  <si>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</si>
  <si>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</si>
  <si>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</si>
  <si>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</si>
  <si>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</si>
  <si>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</si>
  <si>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</si>
  <si>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</si>
  <si>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</si>
  <si>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</si>
  <si>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</si>
  <si>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</si>
  <si>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</si>
  <si>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</si>
  <si>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</si>
  <si>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</si>
  <si>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</si>
  <si>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</si>
  <si>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</si>
  <si>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</si>
  <si>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</si>
  <si>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</si>
  <si>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</si>
  <si>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</si>
  <si>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</si>
  <si>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</si>
  <si>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</si>
  <si>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</si>
  <si>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</si>
  <si>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</si>
  <si>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</si>
  <si>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</si>
  <si>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</si>
  <si>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</si>
  <si>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</si>
  <si>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</si>
  <si>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</si>
  <si>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</si>
  <si>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</si>
  <si>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</si>
  <si>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</si>
  <si>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</si>
  <si>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</si>
  <si>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</si>
  <si>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</si>
  <si>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</si>
  <si>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</si>
  <si>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</si>
  <si>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</si>
  <si>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</si>
  <si>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</si>
  <si>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</si>
  <si>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</si>
  <si>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</si>
  <si>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</si>
  <si>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</si>
  <si>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</si>
  <si>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</si>
  <si>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</si>
  <si>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</si>
  <si>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</si>
  <si>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</si>
  <si>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</si>
  <si>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</si>
  <si>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</si>
  <si>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</si>
  <si>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</si>
  <si>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</si>
  <si>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</si>
  <si>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</si>
  <si>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</si>
  <si>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</si>
  <si>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</si>
  <si>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</si>
  <si>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</si>
  <si>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</si>
  <si>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</si>
  <si>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</si>
  <si>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</si>
  <si>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</si>
  <si>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</si>
  <si>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</si>
  <si>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</si>
  <si>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</si>
  <si>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</si>
  <si>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</si>
  <si>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</si>
  <si>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</si>
  <si>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</si>
  <si>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</si>
  <si>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</si>
  <si>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</si>
  <si>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</si>
  <si>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</si>
  <si>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</si>
  <si>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</si>
  <si>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</si>
  <si>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</si>
  <si>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</si>
  <si>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</si>
  <si>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</si>
  <si>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</si>
  <si>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</si>
  <si>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</si>
  <si>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</si>
  <si>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</si>
  <si>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</si>
  <si>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</si>
  <si>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</si>
  <si>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</si>
  <si>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</si>
  <si>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</si>
  <si>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</si>
  <si>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</si>
  <si>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</si>
  <si>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</si>
  <si>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</si>
  <si>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</si>
  <si>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</si>
  <si>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</si>
  <si>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</si>
  <si>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</si>
  <si>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</si>
  <si>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</si>
  <si>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</si>
  <si>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</si>
  <si>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</si>
  <si>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</si>
  <si>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</si>
  <si>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</si>
  <si>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</si>
  <si>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</si>
  <si>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</si>
  <si>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</si>
  <si>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</si>
  <si>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</si>
  <si>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</si>
  <si>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</si>
  <si>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</si>
  <si>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</si>
  <si>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</si>
  <si>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</si>
  <si>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</si>
  <si>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</si>
  <si>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</si>
  <si>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</si>
  <si>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</si>
  <si>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</si>
  <si>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</si>
  <si>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</si>
  <si>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</si>
  <si>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</si>
  <si>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</si>
  <si>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</si>
  <si>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</si>
  <si>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</si>
  <si>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</si>
  <si>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</si>
  <si>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</si>
  <si>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</si>
  <si>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</si>
  <si>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</si>
  <si>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</si>
  <si>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</si>
  <si>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</si>
  <si>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</si>
  <si>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</si>
  <si>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</si>
  <si>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</si>
  <si>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</si>
  <si>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</si>
  <si>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</si>
  <si>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</si>
  <si>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</si>
  <si>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</si>
  <si>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</si>
  <si>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</si>
  <si>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</si>
  <si>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</si>
  <si>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</si>
  <si>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</si>
  <si>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</si>
  <si>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</si>
  <si>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</si>
  <si>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</si>
  <si>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</si>
  <si>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</si>
  <si>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</si>
  <si>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</si>
  <si>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</si>
  <si>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</si>
  <si>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</si>
  <si>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</si>
  <si>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</si>
  <si>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</si>
  <si>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</si>
  <si>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</si>
  <si>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</si>
  <si>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</si>
  <si>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</si>
  <si>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</si>
  <si>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</si>
  <si>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</si>
  <si>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</si>
  <si>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</si>
  <si>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</si>
  <si>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</si>
  <si>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</si>
  <si>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</si>
  <si>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</si>
  <si>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</si>
  <si>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</si>
  <si>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</si>
  <si>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</si>
  <si>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</si>
  <si>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</si>
  <si>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</si>
  <si>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</si>
  <si>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</si>
  <si>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</si>
  <si>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</si>
  <si>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</si>
  <si>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</si>
  <si>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</si>
  <si>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</si>
  <si>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</si>
  <si>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</si>
  <si>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</si>
  <si>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</si>
  <si>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</si>
  <si>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</si>
  <si>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</si>
  <si>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</si>
  <si>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</si>
  <si>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</si>
  <si>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</si>
  <si>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</si>
  <si>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</si>
  <si>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</si>
  <si>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</si>
  <si>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</si>
  <si>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</si>
  <si>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</si>
  <si>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</si>
  <si>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</si>
  <si>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</si>
  <si>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</si>
  <si>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</si>
  <si>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</si>
  <si>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</si>
  <si>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</si>
  <si>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</si>
  <si>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</si>
  <si>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</si>
  <si>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</si>
  <si>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</si>
  <si>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</si>
  <si>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</si>
  <si>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</si>
  <si>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</si>
  <si>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</si>
  <si>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</si>
  <si>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</si>
  <si>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</si>
  <si>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</si>
  <si>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</si>
  <si>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</si>
  <si>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</si>
  <si>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</si>
  <si>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</si>
  <si>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</si>
  <si>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</si>
  <si>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</si>
  <si>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</si>
  <si>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</si>
  <si>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</si>
  <si>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</si>
  <si>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</si>
  <si>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</si>
  <si>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</si>
  <si>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</si>
  <si>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</si>
  <si>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</si>
  <si>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</si>
  <si>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</si>
  <si>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</si>
  <si>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</si>
  <si>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</si>
  <si>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</si>
  <si>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</si>
  <si>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</si>
  <si>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</si>
  <si>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</si>
  <si>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</si>
  <si>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</si>
  <si>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</si>
  <si>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</si>
  <si>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</si>
  <si>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</si>
  <si>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</si>
  <si>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</si>
  <si>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</si>
  <si>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</si>
  <si>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</si>
  <si>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</si>
  <si>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</si>
  <si>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</si>
  <si>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</si>
  <si>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</si>
  <si>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</si>
  <si>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</si>
  <si>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</si>
  <si>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</si>
  <si>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</si>
  <si>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</si>
  <si>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</si>
  <si>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</si>
  <si>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</si>
  <si>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</si>
  <si>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</si>
  <si>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</si>
  <si>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</si>
  <si>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</si>
  <si>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</si>
  <si>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</si>
  <si>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</si>
  <si>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</si>
  <si>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</si>
  <si>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</si>
  <si>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</si>
  <si>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</si>
  <si>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</si>
  <si>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</si>
  <si>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</si>
  <si>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</si>
  <si>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</si>
  <si>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</si>
  <si>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</si>
  <si>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</si>
  <si>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</si>
  <si>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</si>
  <si>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</si>
  <si>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</si>
  <si>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</si>
  <si>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</si>
  <si>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</si>
  <si>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</si>
  <si>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</si>
  <si>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</si>
  <si>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</si>
  <si>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</si>
  <si>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</si>
  <si>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</si>
  <si>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</si>
  <si>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</si>
  <si>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</si>
  <si>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</si>
  <si>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</si>
  <si>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</si>
  <si>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</si>
  <si>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</si>
  <si>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</si>
  <si>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</si>
  <si>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</si>
  <si>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</si>
  <si>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</si>
  <si>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</si>
  <si>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</si>
  <si>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</si>
  <si>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</si>
  <si>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</si>
  <si>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</si>
  <si>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</si>
  <si>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</si>
  <si>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</si>
  <si>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</si>
  <si>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</si>
  <si>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</si>
  <si>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</si>
  <si>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</si>
  <si>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</si>
  <si>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</si>
  <si>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</si>
  <si>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</si>
  <si>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</si>
  <si>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</si>
  <si>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</si>
  <si>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</si>
  <si>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</si>
  <si>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</si>
  <si>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</si>
  <si>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</si>
  <si>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</si>
  <si>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</si>
  <si>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</si>
  <si>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</si>
  <si>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</si>
  <si>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</si>
  <si>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</si>
  <si>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</si>
  <si>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</si>
  <si>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</si>
  <si>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</si>
  <si>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</si>
  <si>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</si>
  <si>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</si>
  <si>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</si>
  <si>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</si>
  <si>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</si>
  <si>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</si>
  <si>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</si>
  <si>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</si>
  <si>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</si>
  <si>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</si>
  <si>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</si>
  <si>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</si>
  <si>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</si>
  <si>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</si>
  <si>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</si>
  <si>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</si>
  <si>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</si>
  <si>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</si>
  <si>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</si>
  <si>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</si>
  <si>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</si>
  <si>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</si>
  <si>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</si>
  <si>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</si>
  <si>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</si>
  <si>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</si>
  <si>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</si>
  <si>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</si>
  <si>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</si>
  <si>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</si>
  <si>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</si>
  <si>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</si>
  <si>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</si>
  <si>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</si>
  <si>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</si>
  <si>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</si>
  <si>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</si>
  <si>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</si>
  <si>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</si>
  <si>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</si>
  <si>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</si>
  <si>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</si>
  <si>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</si>
  <si>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</si>
  <si>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</si>
  <si>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</si>
  <si>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</si>
  <si>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</si>
  <si>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</si>
  <si>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</si>
  <si>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</si>
  <si>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</si>
  <si>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</si>
  <si>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</si>
  <si>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</si>
  <si>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</si>
  <si>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</si>
  <si>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</si>
  <si>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</si>
  <si>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</si>
  <si>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</si>
  <si>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</si>
  <si>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</si>
  <si>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</si>
  <si>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</si>
  <si>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</si>
  <si>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</si>
  <si>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</si>
  <si>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</si>
  <si>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</si>
  <si>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</si>
  <si>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</si>
  <si>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</si>
  <si>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</si>
  <si>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</si>
  <si>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</si>
  <si>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</si>
  <si>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</si>
  <si>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</si>
  <si>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</si>
  <si>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</si>
  <si>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</si>
  <si>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</si>
  <si>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</si>
  <si>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</si>
  <si>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</si>
  <si>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</si>
  <si>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</si>
  <si>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</si>
  <si>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</si>
  <si>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</si>
  <si>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</si>
  <si>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</si>
  <si>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</si>
  <si>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</si>
  <si>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</si>
  <si>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</si>
  <si>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</si>
  <si>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</si>
  <si>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</si>
  <si>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</si>
  <si>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</si>
  <si>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</si>
  <si>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</si>
  <si>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</si>
  <si>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</si>
  <si>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</si>
  <si>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</si>
  <si>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</si>
  <si>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</si>
  <si>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</si>
  <si>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</si>
  <si>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</si>
  <si>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</si>
  <si>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</si>
  <si>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</si>
  <si>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</si>
  <si>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</si>
  <si>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</si>
  <si>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</si>
  <si>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</si>
  <si>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</si>
  <si>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</si>
  <si>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</si>
  <si>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</si>
  <si>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</si>
  <si>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</si>
  <si>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</si>
  <si>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</si>
  <si>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</si>
  <si>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</si>
  <si>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</si>
  <si>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</si>
  <si>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</si>
  <si>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</si>
  <si>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</si>
  <si>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</si>
  <si>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</si>
  <si>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</si>
  <si>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</si>
  <si>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</si>
  <si>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</si>
  <si>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</si>
  <si>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</si>
  <si>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</si>
  <si>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</si>
  <si>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</si>
  <si>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</si>
  <si>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</si>
  <si>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</si>
  <si>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</si>
  <si>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</si>
  <si>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</si>
  <si>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</si>
  <si>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</si>
  <si>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</si>
  <si>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</si>
  <si>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</si>
  <si>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</si>
  <si>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</si>
  <si>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</si>
  <si>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</si>
  <si>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</si>
  <si>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</si>
  <si>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</si>
  <si>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</si>
  <si>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</si>
  <si>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</si>
  <si>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</si>
  <si>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</si>
  <si>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</si>
  <si>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</si>
  <si>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</si>
  <si>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</si>
  <si>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</si>
  <si>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</si>
  <si>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</si>
  <si>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</si>
  <si>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</si>
  <si>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</si>
  <si>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</si>
  <si>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</si>
  <si>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</si>
  <si>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</si>
  <si>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</si>
  <si>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</si>
  <si>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</si>
  <si>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Resistor_120_1_1206</t>
  </si>
  <si>
    <t>Резистор номиналом 120 Ом, в корпусе 1206 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</si>
</sst>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1" tableType="xml" totalsRowShown="0" headerRowDxfId="144" connectionId="6">
  <autoFilter ref="A1:M5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41">
      <xmlColumnPr mapId="30" xpath="/Schottky/Part/VoltageNominal_V" xmlDataType="string"/>
    </tableColumn>
    <tableColumn id="9" xr3:uid="{431126AD-34DC-40A1-9CB6-D627B7878BEA}" uniqueName="Current_A" name="Current (A)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2" tableType="xml" totalsRowShown="0" dataDxfId="139" connectionId="19">
  <autoFilter ref="A1:M12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nominal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5" tableType="xml" totalsRowShown="0" headerRowDxfId="125" connectionId="18">
  <autoFilter ref="A1:M15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5" tableType="xml" totalsRowShown="0" headerRowDxfId="118" dataDxfId="117" connectionId="14">
  <autoFilter ref="A1:O185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93">
      <xmlColumnPr mapId="84" xpath="/Rectifier_diodes/Part/RepetitivePeakReverseVoltage" xmlDataType="string"/>
    </tableColumn>
    <tableColumn id="9" xr3:uid="{EB5ACFA6-079B-4694-9B63-C1A08D4A6545}" uniqueName="Current" name="Current (A)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4" headerRowBorderDxfId="63" tableBorderDxfId="62" connectionId="2">
  <autoFilter ref="A1:N50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0" tableType="xml" totalsRowShown="0" headerRowDxfId="44" connectionId="9">
  <autoFilter ref="A1:R2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 (A)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Напряжение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19" tableType="xml" totalsRowShown="0" headerRowDxfId="19" dataDxfId="18" connectionId="11">
  <autoFilter ref="A1:N19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0" tableType="xml" totalsRowShown="0" headerRowDxfId="3" connectionId="7">
  <autoFilter ref="A1:L60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A2" zoomScale="55" zoomScaleNormal="55" workbookViewId="0">
      <selection activeCell="M53" sqref="M53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1796875" bestFit="1" customWidth="1"/>
    <col min="7" max="7" width="21.453125" bestFit="1" customWidth="1"/>
    <col min="8" max="8" width="22.81640625" bestFit="1" customWidth="1"/>
    <col min="9" max="9" width="18.1796875" bestFit="1" customWidth="1"/>
    <col min="10" max="10" width="16.453125" customWidth="1"/>
    <col min="11" max="11" width="14.54296875" customWidth="1"/>
    <col min="12" max="12" width="13.17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  <c r="M8" t="s">
        <v>1439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  <c r="M11" t="s">
        <v>1439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947</v>
      </c>
      <c r="M12" t="s">
        <v>1439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1206</v>
      </c>
      <c r="M13" t="s">
        <v>1439</v>
      </c>
    </row>
    <row r="14" spans="1:20" x14ac:dyDescent="0.35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  <c r="M14" t="s">
        <v>1439</v>
      </c>
    </row>
    <row r="15" spans="1:20" x14ac:dyDescent="0.35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  <c r="M15" t="s">
        <v>1439</v>
      </c>
    </row>
    <row r="16" spans="1:20" x14ac:dyDescent="0.35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  <c r="M16" t="s">
        <v>1439</v>
      </c>
    </row>
    <row r="17" spans="1:13" x14ac:dyDescent="0.35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1439</v>
      </c>
    </row>
    <row r="18" spans="1:13" x14ac:dyDescent="0.35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  <c r="M18" t="s">
        <v>1439</v>
      </c>
    </row>
    <row r="19" spans="1:13" x14ac:dyDescent="0.35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  <c r="M19" t="s">
        <v>1439</v>
      </c>
    </row>
    <row r="20" spans="1:13" x14ac:dyDescent="0.35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  <c r="M20" t="s">
        <v>1439</v>
      </c>
    </row>
    <row r="21" spans="1:13" x14ac:dyDescent="0.35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  <c r="M21" t="s">
        <v>1439</v>
      </c>
    </row>
    <row r="22" spans="1:13" x14ac:dyDescent="0.35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  <c r="M22" t="s">
        <v>1439</v>
      </c>
    </row>
    <row r="23" spans="1:13" x14ac:dyDescent="0.35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  <c r="M23" t="s">
        <v>1439</v>
      </c>
    </row>
    <row r="24" spans="1:13" x14ac:dyDescent="0.35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  <c r="M24" t="s">
        <v>1439</v>
      </c>
    </row>
    <row r="25" spans="1:13" x14ac:dyDescent="0.35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  <c r="M25" t="s">
        <v>1439</v>
      </c>
    </row>
    <row r="26" spans="1:13" x14ac:dyDescent="0.35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  <c r="M26" t="s">
        <v>1439</v>
      </c>
    </row>
    <row r="27" spans="1:13" x14ac:dyDescent="0.35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1439</v>
      </c>
    </row>
    <row r="28" spans="1:13" x14ac:dyDescent="0.35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  <c r="M28" t="s">
        <v>1439</v>
      </c>
    </row>
    <row r="29" spans="1:13" x14ac:dyDescent="0.35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13" x14ac:dyDescent="0.35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13" x14ac:dyDescent="0.35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13" x14ac:dyDescent="0.35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  <c r="M32" t="s">
        <v>1439</v>
      </c>
    </row>
    <row r="33" spans="1:13" x14ac:dyDescent="0.35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  <c r="M33" t="s">
        <v>1439</v>
      </c>
    </row>
    <row r="34" spans="1:13" x14ac:dyDescent="0.35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  <c r="M34" t="s">
        <v>1439</v>
      </c>
    </row>
    <row r="35" spans="1:13" x14ac:dyDescent="0.35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  <c r="M35" t="s">
        <v>1439</v>
      </c>
    </row>
    <row r="36" spans="1:13" x14ac:dyDescent="0.35">
      <c r="A36" t="s">
        <v>909</v>
      </c>
      <c r="B36" t="s">
        <v>910</v>
      </c>
      <c r="C36" s="2" t="str">
        <f>A36</f>
        <v>LTV354T</v>
      </c>
      <c r="D36" t="str">
        <f>CONCATENATE("Schematic\",E36,".SchLib")</f>
        <v>Schematic\LTV354.SchLib</v>
      </c>
      <c r="E36" t="s">
        <v>908</v>
      </c>
      <c r="F36" t="str">
        <f>CONCATENATE("Footprints\",G36,".PcbLib")</f>
        <v>Footprints\SOP4-2_54.PcbLib</v>
      </c>
      <c r="G36" t="s">
        <v>911</v>
      </c>
      <c r="M36" t="s">
        <v>1439</v>
      </c>
    </row>
    <row r="37" spans="1:13" x14ac:dyDescent="0.35">
      <c r="A37" t="s">
        <v>946</v>
      </c>
      <c r="B37" t="s">
        <v>945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947</v>
      </c>
    </row>
    <row r="38" spans="1:13" x14ac:dyDescent="0.35">
      <c r="A38" t="s">
        <v>1037</v>
      </c>
      <c r="B38" t="s">
        <v>1038</v>
      </c>
      <c r="C38" s="2" t="str">
        <f t="shared" ref="C38" si="15">A38</f>
        <v>USB2514BM2</v>
      </c>
      <c r="D38" t="s">
        <v>1131</v>
      </c>
      <c r="E38" s="2" t="s">
        <v>1037</v>
      </c>
      <c r="F38" t="str">
        <f>CONCATENATE("Footprints\",G38,".PcbLib")</f>
        <v>Footprints\VFQFN-36.PcbLib</v>
      </c>
      <c r="G38" t="s">
        <v>1039</v>
      </c>
    </row>
    <row r="39" spans="1:13" x14ac:dyDescent="0.35">
      <c r="A39" t="s">
        <v>1040</v>
      </c>
      <c r="B39" t="s">
        <v>1041</v>
      </c>
      <c r="C39" s="2" t="s">
        <v>1040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1042</v>
      </c>
    </row>
    <row r="40" spans="1:13" x14ac:dyDescent="0.35">
      <c r="A40" t="s">
        <v>1043</v>
      </c>
      <c r="B40" t="s">
        <v>1200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1044</v>
      </c>
    </row>
    <row r="41" spans="1:13" x14ac:dyDescent="0.35">
      <c r="A41" t="s">
        <v>1045</v>
      </c>
      <c r="B41" t="s">
        <v>1199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1197</v>
      </c>
      <c r="L41" t="s">
        <v>1201</v>
      </c>
    </row>
    <row r="42" spans="1:13" x14ac:dyDescent="0.35">
      <c r="A42" t="s">
        <v>1046</v>
      </c>
      <c r="B42" t="s">
        <v>1047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1048</v>
      </c>
      <c r="F42" t="str">
        <f>CONCATENATE("Footprints\",G27,".PcbLib")</f>
        <v>Footprints\SOT23-6.PcbLib</v>
      </c>
      <c r="G42" t="s">
        <v>52</v>
      </c>
    </row>
    <row r="43" spans="1:13" x14ac:dyDescent="0.35">
      <c r="A43" t="s">
        <v>1090</v>
      </c>
      <c r="B43" t="s">
        <v>1091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1132</v>
      </c>
    </row>
    <row r="44" spans="1:13" x14ac:dyDescent="0.35">
      <c r="A44" s="33" t="s">
        <v>1133</v>
      </c>
      <c r="B44" s="34" t="s">
        <v>1134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3" x14ac:dyDescent="0.35">
      <c r="A45" t="s">
        <v>1135</v>
      </c>
      <c r="B45" t="s">
        <v>1136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3" x14ac:dyDescent="0.35">
      <c r="A46" s="35" t="s">
        <v>1137</v>
      </c>
      <c r="B46" s="36" t="s">
        <v>1138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3" x14ac:dyDescent="0.35">
      <c r="A47" t="s">
        <v>1198</v>
      </c>
      <c r="B47" t="s">
        <v>1177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1198</v>
      </c>
      <c r="F47" t="str">
        <f t="shared" si="17"/>
        <v>Footprints\LQFP128_14x14_exposed_pad.PcbLib</v>
      </c>
      <c r="G47" t="s">
        <v>1178</v>
      </c>
      <c r="L47" t="s">
        <v>1179</v>
      </c>
      <c r="M47" t="s">
        <v>1439</v>
      </c>
    </row>
    <row r="48" spans="1:13" x14ac:dyDescent="0.35">
      <c r="A48" s="35" t="s">
        <v>1180</v>
      </c>
      <c r="B48" s="36" t="s">
        <v>1181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1390</v>
      </c>
    </row>
    <row r="49" spans="1:7" x14ac:dyDescent="0.35">
      <c r="A49" t="s">
        <v>1182</v>
      </c>
      <c r="B49" t="s">
        <v>1183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1184</v>
      </c>
    </row>
    <row r="50" spans="1:7" x14ac:dyDescent="0.35">
      <c r="A50" t="s">
        <v>1388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1389</v>
      </c>
    </row>
    <row r="51" spans="1:7" x14ac:dyDescent="0.35">
      <c r="A51" t="s">
        <v>1391</v>
      </c>
      <c r="B51" t="s">
        <v>1392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workbookViewId="0">
      <selection activeCell="F16" sqref="F16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179687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18" customWidth="1"/>
    <col min="10" max="10" width="13.179687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964</v>
      </c>
      <c r="K1" t="s">
        <v>1438</v>
      </c>
    </row>
    <row r="2" spans="1:11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1" x14ac:dyDescent="0.35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1" x14ac:dyDescent="0.35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1" x14ac:dyDescent="0.35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  <c r="K5" t="s">
        <v>1439</v>
      </c>
    </row>
    <row r="6" spans="1:11" x14ac:dyDescent="0.35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  <c r="K6" t="s">
        <v>1439</v>
      </c>
    </row>
    <row r="7" spans="1:11" x14ac:dyDescent="0.35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1" x14ac:dyDescent="0.35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1" x14ac:dyDescent="0.35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1" x14ac:dyDescent="0.35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1" x14ac:dyDescent="0.35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1" x14ac:dyDescent="0.35">
      <c r="A12" t="s">
        <v>1139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7" sqref="B7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  <col min="12" max="12" width="10.81640625" customWidth="1"/>
    <col min="13" max="13" width="15.1796875" customWidth="1"/>
  </cols>
  <sheetData>
    <row r="1" spans="1:14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964</v>
      </c>
      <c r="N1" t="s">
        <v>1438</v>
      </c>
    </row>
    <row r="2" spans="1:14" ht="13" customHeight="1" x14ac:dyDescent="0.35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4" x14ac:dyDescent="0.35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  <c r="N3" t="s">
        <v>1439</v>
      </c>
    </row>
    <row r="4" spans="1:14" x14ac:dyDescent="0.35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  <c r="N4" t="s">
        <v>1439</v>
      </c>
    </row>
    <row r="5" spans="1:14" x14ac:dyDescent="0.35">
      <c r="A5" t="s">
        <v>949</v>
      </c>
      <c r="B5" t="s">
        <v>948</v>
      </c>
      <c r="C5" t="s">
        <v>949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  <c r="N5" t="s">
        <v>1439</v>
      </c>
    </row>
    <row r="6" spans="1:14" x14ac:dyDescent="0.35">
      <c r="A6" t="s">
        <v>1435</v>
      </c>
      <c r="B6" t="s">
        <v>1441</v>
      </c>
      <c r="C6" t="s">
        <v>1435</v>
      </c>
      <c r="D6" s="2" t="s">
        <v>73</v>
      </c>
      <c r="E6" s="2" t="s">
        <v>74</v>
      </c>
      <c r="F6" s="2" t="s">
        <v>764</v>
      </c>
      <c r="G6" t="s">
        <v>765</v>
      </c>
      <c r="H6" s="2" t="s">
        <v>382</v>
      </c>
      <c r="I6" s="2" t="s">
        <v>606</v>
      </c>
      <c r="J6" s="2" t="s">
        <v>893</v>
      </c>
      <c r="K6" s="2" t="s">
        <v>1436</v>
      </c>
      <c r="L6" s="11">
        <v>0.02</v>
      </c>
      <c r="M6" t="s">
        <v>1437</v>
      </c>
      <c r="N6" t="s">
        <v>1439</v>
      </c>
    </row>
    <row r="7" spans="1:14" x14ac:dyDescent="0.35">
      <c r="H7" s="2"/>
      <c r="I7" s="2"/>
      <c r="J7" s="2"/>
      <c r="K7" s="2"/>
    </row>
    <row r="8" spans="1:14" x14ac:dyDescent="0.35">
      <c r="H8" s="2"/>
      <c r="I8" s="2"/>
      <c r="J8" s="2"/>
      <c r="K8" s="2"/>
    </row>
    <row r="9" spans="1:14" x14ac:dyDescent="0.35">
      <c r="H9" s="2"/>
      <c r="I9" s="2"/>
      <c r="J9" s="2"/>
      <c r="K9" s="2"/>
    </row>
    <row r="10" spans="1:14" x14ac:dyDescent="0.35">
      <c r="H10" s="2"/>
      <c r="I10" s="2"/>
      <c r="J10" s="2"/>
      <c r="K10" s="2"/>
    </row>
    <row r="11" spans="1:14" x14ac:dyDescent="0.35">
      <c r="H11" s="2"/>
      <c r="I11" s="2"/>
      <c r="J11" s="2"/>
      <c r="K11" s="2"/>
    </row>
    <row r="12" spans="1:14" x14ac:dyDescent="0.35">
      <c r="H12" s="2"/>
      <c r="I12" s="2"/>
      <c r="J12" s="2"/>
      <c r="K12" s="2"/>
    </row>
    <row r="13" spans="1:14" x14ac:dyDescent="0.35">
      <c r="H13" s="2"/>
      <c r="I13" s="2"/>
      <c r="J13" s="2"/>
      <c r="K13" s="2"/>
    </row>
    <row r="14" spans="1:14" x14ac:dyDescent="0.35">
      <c r="H14" s="2"/>
      <c r="I14" s="2"/>
      <c r="J14" s="2"/>
      <c r="K14" s="2"/>
    </row>
    <row r="15" spans="1:14" x14ac:dyDescent="0.35">
      <c r="H15" s="2"/>
      <c r="I15" s="2"/>
      <c r="J15" s="2"/>
      <c r="K15" s="2"/>
    </row>
    <row r="16" spans="1:14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2"/>
  <sheetViews>
    <sheetView zoomScale="85" zoomScaleNormal="85" workbookViewId="0">
      <selection activeCell="B17" sqref="B17"/>
    </sheetView>
  </sheetViews>
  <sheetFormatPr defaultRowHeight="14.5" x14ac:dyDescent="0.35"/>
  <cols>
    <col min="1" max="1" width="20.453125" customWidth="1"/>
    <col min="2" max="2" width="49.5429687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  <col min="12" max="12" width="13.17968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964</v>
      </c>
      <c r="M1" t="s">
        <v>1438</v>
      </c>
    </row>
    <row r="2" spans="1:13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3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1205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3" x14ac:dyDescent="0.35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3" x14ac:dyDescent="0.35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5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5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5">
      <c r="A9" t="s">
        <v>920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5">
      <c r="A10" t="s">
        <v>1140</v>
      </c>
      <c r="B10" t="s">
        <v>1141</v>
      </c>
      <c r="C10" t="str">
        <f>A10</f>
        <v>SMBJ16CA</v>
      </c>
      <c r="D10" t="str">
        <f>CONCATENATE("Schematic\TVS\",E10,".SchLib")</f>
        <v>Schematic\TVS\TVS_1_2dir.SchLib</v>
      </c>
      <c r="E10" t="s">
        <v>1205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5">
      <c r="A11" t="s">
        <v>1168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  <row r="12" spans="1:13" x14ac:dyDescent="0.35">
      <c r="A12" t="s">
        <v>1445</v>
      </c>
      <c r="B12" t="str">
        <f t="shared" ref="B12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" si="7">A12</f>
        <v>SMBJ16A</v>
      </c>
      <c r="D12" t="str">
        <f t="shared" ref="D12" si="8">CONCATENATE("Schematic\TVS\",E12,".SchLib")</f>
        <v>Schematic\TVS\TVS_1_1dir.SchLib</v>
      </c>
      <c r="E12" t="s">
        <v>80</v>
      </c>
      <c r="F12" t="str">
        <f t="shared" ref="F12" si="9">CONCATENATE("Footprints\",G12,".PcbLib")</f>
        <v>Footprints\SMB.PcbLib</v>
      </c>
      <c r="G12" t="s">
        <v>340</v>
      </c>
      <c r="H12">
        <v>16</v>
      </c>
      <c r="I12">
        <v>600</v>
      </c>
      <c r="J12" t="str">
        <f t="shared" ref="J12" si="10" xml:space="preserve"> CONCATENATE(H12," В")</f>
        <v>16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70" zoomScaleNormal="70" workbookViewId="0">
      <selection activeCell="M9" sqref="M9"/>
    </sheetView>
  </sheetViews>
  <sheetFormatPr defaultRowHeight="14.5" x14ac:dyDescent="0.35"/>
  <cols>
    <col min="1" max="1" width="14.81640625" customWidth="1"/>
    <col min="2" max="2" width="93.1796875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  <col min="12" max="12" width="13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917</v>
      </c>
      <c r="K2" t="s">
        <v>918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919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  <c r="M8" t="s">
        <v>1439</v>
      </c>
    </row>
    <row r="9" spans="1:19" ht="15.5" x14ac:dyDescent="0.35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  <c r="M9" t="s">
        <v>1439</v>
      </c>
    </row>
    <row r="10" spans="1:19" ht="15.5" x14ac:dyDescent="0.35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916</v>
      </c>
      <c r="H10" s="2"/>
      <c r="I10" s="2"/>
      <c r="J10" t="s">
        <v>795</v>
      </c>
      <c r="K10" t="s">
        <v>796</v>
      </c>
      <c r="M10" t="s">
        <v>1439</v>
      </c>
    </row>
    <row r="11" spans="1:19" ht="15.5" x14ac:dyDescent="0.35">
      <c r="A11" s="1" t="s">
        <v>1094</v>
      </c>
      <c r="B11" s="1" t="s">
        <v>1095</v>
      </c>
      <c r="C11" s="2" t="str">
        <f t="shared" si="2"/>
        <v>SIR426DP-T1-GE3</v>
      </c>
      <c r="D11" s="3" t="s">
        <v>1096</v>
      </c>
      <c r="E11" s="1" t="s">
        <v>1094</v>
      </c>
      <c r="F11" t="str">
        <f>CONCATENATE("Footprints\",G11,".PcbLib")</f>
        <v>Footprints\PowerPAK_SO-8.PcbLib</v>
      </c>
      <c r="G11" s="1" t="s">
        <v>1129</v>
      </c>
      <c r="J11" t="s">
        <v>1097</v>
      </c>
    </row>
    <row r="12" spans="1:19" ht="15.5" x14ac:dyDescent="0.35">
      <c r="A12" s="32" t="s">
        <v>1123</v>
      </c>
      <c r="B12" s="1" t="s">
        <v>1124</v>
      </c>
      <c r="C12" s="2" t="str">
        <f t="shared" si="2"/>
        <v>PDTC114ET</v>
      </c>
      <c r="D12" s="3" t="s">
        <v>1125</v>
      </c>
      <c r="E12" s="1" t="s">
        <v>1123</v>
      </c>
      <c r="F12" t="str">
        <f>CONCATENATE("Footprints\",G12,".PcbLib")</f>
        <v>Footprints\SOT23-3.PcbLib</v>
      </c>
      <c r="G12" s="3" t="s">
        <v>18</v>
      </c>
      <c r="J12" t="s">
        <v>1127</v>
      </c>
      <c r="K12" t="s">
        <v>1126</v>
      </c>
    </row>
    <row r="13" spans="1:19" ht="15.5" x14ac:dyDescent="0.35">
      <c r="A13" s="1" t="s">
        <v>1142</v>
      </c>
      <c r="B13" s="1" t="s">
        <v>5</v>
      </c>
      <c r="C13" s="2" t="str">
        <f t="shared" si="2"/>
        <v>IRFH7084</v>
      </c>
      <c r="D13" s="1" t="s">
        <v>1143</v>
      </c>
      <c r="E13" s="1" t="s">
        <v>1144</v>
      </c>
      <c r="F13" t="str">
        <f>CONCATENATE("Footprints\",G13,".PcbLib")</f>
        <v>Footprints\PQFN_5x6.PcbLib</v>
      </c>
      <c r="G13" s="1" t="s">
        <v>1145</v>
      </c>
      <c r="J13" t="s">
        <v>1097</v>
      </c>
      <c r="K13" t="s">
        <v>1146</v>
      </c>
    </row>
    <row r="14" spans="1:19" ht="15.5" x14ac:dyDescent="0.35">
      <c r="A14" s="1" t="s">
        <v>1173</v>
      </c>
      <c r="B14" s="1" t="s">
        <v>1175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1174</v>
      </c>
    </row>
    <row r="15" spans="1:19" ht="15.5" x14ac:dyDescent="0.35">
      <c r="A15" s="1" t="s">
        <v>1176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1097</v>
      </c>
      <c r="K15" t="s">
        <v>919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abSelected="1" topLeftCell="B155" zoomScaleNormal="100" workbookViewId="0">
      <selection activeCell="H187" sqref="H187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41.1796875" customWidth="1"/>
    <col min="11" max="11" width="18.1796875" customWidth="1"/>
    <col min="12" max="12" width="41.179687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964</v>
      </c>
      <c r="O1" s="1" t="s">
        <v>1438</v>
      </c>
    </row>
    <row r="2" spans="1:15" ht="15.5" x14ac:dyDescent="0.35">
      <c r="A2" s="3" t="s">
        <v>133</v>
      </c>
      <c r="B2" s="3" t="s">
        <v>1208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  <c r="O2" s="1"/>
    </row>
    <row r="3" spans="1:15" ht="15.5" x14ac:dyDescent="0.35">
      <c r="A3" s="3" t="s">
        <v>137</v>
      </c>
      <c r="B3" s="3" t="s">
        <v>1209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  <c r="O3" s="1"/>
    </row>
    <row r="4" spans="1:15" ht="15.5" x14ac:dyDescent="0.35">
      <c r="A4" s="3" t="s">
        <v>139</v>
      </c>
      <c r="B4" s="3" t="s">
        <v>1211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  <c r="O4" s="1"/>
    </row>
    <row r="5" spans="1:15" ht="15.5" x14ac:dyDescent="0.35">
      <c r="A5" s="3" t="s">
        <v>141</v>
      </c>
      <c r="B5" s="3" t="s">
        <v>1210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  <c r="O5" s="1"/>
    </row>
    <row r="6" spans="1:15" ht="15.5" x14ac:dyDescent="0.35">
      <c r="A6" s="3" t="s">
        <v>143</v>
      </c>
      <c r="B6" s="3" t="s">
        <v>1214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  <c r="O6" s="1"/>
    </row>
    <row r="7" spans="1:15" ht="15.5" x14ac:dyDescent="0.35">
      <c r="A7" s="3" t="s">
        <v>145</v>
      </c>
      <c r="B7" s="3" t="s">
        <v>1212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  <c r="O7" s="1"/>
    </row>
    <row r="8" spans="1:15" ht="15.5" x14ac:dyDescent="0.35">
      <c r="A8" s="3" t="s">
        <v>147</v>
      </c>
      <c r="B8" s="3" t="s">
        <v>1213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  <c r="O8" s="1"/>
    </row>
    <row r="9" spans="1:15" ht="15.5" x14ac:dyDescent="0.35">
      <c r="A9" s="3" t="s">
        <v>149</v>
      </c>
      <c r="B9" s="3" t="s">
        <v>1215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  <c r="O9" s="1"/>
    </row>
    <row r="10" spans="1:15" ht="15.5" x14ac:dyDescent="0.35">
      <c r="A10" s="3" t="s">
        <v>151</v>
      </c>
      <c r="B10" s="3" t="s">
        <v>1216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  <c r="O10" s="1"/>
    </row>
    <row r="11" spans="1:15" ht="15.5" x14ac:dyDescent="0.35">
      <c r="A11" s="3" t="s">
        <v>153</v>
      </c>
      <c r="B11" s="3" t="s">
        <v>1217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  <c r="O11" s="1"/>
    </row>
    <row r="12" spans="1:15" ht="15.5" x14ac:dyDescent="0.35">
      <c r="A12" s="3" t="s">
        <v>460</v>
      </c>
      <c r="B12" s="3" t="s">
        <v>1219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  <c r="O12" s="1"/>
    </row>
    <row r="13" spans="1:15" ht="15.5" x14ac:dyDescent="0.35">
      <c r="A13" s="3" t="s">
        <v>461</v>
      </c>
      <c r="B13" s="3" t="s">
        <v>1220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  <c r="O13" s="1"/>
    </row>
    <row r="14" spans="1:15" ht="15.5" x14ac:dyDescent="0.35">
      <c r="A14" s="3" t="s">
        <v>462</v>
      </c>
      <c r="B14" s="3" t="s">
        <v>1218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  <c r="O14" s="1"/>
    </row>
    <row r="15" spans="1:15" ht="15.5" x14ac:dyDescent="0.35">
      <c r="A15" s="3" t="s">
        <v>463</v>
      </c>
      <c r="B15" s="3" t="s">
        <v>1223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  <c r="O15" s="1"/>
    </row>
    <row r="16" spans="1:15" ht="15.5" x14ac:dyDescent="0.35">
      <c r="A16" s="3" t="s">
        <v>464</v>
      </c>
      <c r="B16" s="3" t="s">
        <v>1222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  <c r="O16" s="1"/>
    </row>
    <row r="17" spans="1:15" ht="15.5" x14ac:dyDescent="0.35">
      <c r="A17" s="3" t="s">
        <v>465</v>
      </c>
      <c r="B17" s="3" t="s">
        <v>1221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  <c r="O17" s="1"/>
    </row>
    <row r="18" spans="1:15" ht="15.5" x14ac:dyDescent="0.35">
      <c r="A18" s="3" t="s">
        <v>466</v>
      </c>
      <c r="B18" s="3" t="s">
        <v>1224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  <c r="O18" s="1"/>
    </row>
    <row r="19" spans="1:15" ht="15.5" x14ac:dyDescent="0.35">
      <c r="A19" s="3" t="s">
        <v>155</v>
      </c>
      <c r="B19" s="3" t="s">
        <v>1226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  <c r="O19" s="1"/>
    </row>
    <row r="20" spans="1:15" ht="15.5" x14ac:dyDescent="0.35">
      <c r="A20" s="3" t="s">
        <v>157</v>
      </c>
      <c r="B20" s="3" t="s">
        <v>1225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  <c r="O20" s="1"/>
    </row>
    <row r="21" spans="1:15" ht="15.5" x14ac:dyDescent="0.35">
      <c r="A21" s="3" t="s">
        <v>159</v>
      </c>
      <c r="B21" s="3" t="s">
        <v>1227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  <c r="O21" s="1"/>
    </row>
    <row r="22" spans="1:15" ht="15.5" x14ac:dyDescent="0.35">
      <c r="A22" s="3" t="s">
        <v>161</v>
      </c>
      <c r="B22" s="3" t="s">
        <v>1228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  <c r="O22" s="1"/>
    </row>
    <row r="23" spans="1:15" ht="15.5" x14ac:dyDescent="0.35">
      <c r="A23" s="3" t="s">
        <v>163</v>
      </c>
      <c r="B23" s="3" t="s">
        <v>1229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  <c r="O23" s="1"/>
    </row>
    <row r="24" spans="1:15" ht="15.5" x14ac:dyDescent="0.35">
      <c r="A24" s="3" t="s">
        <v>513</v>
      </c>
      <c r="B24" s="3" t="s">
        <v>1230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  <c r="O24" s="1"/>
    </row>
    <row r="25" spans="1:15" ht="15.5" x14ac:dyDescent="0.35">
      <c r="A25" s="3" t="s">
        <v>165</v>
      </c>
      <c r="B25" s="3" t="s">
        <v>1231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  <c r="O25" s="1"/>
    </row>
    <row r="26" spans="1:15" ht="15.5" x14ac:dyDescent="0.35">
      <c r="A26" s="3" t="s">
        <v>167</v>
      </c>
      <c r="B26" s="3" t="s">
        <v>1232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  <c r="O26" s="1"/>
    </row>
    <row r="27" spans="1:15" ht="15.5" x14ac:dyDescent="0.35">
      <c r="A27" s="3" t="s">
        <v>168</v>
      </c>
      <c r="B27" s="3" t="s">
        <v>1233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  <c r="O27" s="1"/>
    </row>
    <row r="28" spans="1:15" ht="15.5" x14ac:dyDescent="0.35">
      <c r="A28" s="3" t="s">
        <v>169</v>
      </c>
      <c r="B28" s="3" t="s">
        <v>1234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  <c r="O28" s="1"/>
    </row>
    <row r="29" spans="1:15" ht="15.5" x14ac:dyDescent="0.35">
      <c r="A29" s="3" t="s">
        <v>170</v>
      </c>
      <c r="B29" s="3" t="s">
        <v>1235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  <c r="O29" s="1"/>
    </row>
    <row r="30" spans="1:15" ht="15.5" x14ac:dyDescent="0.35">
      <c r="A30" s="3" t="s">
        <v>171</v>
      </c>
      <c r="B30" s="3" t="s">
        <v>1236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  <c r="O30" s="1"/>
    </row>
    <row r="31" spans="1:15" ht="15.5" x14ac:dyDescent="0.35">
      <c r="A31" s="3" t="s">
        <v>172</v>
      </c>
      <c r="B31" s="3" t="s">
        <v>1237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  <c r="O31" s="1"/>
    </row>
    <row r="32" spans="1:15" ht="15.5" x14ac:dyDescent="0.35">
      <c r="A32" s="3" t="s">
        <v>173</v>
      </c>
      <c r="B32" s="3" t="s">
        <v>1238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  <c r="O32" s="1"/>
    </row>
    <row r="33" spans="1:15" ht="15.5" x14ac:dyDescent="0.35">
      <c r="A33" s="3" t="s">
        <v>174</v>
      </c>
      <c r="B33" s="3" t="s">
        <v>1239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  <c r="O33" s="1"/>
    </row>
    <row r="34" spans="1:15" ht="15.5" x14ac:dyDescent="0.35">
      <c r="A34" s="3" t="s">
        <v>175</v>
      </c>
      <c r="B34" s="3" t="s">
        <v>1240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  <c r="O34" s="1"/>
    </row>
    <row r="35" spans="1:15" ht="15.5" x14ac:dyDescent="0.35">
      <c r="A35" s="3" t="s">
        <v>176</v>
      </c>
      <c r="B35" s="3" t="s">
        <v>1241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  <c r="O35" s="1"/>
    </row>
    <row r="36" spans="1:15" ht="15.5" x14ac:dyDescent="0.35">
      <c r="A36" s="3" t="s">
        <v>467</v>
      </c>
      <c r="B36" s="3" t="s">
        <v>1242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  <c r="O36" s="1"/>
    </row>
    <row r="37" spans="1:15" ht="15.5" x14ac:dyDescent="0.35">
      <c r="A37" s="3" t="s">
        <v>468</v>
      </c>
      <c r="B37" s="3" t="s">
        <v>1243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  <c r="O37" s="1"/>
    </row>
    <row r="38" spans="1:15" ht="15.5" x14ac:dyDescent="0.35">
      <c r="A38" s="3" t="s">
        <v>469</v>
      </c>
      <c r="B38" s="3" t="s">
        <v>1244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  <c r="O38" s="1"/>
    </row>
    <row r="39" spans="1:15" ht="15.5" x14ac:dyDescent="0.35">
      <c r="A39" s="3" t="s">
        <v>470</v>
      </c>
      <c r="B39" s="3" t="s">
        <v>1245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  <c r="O39" s="1"/>
    </row>
    <row r="40" spans="1:15" ht="15.5" x14ac:dyDescent="0.35">
      <c r="A40" s="3" t="s">
        <v>471</v>
      </c>
      <c r="B40" s="3" t="s">
        <v>1246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  <c r="O40" s="1"/>
    </row>
    <row r="41" spans="1:15" ht="15.5" x14ac:dyDescent="0.35">
      <c r="A41" s="3" t="s">
        <v>472</v>
      </c>
      <c r="B41" s="3" t="s">
        <v>1247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  <c r="O41" s="1"/>
    </row>
    <row r="42" spans="1:15" ht="15.5" x14ac:dyDescent="0.35">
      <c r="A42" s="3" t="s">
        <v>473</v>
      </c>
      <c r="B42" s="3" t="s">
        <v>1249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  <c r="O42" s="1"/>
    </row>
    <row r="43" spans="1:15" ht="15.5" x14ac:dyDescent="0.35">
      <c r="A43" s="3" t="s">
        <v>177</v>
      </c>
      <c r="B43" s="3" t="s">
        <v>1248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  <c r="O43" s="1"/>
    </row>
    <row r="44" spans="1:15" ht="15.5" x14ac:dyDescent="0.35">
      <c r="A44" s="3" t="s">
        <v>178</v>
      </c>
      <c r="B44" s="3" t="s">
        <v>1250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  <c r="O44" s="1"/>
    </row>
    <row r="45" spans="1:15" ht="15.5" x14ac:dyDescent="0.35">
      <c r="A45" s="3" t="s">
        <v>179</v>
      </c>
      <c r="B45" s="3" t="s">
        <v>1251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  <c r="O45" s="1"/>
    </row>
    <row r="46" spans="1:15" ht="15.5" x14ac:dyDescent="0.35">
      <c r="A46" s="3" t="s">
        <v>180</v>
      </c>
      <c r="B46" s="3" t="s">
        <v>1252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  <c r="O46" s="1"/>
    </row>
    <row r="47" spans="1:15" ht="15.5" x14ac:dyDescent="0.35">
      <c r="A47" s="3" t="s">
        <v>181</v>
      </c>
      <c r="B47" s="3" t="s">
        <v>1253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  <c r="O47" s="1"/>
    </row>
    <row r="48" spans="1:15" ht="15.5" x14ac:dyDescent="0.35">
      <c r="A48" s="3" t="s">
        <v>514</v>
      </c>
      <c r="B48" s="3" t="s">
        <v>1254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  <c r="O48" s="1"/>
    </row>
    <row r="49" spans="1:15" ht="15.5" x14ac:dyDescent="0.35">
      <c r="A49" s="3" t="s">
        <v>182</v>
      </c>
      <c r="B49" s="3" t="s">
        <v>1255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  <c r="O49" s="1"/>
    </row>
    <row r="50" spans="1:15" ht="15.5" x14ac:dyDescent="0.35">
      <c r="A50" s="3" t="s">
        <v>183</v>
      </c>
      <c r="B50" s="3" t="s">
        <v>1256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  <c r="O50" s="1"/>
    </row>
    <row r="51" spans="1:15" ht="15.5" x14ac:dyDescent="0.35">
      <c r="A51" s="3" t="s">
        <v>184</v>
      </c>
      <c r="B51" s="3" t="s">
        <v>1258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  <c r="O51" s="1"/>
    </row>
    <row r="52" spans="1:15" ht="15.5" x14ac:dyDescent="0.35">
      <c r="A52" s="3" t="s">
        <v>185</v>
      </c>
      <c r="B52" s="3" t="s">
        <v>1257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  <c r="O52" s="1"/>
    </row>
    <row r="53" spans="1:15" ht="15.5" x14ac:dyDescent="0.35">
      <c r="A53" s="3" t="s">
        <v>186</v>
      </c>
      <c r="B53" s="3" t="s">
        <v>1259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  <c r="O53" s="1"/>
    </row>
    <row r="54" spans="1:15" ht="15.5" x14ac:dyDescent="0.35">
      <c r="A54" s="3" t="s">
        <v>187</v>
      </c>
      <c r="B54" s="3" t="s">
        <v>1260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  <c r="O54" s="1"/>
    </row>
    <row r="55" spans="1:15" ht="15.5" x14ac:dyDescent="0.35">
      <c r="A55" s="3" t="s">
        <v>188</v>
      </c>
      <c r="B55" s="3" t="s">
        <v>1261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  <c r="O55" s="1"/>
    </row>
    <row r="56" spans="1:15" ht="15.5" x14ac:dyDescent="0.35">
      <c r="A56" s="3" t="s">
        <v>189</v>
      </c>
      <c r="B56" s="3" t="s">
        <v>1262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  <c r="O56" s="1"/>
    </row>
    <row r="57" spans="1:15" ht="15.5" x14ac:dyDescent="0.35">
      <c r="A57" s="3" t="s">
        <v>190</v>
      </c>
      <c r="B57" s="3" t="s">
        <v>1263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  <c r="O57" s="1"/>
    </row>
    <row r="58" spans="1:15" ht="15.5" x14ac:dyDescent="0.35">
      <c r="A58" s="3" t="s">
        <v>191</v>
      </c>
      <c r="B58" s="3" t="s">
        <v>1264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1026</v>
      </c>
      <c r="K58" s="1" t="s">
        <v>1034</v>
      </c>
      <c r="L58" s="1"/>
      <c r="M58" s="1"/>
      <c r="N58" s="24"/>
      <c r="O58" s="1"/>
    </row>
    <row r="59" spans="1:15" ht="15.5" x14ac:dyDescent="0.35">
      <c r="A59" s="3" t="s">
        <v>192</v>
      </c>
      <c r="B59" s="3" t="s">
        <v>1265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  <c r="O59" s="1"/>
    </row>
    <row r="60" spans="1:15" ht="15.5" x14ac:dyDescent="0.35">
      <c r="A60" s="3" t="s">
        <v>474</v>
      </c>
      <c r="B60" s="3" t="s">
        <v>1267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1026</v>
      </c>
      <c r="K60" s="1" t="s">
        <v>1035</v>
      </c>
      <c r="L60" s="1"/>
      <c r="M60" s="1"/>
      <c r="N60" s="24"/>
      <c r="O60" s="1"/>
    </row>
    <row r="61" spans="1:15" ht="15.5" x14ac:dyDescent="0.35">
      <c r="A61" s="3" t="s">
        <v>475</v>
      </c>
      <c r="B61" s="3" t="s">
        <v>1266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  <c r="O61" s="1"/>
    </row>
    <row r="62" spans="1:15" ht="15.5" x14ac:dyDescent="0.35">
      <c r="A62" s="3" t="s">
        <v>476</v>
      </c>
      <c r="B62" s="3" t="s">
        <v>1268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  <c r="O62" s="1"/>
    </row>
    <row r="63" spans="1:15" ht="15.5" x14ac:dyDescent="0.35">
      <c r="A63" s="3" t="s">
        <v>477</v>
      </c>
      <c r="B63" s="3" t="s">
        <v>1269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  <c r="O63" s="1"/>
    </row>
    <row r="64" spans="1:15" ht="15.5" x14ac:dyDescent="0.35">
      <c r="A64" s="3" t="s">
        <v>478</v>
      </c>
      <c r="B64" s="3" t="s">
        <v>1270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  <c r="O64" s="1"/>
    </row>
    <row r="65" spans="1:15" ht="15.5" x14ac:dyDescent="0.35">
      <c r="A65" s="3" t="s">
        <v>479</v>
      </c>
      <c r="B65" s="3" t="s">
        <v>1271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  <c r="O65" s="1"/>
    </row>
    <row r="66" spans="1:15" ht="15.5" x14ac:dyDescent="0.35">
      <c r="A66" s="3" t="s">
        <v>480</v>
      </c>
      <c r="B66" s="3" t="s">
        <v>1272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1026</v>
      </c>
      <c r="K66" s="1" t="s">
        <v>1036</v>
      </c>
      <c r="L66" s="1"/>
      <c r="M66" s="1"/>
      <c r="N66" s="24"/>
      <c r="O66" s="1"/>
    </row>
    <row r="67" spans="1:15" ht="15.5" x14ac:dyDescent="0.35">
      <c r="A67" s="3" t="s">
        <v>193</v>
      </c>
      <c r="B67" s="3" t="s">
        <v>1273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  <c r="O67" s="1"/>
    </row>
    <row r="68" spans="1:15" ht="15.5" x14ac:dyDescent="0.35">
      <c r="A68" s="3" t="s">
        <v>194</v>
      </c>
      <c r="B68" s="3" t="s">
        <v>1274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  <c r="O68" s="1"/>
    </row>
    <row r="69" spans="1:15" ht="15.5" x14ac:dyDescent="0.35">
      <c r="A69" s="3" t="s">
        <v>195</v>
      </c>
      <c r="B69" s="3" t="s">
        <v>1275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  <c r="O69" s="1"/>
    </row>
    <row r="70" spans="1:15" ht="15.5" x14ac:dyDescent="0.35">
      <c r="A70" s="3" t="s">
        <v>196</v>
      </c>
      <c r="B70" s="3" t="s">
        <v>1276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  <c r="O70" s="1"/>
    </row>
    <row r="71" spans="1:15" ht="15.5" x14ac:dyDescent="0.35">
      <c r="A71" s="3" t="s">
        <v>197</v>
      </c>
      <c r="B71" s="3" t="s">
        <v>1277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  <c r="O71" s="1"/>
    </row>
    <row r="72" spans="1:15" ht="15.5" x14ac:dyDescent="0.35">
      <c r="A72" s="3" t="s">
        <v>515</v>
      </c>
      <c r="B72" s="3" t="s">
        <v>1278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  <c r="O72" s="1"/>
    </row>
    <row r="73" spans="1:15" ht="15.5" x14ac:dyDescent="0.35">
      <c r="A73" s="3" t="s">
        <v>198</v>
      </c>
      <c r="B73" s="3" t="s">
        <v>1279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  <c r="O73" s="1"/>
    </row>
    <row r="74" spans="1:15" ht="15.5" x14ac:dyDescent="0.35">
      <c r="A74" s="3" t="s">
        <v>481</v>
      </c>
      <c r="B74" s="3" t="s">
        <v>1280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1026</v>
      </c>
      <c r="K74" s="1" t="s">
        <v>1027</v>
      </c>
      <c r="L74" s="1"/>
      <c r="M74" s="1"/>
      <c r="N74" s="24"/>
      <c r="O74" s="1"/>
    </row>
    <row r="75" spans="1:15" ht="15.5" x14ac:dyDescent="0.35">
      <c r="A75" s="3" t="s">
        <v>199</v>
      </c>
      <c r="B75" s="3" t="s">
        <v>1281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  <c r="O75" s="1"/>
    </row>
    <row r="76" spans="1:15" ht="15.5" x14ac:dyDescent="0.35">
      <c r="A76" s="3" t="s">
        <v>201</v>
      </c>
      <c r="B76" s="3" t="s">
        <v>1282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5">
      <c r="A77" s="3" t="s">
        <v>1105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1106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  <c r="O77" s="1"/>
    </row>
    <row r="78" spans="1:15" ht="15.5" x14ac:dyDescent="0.35">
      <c r="A78" s="3" t="s">
        <v>203</v>
      </c>
      <c r="B78" s="3" t="s">
        <v>1284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  <c r="O78" s="1"/>
    </row>
    <row r="79" spans="1:15" ht="15.5" x14ac:dyDescent="0.35">
      <c r="A79" s="3" t="s">
        <v>205</v>
      </c>
      <c r="B79" s="3" t="s">
        <v>1285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  <c r="O79" s="1"/>
    </row>
    <row r="80" spans="1:15" ht="15.5" x14ac:dyDescent="0.35">
      <c r="A80" s="3" t="s">
        <v>207</v>
      </c>
      <c r="B80" s="3" t="s">
        <v>1286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  <c r="O80" s="1"/>
    </row>
    <row r="81" spans="1:15" ht="15.5" x14ac:dyDescent="0.35">
      <c r="A81" s="3" t="s">
        <v>209</v>
      </c>
      <c r="B81" s="3" t="s">
        <v>1287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  <c r="O81" s="1"/>
    </row>
    <row r="82" spans="1:15" ht="15.5" x14ac:dyDescent="0.35">
      <c r="A82" s="3" t="s">
        <v>482</v>
      </c>
      <c r="B82" s="3" t="s">
        <v>1288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1026</v>
      </c>
      <c r="K82" s="1" t="s">
        <v>1028</v>
      </c>
      <c r="L82" s="1"/>
      <c r="M82" s="1"/>
      <c r="N82" s="24"/>
      <c r="O82" s="1"/>
    </row>
    <row r="83" spans="1:15" ht="15.5" x14ac:dyDescent="0.35">
      <c r="A83" s="3" t="s">
        <v>211</v>
      </c>
      <c r="B83" s="3" t="s">
        <v>1289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  <c r="O83" s="1"/>
    </row>
    <row r="84" spans="1:15" ht="15.5" x14ac:dyDescent="0.35">
      <c r="A84" s="3" t="s">
        <v>213</v>
      </c>
      <c r="B84" s="3" t="s">
        <v>1290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  <c r="O84" s="1"/>
    </row>
    <row r="85" spans="1:15" ht="15.5" x14ac:dyDescent="0.35">
      <c r="A85" s="3" t="s">
        <v>483</v>
      </c>
      <c r="B85" s="3" t="s">
        <v>1291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  <c r="O85" s="1"/>
    </row>
    <row r="86" spans="1:15" ht="15.5" x14ac:dyDescent="0.35">
      <c r="A86" s="3" t="s">
        <v>484</v>
      </c>
      <c r="B86" s="3" t="s">
        <v>1292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  <c r="O86" s="1"/>
    </row>
    <row r="87" spans="1:15" ht="15.5" x14ac:dyDescent="0.35">
      <c r="A87" s="3" t="s">
        <v>485</v>
      </c>
      <c r="B87" s="3" t="s">
        <v>1293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978</v>
      </c>
      <c r="K87" s="1" t="s">
        <v>979</v>
      </c>
      <c r="L87" s="1"/>
      <c r="M87" s="1"/>
      <c r="N87" s="25"/>
      <c r="O87" s="1"/>
    </row>
    <row r="88" spans="1:15" ht="15.5" x14ac:dyDescent="0.35">
      <c r="A88" s="3" t="s">
        <v>486</v>
      </c>
      <c r="B88" s="3" t="s">
        <v>1294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  <c r="O88" s="1"/>
    </row>
    <row r="89" spans="1:15" ht="15.5" x14ac:dyDescent="0.35">
      <c r="A89" s="3" t="s">
        <v>487</v>
      </c>
      <c r="B89" s="3" t="s">
        <v>1295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  <c r="O89" s="1"/>
    </row>
    <row r="90" spans="1:15" ht="15.5" x14ac:dyDescent="0.35">
      <c r="A90" s="3" t="s">
        <v>488</v>
      </c>
      <c r="B90" s="3" t="s">
        <v>1296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  <c r="O90" s="1"/>
    </row>
    <row r="91" spans="1:15" ht="15.5" x14ac:dyDescent="0.35">
      <c r="A91" s="3" t="s">
        <v>489</v>
      </c>
      <c r="B91" s="3" t="s">
        <v>1297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1026</v>
      </c>
      <c r="K91" s="1" t="s">
        <v>1029</v>
      </c>
      <c r="L91" s="1"/>
      <c r="M91" s="1"/>
      <c r="N91" s="25"/>
      <c r="O91" s="1"/>
    </row>
    <row r="92" spans="1:15" ht="15.5" x14ac:dyDescent="0.35">
      <c r="A92" s="3" t="s">
        <v>215</v>
      </c>
      <c r="B92" s="3" t="s">
        <v>1298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  <c r="O92" s="1"/>
    </row>
    <row r="93" spans="1:15" ht="15.5" x14ac:dyDescent="0.35">
      <c r="A93" s="3" t="s">
        <v>217</v>
      </c>
      <c r="B93" s="3" t="s">
        <v>1299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  <c r="O93" s="1"/>
    </row>
    <row r="94" spans="1:15" ht="15.5" x14ac:dyDescent="0.35">
      <c r="A94" s="3" t="s">
        <v>219</v>
      </c>
      <c r="B94" s="3" t="s">
        <v>1300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  <c r="O94" s="1"/>
    </row>
    <row r="95" spans="1:15" ht="15.5" x14ac:dyDescent="0.35">
      <c r="A95" s="3" t="s">
        <v>221</v>
      </c>
      <c r="B95" s="3" t="s">
        <v>1301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  <c r="O95" s="1"/>
    </row>
    <row r="96" spans="1:15" ht="15.5" x14ac:dyDescent="0.35">
      <c r="A96" s="3" t="s">
        <v>223</v>
      </c>
      <c r="B96" s="3" t="s">
        <v>1302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  <c r="O96" s="1"/>
    </row>
    <row r="97" spans="1:15" ht="15.5" x14ac:dyDescent="0.35">
      <c r="A97" s="3" t="s">
        <v>516</v>
      </c>
      <c r="B97" s="3" t="s">
        <v>1303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  <c r="O97" s="1"/>
    </row>
    <row r="98" spans="1:15" ht="15.5" x14ac:dyDescent="0.35">
      <c r="A98" s="3" t="s">
        <v>225</v>
      </c>
      <c r="B98" s="3" t="s">
        <v>1304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5">
      <c r="A99" s="3" t="s">
        <v>227</v>
      </c>
      <c r="B99" s="3" t="s">
        <v>1305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976</v>
      </c>
      <c r="K99" s="1" t="s">
        <v>977</v>
      </c>
      <c r="L99" s="1" t="s">
        <v>1026</v>
      </c>
      <c r="M99" s="1" t="s">
        <v>1030</v>
      </c>
      <c r="N99" s="25"/>
      <c r="O99" s="1"/>
    </row>
    <row r="100" spans="1:15" ht="15" customHeight="1" x14ac:dyDescent="0.35">
      <c r="A100" s="3" t="s">
        <v>1103</v>
      </c>
      <c r="B100" s="3" t="s">
        <v>1306</v>
      </c>
      <c r="C100" s="3" t="s">
        <v>26</v>
      </c>
      <c r="D100" s="3" t="s">
        <v>29</v>
      </c>
      <c r="E100" s="3" t="s">
        <v>26</v>
      </c>
      <c r="F100" s="3" t="s">
        <v>1104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5" x14ac:dyDescent="0.35">
      <c r="A101" s="3" t="s">
        <v>229</v>
      </c>
      <c r="B101" s="3" t="s">
        <v>1307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5" x14ac:dyDescent="0.35">
      <c r="A102" s="3" t="s">
        <v>490</v>
      </c>
      <c r="B102" s="3" t="s">
        <v>1308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5">
      <c r="A103" s="3" t="s">
        <v>1107</v>
      </c>
      <c r="B103" s="3" t="s">
        <v>1309</v>
      </c>
      <c r="C103" s="3" t="s">
        <v>26</v>
      </c>
      <c r="D103" s="3" t="s">
        <v>29</v>
      </c>
      <c r="E103" s="3" t="s">
        <v>26</v>
      </c>
      <c r="F103" s="3" t="s">
        <v>1108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5" x14ac:dyDescent="0.35">
      <c r="A104" s="3" t="s">
        <v>231</v>
      </c>
      <c r="B104" s="3" t="s">
        <v>1310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5" x14ac:dyDescent="0.35">
      <c r="A105" s="3" t="s">
        <v>233</v>
      </c>
      <c r="B105" s="3" t="s">
        <v>1311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5" x14ac:dyDescent="0.35">
      <c r="A106" s="3" t="s">
        <v>235</v>
      </c>
      <c r="B106" s="3" t="s">
        <v>1312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5" x14ac:dyDescent="0.35">
      <c r="A107" s="3" t="s">
        <v>237</v>
      </c>
      <c r="B107" s="3" t="s">
        <v>1313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5" x14ac:dyDescent="0.35">
      <c r="A108" s="3" t="s">
        <v>239</v>
      </c>
      <c r="B108" s="3" t="s">
        <v>1314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1026</v>
      </c>
      <c r="K108" s="1" t="s">
        <v>1031</v>
      </c>
      <c r="L108" s="1"/>
      <c r="M108" s="1"/>
      <c r="N108" s="24"/>
      <c r="O108" s="1"/>
    </row>
    <row r="109" spans="1:15" ht="15.5" x14ac:dyDescent="0.35">
      <c r="A109" s="3" t="s">
        <v>241</v>
      </c>
      <c r="B109" s="3" t="s">
        <v>1315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1026</v>
      </c>
      <c r="K109" s="1" t="s">
        <v>1032</v>
      </c>
      <c r="L109" s="1"/>
      <c r="M109" s="1"/>
      <c r="N109" s="25"/>
      <c r="O109" s="1"/>
    </row>
    <row r="110" spans="1:15" ht="15.5" x14ac:dyDescent="0.35">
      <c r="A110" s="3" t="s">
        <v>243</v>
      </c>
      <c r="B110" s="3" t="s">
        <v>1316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5" x14ac:dyDescent="0.35">
      <c r="A111" s="3" t="s">
        <v>491</v>
      </c>
      <c r="B111" s="3" t="s">
        <v>1317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5" x14ac:dyDescent="0.35">
      <c r="A112" s="3" t="s">
        <v>492</v>
      </c>
      <c r="B112" s="3" t="s">
        <v>1318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5" x14ac:dyDescent="0.35">
      <c r="A113" s="3" t="s">
        <v>682</v>
      </c>
      <c r="B113" s="3" t="s">
        <v>1319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5" x14ac:dyDescent="0.35">
      <c r="A114" s="3" t="s">
        <v>493</v>
      </c>
      <c r="B114" s="3" t="s">
        <v>1320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5" x14ac:dyDescent="0.35">
      <c r="A115" s="3" t="s">
        <v>494</v>
      </c>
      <c r="B115" s="3" t="s">
        <v>1321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5" x14ac:dyDescent="0.35">
      <c r="A116" s="3" t="s">
        <v>495</v>
      </c>
      <c r="B116" s="3" t="s">
        <v>1322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5" x14ac:dyDescent="0.35">
      <c r="A117" s="3" t="s">
        <v>496</v>
      </c>
      <c r="B117" s="3" t="s">
        <v>1323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5" x14ac:dyDescent="0.35">
      <c r="A118" s="3" t="s">
        <v>497</v>
      </c>
      <c r="B118" s="3" t="s">
        <v>1324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5" x14ac:dyDescent="0.35">
      <c r="A119" s="3" t="s">
        <v>245</v>
      </c>
      <c r="B119" s="3" t="s">
        <v>1325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5" x14ac:dyDescent="0.35">
      <c r="A120" s="3" t="s">
        <v>247</v>
      </c>
      <c r="B120" s="3" t="s">
        <v>1326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5" x14ac:dyDescent="0.35">
      <c r="A121" s="3" t="s">
        <v>249</v>
      </c>
      <c r="B121" s="3" t="s">
        <v>1327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5" x14ac:dyDescent="0.35">
      <c r="A122" s="3" t="s">
        <v>251</v>
      </c>
      <c r="B122" s="3" t="s">
        <v>1328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5" x14ac:dyDescent="0.35">
      <c r="A123" s="3" t="s">
        <v>253</v>
      </c>
      <c r="B123" s="3" t="s">
        <v>1329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5" x14ac:dyDescent="0.35">
      <c r="A124" s="3" t="s">
        <v>517</v>
      </c>
      <c r="B124" s="3" t="s">
        <v>1330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5" x14ac:dyDescent="0.35">
      <c r="A125" s="3" t="s">
        <v>255</v>
      </c>
      <c r="B125" s="3" t="s">
        <v>1331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5" x14ac:dyDescent="0.35">
      <c r="A126" s="3" t="s">
        <v>257</v>
      </c>
      <c r="B126" s="3" t="s">
        <v>1332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1026</v>
      </c>
      <c r="K126" s="1" t="s">
        <v>1033</v>
      </c>
      <c r="L126" s="1"/>
      <c r="M126" s="1"/>
      <c r="N126" s="24"/>
      <c r="O126" s="1"/>
    </row>
    <row r="127" spans="1:15" ht="15.5" x14ac:dyDescent="0.35">
      <c r="A127" s="3" t="s">
        <v>259</v>
      </c>
      <c r="B127" s="3" t="s">
        <v>1333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5" x14ac:dyDescent="0.35">
      <c r="A128" s="3" t="s">
        <v>261</v>
      </c>
      <c r="B128" s="3" t="s">
        <v>1334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5" x14ac:dyDescent="0.35">
      <c r="A129" s="3" t="s">
        <v>263</v>
      </c>
      <c r="B129" s="3" t="s">
        <v>1335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5" x14ac:dyDescent="0.35">
      <c r="A130" s="3" t="s">
        <v>265</v>
      </c>
      <c r="B130" s="3" t="s">
        <v>1336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5" x14ac:dyDescent="0.35">
      <c r="A131" s="3" t="s">
        <v>267</v>
      </c>
      <c r="B131" s="3" t="s">
        <v>1337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5" x14ac:dyDescent="0.35">
      <c r="A132" s="3" t="s">
        <v>269</v>
      </c>
      <c r="B132" s="3" t="s">
        <v>1338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5" x14ac:dyDescent="0.35">
      <c r="A133" s="3" t="s">
        <v>271</v>
      </c>
      <c r="B133" s="3" t="s">
        <v>1339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5" x14ac:dyDescent="0.35">
      <c r="A134" s="3" t="s">
        <v>273</v>
      </c>
      <c r="B134" s="3" t="s">
        <v>1340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5" x14ac:dyDescent="0.35">
      <c r="A135" s="3" t="s">
        <v>275</v>
      </c>
      <c r="B135" s="3" t="s">
        <v>1341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5" x14ac:dyDescent="0.35">
      <c r="A136" s="3" t="s">
        <v>498</v>
      </c>
      <c r="B136" s="3" t="s">
        <v>1342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5" x14ac:dyDescent="0.35">
      <c r="A137" s="3" t="s">
        <v>499</v>
      </c>
      <c r="B137" s="3" t="s">
        <v>1343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5" x14ac:dyDescent="0.35">
      <c r="A138" s="3" t="s">
        <v>500</v>
      </c>
      <c r="B138" s="3" t="s">
        <v>1344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5" x14ac:dyDescent="0.35">
      <c r="A139" s="3" t="s">
        <v>501</v>
      </c>
      <c r="B139" s="3" t="s">
        <v>1345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5" x14ac:dyDescent="0.35">
      <c r="A140" s="3" t="s">
        <v>502</v>
      </c>
      <c r="B140" s="3" t="s">
        <v>1346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5" x14ac:dyDescent="0.35">
      <c r="A141" s="3" t="s">
        <v>503</v>
      </c>
      <c r="B141" s="3" t="s">
        <v>1347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5" x14ac:dyDescent="0.35">
      <c r="A142" s="3" t="s">
        <v>504</v>
      </c>
      <c r="B142" s="3" t="s">
        <v>1348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5" x14ac:dyDescent="0.35">
      <c r="A143" s="3" t="s">
        <v>277</v>
      </c>
      <c r="B143" s="3" t="s">
        <v>1349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5" x14ac:dyDescent="0.35">
      <c r="A144" s="3" t="s">
        <v>279</v>
      </c>
      <c r="B144" s="3" t="s">
        <v>1350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5" x14ac:dyDescent="0.35">
      <c r="A145" s="3" t="s">
        <v>281</v>
      </c>
      <c r="B145" s="3" t="s">
        <v>1351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5" x14ac:dyDescent="0.35">
      <c r="A146" s="3" t="s">
        <v>283</v>
      </c>
      <c r="B146" s="3" t="s">
        <v>1352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5" x14ac:dyDescent="0.35">
      <c r="A147" s="3" t="s">
        <v>285</v>
      </c>
      <c r="B147" s="3" t="s">
        <v>1353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5" x14ac:dyDescent="0.35">
      <c r="A148" s="3" t="s">
        <v>518</v>
      </c>
      <c r="B148" s="3" t="s">
        <v>1354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5" x14ac:dyDescent="0.35">
      <c r="A149" s="3" t="s">
        <v>287</v>
      </c>
      <c r="B149" s="3" t="s">
        <v>1355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5" x14ac:dyDescent="0.35">
      <c r="A150" s="3" t="s">
        <v>289</v>
      </c>
      <c r="B150" s="3" t="s">
        <v>1356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5" x14ac:dyDescent="0.35">
      <c r="A151" s="3" t="s">
        <v>291</v>
      </c>
      <c r="B151" s="3" t="s">
        <v>1357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5" x14ac:dyDescent="0.35">
      <c r="A152" s="3" t="s">
        <v>293</v>
      </c>
      <c r="B152" s="3" t="s">
        <v>1358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5" x14ac:dyDescent="0.35">
      <c r="A153" s="3" t="s">
        <v>295</v>
      </c>
      <c r="B153" s="3" t="s">
        <v>1359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5" x14ac:dyDescent="0.35">
      <c r="A154" s="3" t="s">
        <v>297</v>
      </c>
      <c r="B154" s="3" t="s">
        <v>1360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5" x14ac:dyDescent="0.35">
      <c r="A155" s="3" t="s">
        <v>299</v>
      </c>
      <c r="B155" s="3" t="s">
        <v>1361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5" x14ac:dyDescent="0.35">
      <c r="A156" s="3" t="s">
        <v>301</v>
      </c>
      <c r="B156" s="3" t="s">
        <v>1362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5" x14ac:dyDescent="0.35">
      <c r="A157" s="3" t="s">
        <v>505</v>
      </c>
      <c r="B157" s="3" t="s">
        <v>1363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5" x14ac:dyDescent="0.35">
      <c r="A158" s="3" t="s">
        <v>303</v>
      </c>
      <c r="B158" s="3" t="s">
        <v>1364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5" x14ac:dyDescent="0.35">
      <c r="A159" s="3" t="s">
        <v>305</v>
      </c>
      <c r="B159" s="3" t="s">
        <v>1365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5" x14ac:dyDescent="0.35">
      <c r="A160" s="3" t="s">
        <v>506</v>
      </c>
      <c r="B160" s="3" t="s">
        <v>1366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5" x14ac:dyDescent="0.35">
      <c r="A161" s="3" t="s">
        <v>507</v>
      </c>
      <c r="B161" s="3" t="s">
        <v>1367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5" x14ac:dyDescent="0.35">
      <c r="A162" s="3" t="s">
        <v>508</v>
      </c>
      <c r="B162" s="3" t="s">
        <v>1368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5" x14ac:dyDescent="0.35">
      <c r="A163" s="3" t="s">
        <v>509</v>
      </c>
      <c r="B163" s="3" t="s">
        <v>1369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5" x14ac:dyDescent="0.35">
      <c r="A164" s="3" t="s">
        <v>510</v>
      </c>
      <c r="B164" s="3" t="s">
        <v>1370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5" x14ac:dyDescent="0.35">
      <c r="A165" s="3" t="s">
        <v>511</v>
      </c>
      <c r="B165" s="3" t="s">
        <v>1371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5" x14ac:dyDescent="0.35">
      <c r="A166" s="3" t="s">
        <v>512</v>
      </c>
      <c r="B166" s="3" t="s">
        <v>1372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5" x14ac:dyDescent="0.35">
      <c r="A167" s="3" t="s">
        <v>307</v>
      </c>
      <c r="B167" s="3" t="s">
        <v>1373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5" x14ac:dyDescent="0.35">
      <c r="A168" s="3" t="s">
        <v>309</v>
      </c>
      <c r="B168" s="3" t="s">
        <v>1374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5" x14ac:dyDescent="0.35">
      <c r="A169" s="3" t="s">
        <v>311</v>
      </c>
      <c r="B169" s="3" t="s">
        <v>1375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5" x14ac:dyDescent="0.35">
      <c r="A170" s="3" t="s">
        <v>313</v>
      </c>
      <c r="B170" s="3" t="s">
        <v>1376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5" x14ac:dyDescent="0.35">
      <c r="A171" s="3" t="s">
        <v>315</v>
      </c>
      <c r="B171" s="3" t="s">
        <v>1377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5" x14ac:dyDescent="0.35">
      <c r="A172" s="3" t="s">
        <v>519</v>
      </c>
      <c r="B172" s="3" t="s">
        <v>1378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5" x14ac:dyDescent="0.35">
      <c r="A173" s="3" t="s">
        <v>317</v>
      </c>
      <c r="B173" s="3" t="s">
        <v>1379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5" x14ac:dyDescent="0.35">
      <c r="A174" s="3" t="s">
        <v>319</v>
      </c>
      <c r="B174" s="3" t="s">
        <v>1380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5" x14ac:dyDescent="0.35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  <c r="O175" s="1" t="s">
        <v>1439</v>
      </c>
    </row>
    <row r="176" spans="1:15" ht="15.5" x14ac:dyDescent="0.35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  <c r="O176" s="1" t="s">
        <v>1439</v>
      </c>
    </row>
    <row r="177" spans="1:15" ht="15.5" x14ac:dyDescent="0.35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  <c r="O177" s="1" t="s">
        <v>1439</v>
      </c>
    </row>
    <row r="178" spans="1:15" ht="15.5" x14ac:dyDescent="0.35">
      <c r="A178" s="3" t="s">
        <v>922</v>
      </c>
      <c r="B178" s="3" t="s">
        <v>1382</v>
      </c>
      <c r="C178" s="3" t="s">
        <v>26</v>
      </c>
      <c r="D178" s="3" t="s">
        <v>29</v>
      </c>
      <c r="E178" s="3" t="s">
        <v>26</v>
      </c>
      <c r="F178" s="3" t="s">
        <v>921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  <c r="O178" s="1"/>
    </row>
    <row r="179" spans="1:15" ht="15.5" x14ac:dyDescent="0.35">
      <c r="A179" s="1" t="s">
        <v>1092</v>
      </c>
      <c r="B179" s="1" t="s">
        <v>1383</v>
      </c>
      <c r="C179" s="1" t="s">
        <v>26</v>
      </c>
      <c r="D179" s="3" t="s">
        <v>29</v>
      </c>
      <c r="E179" s="3" t="s">
        <v>26</v>
      </c>
      <c r="F179" s="3" t="s">
        <v>1093</v>
      </c>
      <c r="G179" s="4">
        <v>0.01</v>
      </c>
      <c r="H179" s="3" t="s">
        <v>978</v>
      </c>
      <c r="I179" s="3" t="s">
        <v>979</v>
      </c>
      <c r="J179" s="1"/>
      <c r="K179" s="1"/>
      <c r="L179" s="1"/>
      <c r="M179" s="1"/>
      <c r="N179" s="1"/>
      <c r="O179" s="1"/>
    </row>
    <row r="180" spans="1:15" ht="15.5" x14ac:dyDescent="0.35">
      <c r="A180" s="3" t="s">
        <v>1118</v>
      </c>
      <c r="B180" s="3" t="s">
        <v>1119</v>
      </c>
      <c r="C180" s="3" t="s">
        <v>26</v>
      </c>
      <c r="D180" s="3" t="s">
        <v>29</v>
      </c>
      <c r="E180" s="3" t="s">
        <v>26</v>
      </c>
      <c r="F180" s="3" t="s">
        <v>1120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5" x14ac:dyDescent="0.35">
      <c r="A181" s="1" t="s">
        <v>1147</v>
      </c>
      <c r="B181" s="1" t="s">
        <v>1381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  <c r="O181" s="1"/>
    </row>
    <row r="182" spans="1:15" ht="15.5" x14ac:dyDescent="0.35">
      <c r="A182" s="1" t="s">
        <v>1432</v>
      </c>
      <c r="B182" s="1" t="s">
        <v>1433</v>
      </c>
      <c r="C182" s="1" t="s">
        <v>1432</v>
      </c>
      <c r="D182" s="1" t="s">
        <v>29</v>
      </c>
      <c r="E182" s="1" t="s">
        <v>26</v>
      </c>
      <c r="F182" s="1" t="s">
        <v>1434</v>
      </c>
      <c r="G182" s="4">
        <v>0.01</v>
      </c>
      <c r="H182" s="3" t="s">
        <v>136</v>
      </c>
      <c r="I182" s="3" t="s">
        <v>32</v>
      </c>
      <c r="J182" s="1"/>
      <c r="K182" s="1"/>
      <c r="L182" s="1"/>
      <c r="M182" s="1"/>
      <c r="N182" s="1"/>
      <c r="O182" s="1" t="s">
        <v>1439</v>
      </c>
    </row>
    <row r="183" spans="1:15" ht="15.5" x14ac:dyDescent="0.35">
      <c r="A183" s="3" t="s">
        <v>1459</v>
      </c>
      <c r="B183" s="3" t="s">
        <v>1280</v>
      </c>
      <c r="C183" s="3" t="s">
        <v>26</v>
      </c>
      <c r="D183" s="3" t="s">
        <v>29</v>
      </c>
      <c r="E183" s="3" t="s">
        <v>26</v>
      </c>
      <c r="F183" s="3" t="s">
        <v>428</v>
      </c>
      <c r="G183" s="4">
        <v>0.01</v>
      </c>
      <c r="H183" s="3" t="s">
        <v>1460</v>
      </c>
      <c r="I183" s="3" t="s">
        <v>1461</v>
      </c>
      <c r="J183" s="3"/>
      <c r="K183" s="1"/>
      <c r="L183" s="1"/>
      <c r="M183" s="1"/>
      <c r="N183" s="51"/>
      <c r="O183" s="1" t="s">
        <v>1439</v>
      </c>
    </row>
    <row r="184" spans="1:15" ht="15" customHeight="1" x14ac:dyDescent="0.35">
      <c r="A184" s="3" t="s">
        <v>1462</v>
      </c>
      <c r="B184" s="3" t="s">
        <v>1297</v>
      </c>
      <c r="C184" s="3" t="s">
        <v>26</v>
      </c>
      <c r="D184" s="3" t="s">
        <v>29</v>
      </c>
      <c r="E184" s="3" t="s">
        <v>26</v>
      </c>
      <c r="F184" s="3" t="s">
        <v>436</v>
      </c>
      <c r="G184" s="4">
        <v>0.01</v>
      </c>
      <c r="H184" s="3" t="s">
        <v>1460</v>
      </c>
      <c r="I184" s="3" t="s">
        <v>1461</v>
      </c>
      <c r="J184" s="1"/>
      <c r="K184" s="1"/>
      <c r="L184" s="1"/>
      <c r="M184" s="1"/>
      <c r="N184" s="50"/>
      <c r="O184" s="1" t="s">
        <v>1439</v>
      </c>
    </row>
    <row r="185" spans="1:15" ht="15.5" x14ac:dyDescent="0.35">
      <c r="A185" s="3" t="s">
        <v>1463</v>
      </c>
      <c r="B185" s="3" t="s">
        <v>1464</v>
      </c>
      <c r="C185" s="3" t="s">
        <v>26</v>
      </c>
      <c r="D185" s="3" t="s">
        <v>29</v>
      </c>
      <c r="E185" s="3" t="s">
        <v>26</v>
      </c>
      <c r="F185" s="3" t="s">
        <v>407</v>
      </c>
      <c r="G185" s="4">
        <v>0.01</v>
      </c>
      <c r="H185" s="3" t="s">
        <v>779</v>
      </c>
      <c r="I185" s="3" t="s">
        <v>778</v>
      </c>
      <c r="J185" s="3" t="s">
        <v>779</v>
      </c>
      <c r="K185" s="1" t="s">
        <v>778</v>
      </c>
      <c r="L185" s="1"/>
      <c r="M185" s="1"/>
      <c r="N185" s="24"/>
      <c r="O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L1" sqref="L1"/>
    </sheetView>
  </sheetViews>
  <sheetFormatPr defaultRowHeight="14.5" x14ac:dyDescent="0.35"/>
  <cols>
    <col min="1" max="1" width="14.453125" customWidth="1"/>
    <col min="2" max="2" width="40.81640625" customWidth="1"/>
    <col min="3" max="3" width="12.81640625" customWidth="1"/>
    <col min="4" max="4" width="28.54296875" customWidth="1"/>
    <col min="5" max="5" width="14.81640625" customWidth="1"/>
    <col min="6" max="6" width="20.81640625" customWidth="1"/>
    <col min="7" max="7" width="14.1796875" customWidth="1"/>
    <col min="8" max="8" width="35" customWidth="1"/>
    <col min="9" max="10" width="13.1796875" customWidth="1"/>
    <col min="11" max="11" width="12.1796875" customWidth="1"/>
  </cols>
  <sheetData>
    <row r="1" spans="1:12" ht="15.5" x14ac:dyDescent="0.3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923</v>
      </c>
      <c r="I1" s="42" t="s">
        <v>84</v>
      </c>
      <c r="J1" s="42" t="s">
        <v>71</v>
      </c>
      <c r="K1" s="42" t="s">
        <v>964</v>
      </c>
      <c r="L1" s="1" t="s">
        <v>1438</v>
      </c>
    </row>
    <row r="2" spans="1:12" x14ac:dyDescent="0.35">
      <c r="A2" s="19" t="s">
        <v>926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925</v>
      </c>
      <c r="E2" s="20" t="s">
        <v>924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t="s">
        <v>1439</v>
      </c>
    </row>
    <row r="3" spans="1:12" x14ac:dyDescent="0.35">
      <c r="A3" s="2" t="s">
        <v>1098</v>
      </c>
      <c r="B3" s="2" t="s">
        <v>1099</v>
      </c>
      <c r="C3" s="2" t="s">
        <v>1098</v>
      </c>
      <c r="D3" s="2" t="s">
        <v>925</v>
      </c>
      <c r="E3" s="2" t="s">
        <v>924</v>
      </c>
      <c r="F3" s="2" t="s">
        <v>1100</v>
      </c>
      <c r="G3" s="2" t="s">
        <v>130</v>
      </c>
      <c r="H3" s="2" t="s">
        <v>412</v>
      </c>
      <c r="I3" s="2" t="s">
        <v>1128</v>
      </c>
      <c r="J3" s="2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  <col min="21" max="21" width="14.1796875" customWidth="1"/>
  </cols>
  <sheetData>
    <row r="1" spans="1:2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964</v>
      </c>
      <c r="V1" s="1" t="s">
        <v>1438</v>
      </c>
    </row>
    <row r="2" spans="1:22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2" ht="15.5" x14ac:dyDescent="0.35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2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topLeftCell="A8" zoomScale="85" zoomScaleNormal="85" workbookViewId="0">
      <selection activeCell="E51" sqref="E51"/>
    </sheetView>
  </sheetViews>
  <sheetFormatPr defaultRowHeight="14.5" x14ac:dyDescent="0.35"/>
  <cols>
    <col min="1" max="1" width="32" bestFit="1" customWidth="1"/>
    <col min="2" max="2" width="53.6328125" customWidth="1"/>
    <col min="3" max="3" width="11.6328125" customWidth="1"/>
    <col min="4" max="4" width="29.54296875" customWidth="1"/>
    <col min="5" max="5" width="25.1796875" customWidth="1"/>
    <col min="6" max="6" width="14.453125" customWidth="1"/>
    <col min="7" max="7" width="9.81640625" customWidth="1"/>
    <col min="8" max="8" width="12.54296875" style="2" customWidth="1"/>
    <col min="9" max="9" width="14.453125" customWidth="1"/>
    <col min="10" max="10" width="12" customWidth="1"/>
    <col min="11" max="11" width="25.81640625" customWidth="1"/>
    <col min="12" max="12" width="15.54296875" customWidth="1"/>
    <col min="13" max="13" width="14.81640625" customWidth="1"/>
    <col min="14" max="14" width="12.179687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321</v>
      </c>
      <c r="H1" s="8" t="s">
        <v>528</v>
      </c>
      <c r="I1" s="8" t="s">
        <v>527</v>
      </c>
      <c r="J1" s="6" t="s">
        <v>12</v>
      </c>
      <c r="K1" s="6" t="s">
        <v>8</v>
      </c>
      <c r="L1" s="8" t="s">
        <v>529</v>
      </c>
      <c r="M1" s="8" t="s">
        <v>964</v>
      </c>
      <c r="N1" s="8" t="s">
        <v>1438</v>
      </c>
    </row>
    <row r="2" spans="1:14" x14ac:dyDescent="0.35">
      <c r="A2" s="27" t="s">
        <v>1112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1113</v>
      </c>
      <c r="G2" s="28" t="s">
        <v>1207</v>
      </c>
      <c r="H2" s="28">
        <v>50</v>
      </c>
      <c r="I2" s="28" t="s">
        <v>602</v>
      </c>
      <c r="J2" s="28" t="s">
        <v>603</v>
      </c>
      <c r="K2" s="28" t="s">
        <v>37</v>
      </c>
      <c r="L2" s="28" t="s">
        <v>1114</v>
      </c>
      <c r="M2" s="29"/>
      <c r="N2" s="2" t="s">
        <v>1439</v>
      </c>
    </row>
    <row r="3" spans="1:14" x14ac:dyDescent="0.35">
      <c r="A3" s="2" t="s">
        <v>1188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1189</v>
      </c>
      <c r="G3" s="28" t="s">
        <v>1207</v>
      </c>
      <c r="H3" s="28">
        <v>50</v>
      </c>
      <c r="I3" s="28" t="s">
        <v>602</v>
      </c>
      <c r="J3" s="28" t="s">
        <v>603</v>
      </c>
      <c r="K3" s="28" t="s">
        <v>37</v>
      </c>
      <c r="L3" s="28" t="s">
        <v>1190</v>
      </c>
      <c r="M3" s="2"/>
      <c r="N3" s="2"/>
    </row>
    <row r="4" spans="1:14" x14ac:dyDescent="0.35">
      <c r="A4" s="19" t="s">
        <v>1115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1116</v>
      </c>
      <c r="G4" s="28" t="s">
        <v>1207</v>
      </c>
      <c r="H4" s="20">
        <v>50</v>
      </c>
      <c r="I4" s="20" t="s">
        <v>602</v>
      </c>
      <c r="J4" s="20" t="s">
        <v>603</v>
      </c>
      <c r="K4" s="20" t="s">
        <v>37</v>
      </c>
      <c r="L4" s="20" t="s">
        <v>1117</v>
      </c>
      <c r="M4" s="26"/>
      <c r="N4" s="2"/>
    </row>
    <row r="5" spans="1:14" x14ac:dyDescent="0.35">
      <c r="A5" s="43" t="s">
        <v>1109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1110</v>
      </c>
      <c r="G5" s="46" t="s">
        <v>1207</v>
      </c>
      <c r="H5" s="45">
        <v>50</v>
      </c>
      <c r="I5" s="45" t="s">
        <v>602</v>
      </c>
      <c r="J5" s="45" t="s">
        <v>603</v>
      </c>
      <c r="K5" s="45" t="s">
        <v>37</v>
      </c>
      <c r="L5" s="45" t="s">
        <v>1111</v>
      </c>
      <c r="M5" s="47"/>
      <c r="N5" s="48"/>
    </row>
    <row r="6" spans="1:14" x14ac:dyDescent="0.35">
      <c r="A6" s="2" t="s">
        <v>907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566</v>
      </c>
      <c r="G6" s="28" t="s">
        <v>1207</v>
      </c>
      <c r="H6" s="2">
        <v>50</v>
      </c>
      <c r="I6" s="2" t="s">
        <v>602</v>
      </c>
      <c r="J6" s="2" t="s">
        <v>603</v>
      </c>
      <c r="K6" s="2" t="s">
        <v>37</v>
      </c>
      <c r="L6" s="2">
        <v>1</v>
      </c>
      <c r="M6" s="2"/>
      <c r="N6" s="2"/>
    </row>
    <row r="7" spans="1:14" x14ac:dyDescent="0.35">
      <c r="A7" s="2" t="s">
        <v>530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567</v>
      </c>
      <c r="G7" s="28" t="s">
        <v>1207</v>
      </c>
      <c r="H7" s="2">
        <v>50</v>
      </c>
      <c r="I7" s="2" t="s">
        <v>602</v>
      </c>
      <c r="J7" s="2" t="s">
        <v>603</v>
      </c>
      <c r="K7" s="2" t="s">
        <v>37</v>
      </c>
      <c r="L7" s="2">
        <v>1.2</v>
      </c>
      <c r="M7" s="2"/>
      <c r="N7" s="2"/>
    </row>
    <row r="8" spans="1:14" x14ac:dyDescent="0.35">
      <c r="A8" s="2" t="s">
        <v>531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568</v>
      </c>
      <c r="G8" s="28" t="s">
        <v>1207</v>
      </c>
      <c r="H8" s="2">
        <v>50</v>
      </c>
      <c r="I8" s="2" t="s">
        <v>602</v>
      </c>
      <c r="J8" s="2" t="s">
        <v>603</v>
      </c>
      <c r="K8" s="2" t="s">
        <v>37</v>
      </c>
      <c r="L8" s="2">
        <v>1.5</v>
      </c>
      <c r="M8" s="2"/>
      <c r="N8" s="2"/>
    </row>
    <row r="9" spans="1:14" x14ac:dyDescent="0.35">
      <c r="A9" s="2" t="s">
        <v>532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569</v>
      </c>
      <c r="G9" s="28" t="s">
        <v>1207</v>
      </c>
      <c r="H9" s="2">
        <v>50</v>
      </c>
      <c r="I9" s="2" t="s">
        <v>602</v>
      </c>
      <c r="J9" s="2" t="s">
        <v>603</v>
      </c>
      <c r="K9" s="2" t="s">
        <v>37</v>
      </c>
      <c r="L9" s="2">
        <v>1.8</v>
      </c>
      <c r="M9" s="2"/>
      <c r="N9" s="2"/>
    </row>
    <row r="10" spans="1:14" x14ac:dyDescent="0.35">
      <c r="A10" s="2" t="s">
        <v>533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570</v>
      </c>
      <c r="G10" s="28" t="s">
        <v>1207</v>
      </c>
      <c r="H10" s="2">
        <v>50</v>
      </c>
      <c r="I10" s="2" t="s">
        <v>602</v>
      </c>
      <c r="J10" s="2" t="s">
        <v>603</v>
      </c>
      <c r="K10" s="2" t="s">
        <v>37</v>
      </c>
      <c r="L10" s="2">
        <v>2.2000000000000002</v>
      </c>
      <c r="M10" s="2"/>
      <c r="N10" s="2"/>
    </row>
    <row r="11" spans="1:14" x14ac:dyDescent="0.35">
      <c r="A11" s="2" t="s">
        <v>534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571</v>
      </c>
      <c r="G11" s="28" t="s">
        <v>1207</v>
      </c>
      <c r="H11" s="2">
        <v>50</v>
      </c>
      <c r="I11" s="2" t="s">
        <v>602</v>
      </c>
      <c r="J11" s="2" t="s">
        <v>603</v>
      </c>
      <c r="K11" s="2" t="s">
        <v>37</v>
      </c>
      <c r="L11" s="2">
        <v>2.7</v>
      </c>
      <c r="M11" s="2"/>
      <c r="N11" s="2"/>
    </row>
    <row r="12" spans="1:14" x14ac:dyDescent="0.35">
      <c r="A12" s="2" t="s">
        <v>535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572</v>
      </c>
      <c r="G12" s="28" t="s">
        <v>1207</v>
      </c>
      <c r="H12" s="2">
        <v>50</v>
      </c>
      <c r="I12" s="2" t="s">
        <v>602</v>
      </c>
      <c r="J12" s="2" t="s">
        <v>603</v>
      </c>
      <c r="K12" s="2" t="s">
        <v>37</v>
      </c>
      <c r="L12" s="2">
        <v>3.3</v>
      </c>
      <c r="M12" s="2"/>
      <c r="N12" s="2"/>
    </row>
    <row r="13" spans="1:14" x14ac:dyDescent="0.35">
      <c r="A13" s="2" t="s">
        <v>536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573</v>
      </c>
      <c r="G13" s="28" t="s">
        <v>1207</v>
      </c>
      <c r="H13" s="2">
        <v>50</v>
      </c>
      <c r="I13" s="2" t="s">
        <v>602</v>
      </c>
      <c r="J13" s="2" t="s">
        <v>603</v>
      </c>
      <c r="K13" s="2" t="s">
        <v>37</v>
      </c>
      <c r="L13" s="2">
        <v>3.9</v>
      </c>
      <c r="M13" s="2"/>
      <c r="N13" s="2"/>
    </row>
    <row r="14" spans="1:14" x14ac:dyDescent="0.35">
      <c r="A14" s="2" t="s">
        <v>537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574</v>
      </c>
      <c r="G14" s="28" t="s">
        <v>1207</v>
      </c>
      <c r="H14" s="2">
        <v>50</v>
      </c>
      <c r="I14" s="2" t="s">
        <v>602</v>
      </c>
      <c r="J14" s="2" t="s">
        <v>603</v>
      </c>
      <c r="K14" s="2" t="s">
        <v>37</v>
      </c>
      <c r="L14" s="2">
        <v>4.7</v>
      </c>
      <c r="M14" s="2"/>
      <c r="N14" s="2"/>
    </row>
    <row r="15" spans="1:14" x14ac:dyDescent="0.35">
      <c r="A15" s="2" t="s">
        <v>538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575</v>
      </c>
      <c r="G15" s="28" t="s">
        <v>1207</v>
      </c>
      <c r="H15" s="2">
        <v>50</v>
      </c>
      <c r="I15" s="2" t="s">
        <v>602</v>
      </c>
      <c r="J15" s="2" t="s">
        <v>603</v>
      </c>
      <c r="K15" s="2" t="s">
        <v>37</v>
      </c>
      <c r="L15" s="2">
        <v>5.6</v>
      </c>
      <c r="M15" s="2"/>
      <c r="N15" s="2"/>
    </row>
    <row r="16" spans="1:14" x14ac:dyDescent="0.35">
      <c r="A16" s="2" t="s">
        <v>539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576</v>
      </c>
      <c r="G16" s="28" t="s">
        <v>1207</v>
      </c>
      <c r="H16" s="2">
        <v>50</v>
      </c>
      <c r="I16" s="2" t="s">
        <v>602</v>
      </c>
      <c r="J16" s="2" t="s">
        <v>603</v>
      </c>
      <c r="K16" s="2" t="s">
        <v>37</v>
      </c>
      <c r="L16" s="2">
        <v>6.8</v>
      </c>
      <c r="M16" s="2"/>
      <c r="N16" s="2"/>
    </row>
    <row r="17" spans="1:14" x14ac:dyDescent="0.35">
      <c r="A17" s="2" t="s">
        <v>540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577</v>
      </c>
      <c r="G17" s="28" t="s">
        <v>1207</v>
      </c>
      <c r="H17" s="2">
        <v>50</v>
      </c>
      <c r="I17" s="2" t="s">
        <v>602</v>
      </c>
      <c r="J17" s="2" t="s">
        <v>603</v>
      </c>
      <c r="K17" s="2" t="s">
        <v>37</v>
      </c>
      <c r="L17" s="2">
        <v>8.1999999999999993</v>
      </c>
      <c r="M17" s="2"/>
      <c r="N17" s="2"/>
    </row>
    <row r="18" spans="1:14" x14ac:dyDescent="0.35">
      <c r="A18" s="2" t="s">
        <v>541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578</v>
      </c>
      <c r="G18" s="28" t="s">
        <v>1207</v>
      </c>
      <c r="H18" s="2">
        <v>50</v>
      </c>
      <c r="I18" s="2" t="s">
        <v>602</v>
      </c>
      <c r="J18" s="2" t="s">
        <v>603</v>
      </c>
      <c r="K18" s="2" t="s">
        <v>37</v>
      </c>
      <c r="L18" s="2">
        <v>10</v>
      </c>
      <c r="M18" s="2"/>
      <c r="N18" s="2"/>
    </row>
    <row r="19" spans="1:14" x14ac:dyDescent="0.35">
      <c r="A19" s="2" t="s">
        <v>542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579</v>
      </c>
      <c r="G19" s="28" t="s">
        <v>1207</v>
      </c>
      <c r="H19" s="2">
        <v>50</v>
      </c>
      <c r="I19" s="2" t="s">
        <v>602</v>
      </c>
      <c r="J19" s="2" t="s">
        <v>603</v>
      </c>
      <c r="K19" s="2" t="s">
        <v>37</v>
      </c>
      <c r="L19" s="2">
        <v>12</v>
      </c>
      <c r="M19" s="2"/>
      <c r="N19" s="2"/>
    </row>
    <row r="20" spans="1:14" x14ac:dyDescent="0.35">
      <c r="A20" s="2" t="s">
        <v>543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580</v>
      </c>
      <c r="G20" s="28" t="s">
        <v>1207</v>
      </c>
      <c r="H20" s="2">
        <v>50</v>
      </c>
      <c r="I20" s="2" t="s">
        <v>602</v>
      </c>
      <c r="J20" s="2" t="s">
        <v>603</v>
      </c>
      <c r="K20" s="2" t="s">
        <v>37</v>
      </c>
      <c r="L20" s="2">
        <v>15</v>
      </c>
      <c r="M20" s="2"/>
      <c r="N20" s="2"/>
    </row>
    <row r="21" spans="1:14" x14ac:dyDescent="0.35">
      <c r="A21" s="2" t="s">
        <v>544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581</v>
      </c>
      <c r="G21" s="28" t="s">
        <v>1207</v>
      </c>
      <c r="H21" s="2">
        <v>50</v>
      </c>
      <c r="I21" s="2" t="s">
        <v>602</v>
      </c>
      <c r="J21" s="2" t="s">
        <v>603</v>
      </c>
      <c r="K21" s="2" t="s">
        <v>37</v>
      </c>
      <c r="L21" s="2">
        <v>18</v>
      </c>
      <c r="M21" s="2"/>
      <c r="N21" s="2"/>
    </row>
    <row r="22" spans="1:14" x14ac:dyDescent="0.35">
      <c r="A22" s="2" t="s">
        <v>545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582</v>
      </c>
      <c r="G22" s="28" t="s">
        <v>1207</v>
      </c>
      <c r="H22" s="2">
        <v>50</v>
      </c>
      <c r="I22" s="2" t="s">
        <v>602</v>
      </c>
      <c r="J22" s="2" t="s">
        <v>603</v>
      </c>
      <c r="K22" s="2" t="s">
        <v>37</v>
      </c>
      <c r="L22" s="2">
        <v>22</v>
      </c>
      <c r="M22" s="2"/>
      <c r="N22" s="2"/>
    </row>
    <row r="23" spans="1:14" x14ac:dyDescent="0.35">
      <c r="A23" s="2" t="s">
        <v>546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583</v>
      </c>
      <c r="G23" s="28" t="s">
        <v>1207</v>
      </c>
      <c r="H23" s="2">
        <v>50</v>
      </c>
      <c r="I23" s="2" t="s">
        <v>602</v>
      </c>
      <c r="J23" s="2" t="s">
        <v>603</v>
      </c>
      <c r="K23" s="2" t="s">
        <v>37</v>
      </c>
      <c r="L23" s="2">
        <v>27</v>
      </c>
      <c r="M23" s="2"/>
      <c r="N23" s="2"/>
    </row>
    <row r="24" spans="1:14" x14ac:dyDescent="0.35">
      <c r="A24" s="2" t="s">
        <v>547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584</v>
      </c>
      <c r="G24" s="28" t="s">
        <v>1207</v>
      </c>
      <c r="H24" s="2">
        <v>50</v>
      </c>
      <c r="I24" s="2" t="s">
        <v>602</v>
      </c>
      <c r="J24" s="2" t="s">
        <v>603</v>
      </c>
      <c r="K24" s="2" t="s">
        <v>37</v>
      </c>
      <c r="L24" s="2">
        <v>33</v>
      </c>
      <c r="M24" s="2"/>
      <c r="N24" s="2"/>
    </row>
    <row r="25" spans="1:14" x14ac:dyDescent="0.35">
      <c r="A25" s="2" t="s">
        <v>548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585</v>
      </c>
      <c r="G25" s="28" t="s">
        <v>1207</v>
      </c>
      <c r="H25" s="2">
        <v>50</v>
      </c>
      <c r="I25" s="2" t="s">
        <v>602</v>
      </c>
      <c r="J25" s="2" t="s">
        <v>603</v>
      </c>
      <c r="K25" s="2" t="s">
        <v>37</v>
      </c>
      <c r="L25" s="2">
        <v>39</v>
      </c>
      <c r="M25" s="2"/>
      <c r="N25" s="2"/>
    </row>
    <row r="26" spans="1:14" x14ac:dyDescent="0.35">
      <c r="A26" s="2" t="s">
        <v>549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586</v>
      </c>
      <c r="G26" s="28" t="s">
        <v>1207</v>
      </c>
      <c r="H26" s="2">
        <v>50</v>
      </c>
      <c r="I26" s="2" t="s">
        <v>602</v>
      </c>
      <c r="J26" s="2" t="s">
        <v>603</v>
      </c>
      <c r="K26" s="2" t="s">
        <v>37</v>
      </c>
      <c r="L26" s="2">
        <v>47</v>
      </c>
      <c r="M26" s="2"/>
      <c r="N26" s="2"/>
    </row>
    <row r="27" spans="1:14" x14ac:dyDescent="0.35">
      <c r="A27" s="2" t="s">
        <v>550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587</v>
      </c>
      <c r="G27" s="28" t="s">
        <v>1207</v>
      </c>
      <c r="H27" s="2">
        <v>50</v>
      </c>
      <c r="I27" s="2" t="s">
        <v>602</v>
      </c>
      <c r="J27" s="2" t="s">
        <v>603</v>
      </c>
      <c r="K27" s="2" t="s">
        <v>37</v>
      </c>
      <c r="L27" s="2">
        <v>56</v>
      </c>
      <c r="M27" s="2"/>
      <c r="N27" s="2"/>
    </row>
    <row r="28" spans="1:14" x14ac:dyDescent="0.35">
      <c r="A28" s="2" t="s">
        <v>551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588</v>
      </c>
      <c r="G28" s="28" t="s">
        <v>1207</v>
      </c>
      <c r="H28" s="2">
        <v>50</v>
      </c>
      <c r="I28" s="2" t="s">
        <v>602</v>
      </c>
      <c r="J28" s="2" t="s">
        <v>603</v>
      </c>
      <c r="K28" s="2" t="s">
        <v>37</v>
      </c>
      <c r="L28" s="2">
        <v>68</v>
      </c>
      <c r="M28" s="2"/>
      <c r="N28" s="2"/>
    </row>
    <row r="29" spans="1:14" x14ac:dyDescent="0.35">
      <c r="A29" s="2" t="s">
        <v>552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589</v>
      </c>
      <c r="G29" s="28" t="s">
        <v>1207</v>
      </c>
      <c r="H29" s="2">
        <v>50</v>
      </c>
      <c r="I29" s="2" t="s">
        <v>602</v>
      </c>
      <c r="J29" s="2" t="s">
        <v>603</v>
      </c>
      <c r="K29" s="2" t="s">
        <v>37</v>
      </c>
      <c r="L29" s="2">
        <v>82</v>
      </c>
      <c r="M29" s="2"/>
      <c r="N29" s="2"/>
    </row>
    <row r="30" spans="1:14" x14ac:dyDescent="0.35">
      <c r="A30" s="2" t="s">
        <v>553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1207</v>
      </c>
      <c r="H30" s="2">
        <v>50</v>
      </c>
      <c r="I30" s="2" t="s">
        <v>602</v>
      </c>
      <c r="J30" s="2" t="s">
        <v>603</v>
      </c>
      <c r="K30" s="2" t="s">
        <v>37</v>
      </c>
      <c r="L30" s="2">
        <v>100</v>
      </c>
      <c r="M30" s="2"/>
      <c r="N30" s="2"/>
    </row>
    <row r="31" spans="1:14" x14ac:dyDescent="0.35">
      <c r="A31" s="2" t="s">
        <v>554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590</v>
      </c>
      <c r="G31" s="28" t="s">
        <v>1207</v>
      </c>
      <c r="H31" s="2">
        <v>50</v>
      </c>
      <c r="I31" s="2" t="s">
        <v>602</v>
      </c>
      <c r="J31" s="2" t="s">
        <v>603</v>
      </c>
      <c r="K31" s="2" t="s">
        <v>37</v>
      </c>
      <c r="L31" s="2">
        <v>120</v>
      </c>
      <c r="M31" s="2"/>
      <c r="N31" s="2"/>
    </row>
    <row r="32" spans="1:14" x14ac:dyDescent="0.35">
      <c r="A32" s="2" t="s">
        <v>555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591</v>
      </c>
      <c r="G32" s="28" t="s">
        <v>1207</v>
      </c>
      <c r="H32" s="2">
        <v>50</v>
      </c>
      <c r="I32" s="2" t="s">
        <v>602</v>
      </c>
      <c r="J32" s="2" t="s">
        <v>603</v>
      </c>
      <c r="K32" s="2" t="s">
        <v>37</v>
      </c>
      <c r="L32" s="2">
        <v>150</v>
      </c>
      <c r="M32" s="2"/>
      <c r="N32" s="2"/>
    </row>
    <row r="33" spans="1:14" x14ac:dyDescent="0.35">
      <c r="A33" s="2" t="s">
        <v>556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592</v>
      </c>
      <c r="G33" s="28" t="s">
        <v>1207</v>
      </c>
      <c r="H33" s="2">
        <v>50</v>
      </c>
      <c r="I33" s="2" t="s">
        <v>602</v>
      </c>
      <c r="J33" s="2" t="s">
        <v>603</v>
      </c>
      <c r="K33" s="2" t="s">
        <v>37</v>
      </c>
      <c r="L33" s="2">
        <v>180</v>
      </c>
      <c r="M33" s="2"/>
      <c r="N33" s="2"/>
    </row>
    <row r="34" spans="1:14" x14ac:dyDescent="0.35">
      <c r="A34" s="2" t="s">
        <v>557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593</v>
      </c>
      <c r="G34" s="28" t="s">
        <v>1207</v>
      </c>
      <c r="H34" s="2">
        <v>50</v>
      </c>
      <c r="I34" s="2" t="s">
        <v>602</v>
      </c>
      <c r="J34" s="2" t="s">
        <v>603</v>
      </c>
      <c r="K34" s="2" t="s">
        <v>37</v>
      </c>
      <c r="L34" s="2">
        <v>220</v>
      </c>
      <c r="M34" s="2"/>
      <c r="N34" s="2"/>
    </row>
    <row r="35" spans="1:14" x14ac:dyDescent="0.35">
      <c r="A35" s="2" t="s">
        <v>558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594</v>
      </c>
      <c r="G35" s="28" t="s">
        <v>1207</v>
      </c>
      <c r="H35" s="2">
        <v>50</v>
      </c>
      <c r="I35" s="2" t="s">
        <v>602</v>
      </c>
      <c r="J35" s="2" t="s">
        <v>603</v>
      </c>
      <c r="K35" s="2" t="s">
        <v>37</v>
      </c>
      <c r="L35" s="2">
        <v>270</v>
      </c>
      <c r="M35" s="2"/>
      <c r="N35" s="2"/>
    </row>
    <row r="36" spans="1:14" x14ac:dyDescent="0.35">
      <c r="A36" s="2" t="s">
        <v>559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595</v>
      </c>
      <c r="G36" s="28" t="s">
        <v>1207</v>
      </c>
      <c r="H36" s="2">
        <v>50</v>
      </c>
      <c r="I36" s="2" t="s">
        <v>602</v>
      </c>
      <c r="J36" s="2" t="s">
        <v>603</v>
      </c>
      <c r="K36" s="2" t="s">
        <v>37</v>
      </c>
      <c r="L36" s="2">
        <v>330</v>
      </c>
      <c r="M36" s="2"/>
      <c r="N36" s="2"/>
    </row>
    <row r="37" spans="1:14" x14ac:dyDescent="0.35">
      <c r="A37" s="2" t="s">
        <v>560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596</v>
      </c>
      <c r="G37" s="28" t="s">
        <v>1207</v>
      </c>
      <c r="H37" s="2">
        <v>50</v>
      </c>
      <c r="I37" s="2" t="s">
        <v>602</v>
      </c>
      <c r="J37" s="2" t="s">
        <v>603</v>
      </c>
      <c r="K37" s="2" t="s">
        <v>37</v>
      </c>
      <c r="L37" s="2">
        <v>390</v>
      </c>
      <c r="M37" s="2"/>
      <c r="N37" s="2"/>
    </row>
    <row r="38" spans="1:14" x14ac:dyDescent="0.35">
      <c r="A38" s="2" t="s">
        <v>561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597</v>
      </c>
      <c r="G38" s="28" t="s">
        <v>1207</v>
      </c>
      <c r="H38" s="2">
        <v>50</v>
      </c>
      <c r="I38" s="2" t="s">
        <v>602</v>
      </c>
      <c r="J38" s="2" t="s">
        <v>603</v>
      </c>
      <c r="K38" s="2" t="s">
        <v>37</v>
      </c>
      <c r="L38" s="2">
        <v>470</v>
      </c>
      <c r="M38" s="2"/>
      <c r="N38" s="2"/>
    </row>
    <row r="39" spans="1:14" x14ac:dyDescent="0.35">
      <c r="A39" s="2" t="s">
        <v>562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598</v>
      </c>
      <c r="G39" s="28" t="s">
        <v>1207</v>
      </c>
      <c r="H39" s="2">
        <v>50</v>
      </c>
      <c r="I39" s="2" t="s">
        <v>602</v>
      </c>
      <c r="J39" s="2" t="s">
        <v>603</v>
      </c>
      <c r="K39" s="2" t="s">
        <v>37</v>
      </c>
      <c r="L39" s="2">
        <v>560</v>
      </c>
      <c r="M39" s="2"/>
      <c r="N39" s="2"/>
    </row>
    <row r="40" spans="1:14" x14ac:dyDescent="0.35">
      <c r="A40" s="2" t="s">
        <v>563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599</v>
      </c>
      <c r="G40" s="28" t="s">
        <v>1207</v>
      </c>
      <c r="H40" s="2">
        <v>50</v>
      </c>
      <c r="I40" s="2" t="s">
        <v>602</v>
      </c>
      <c r="J40" s="2" t="s">
        <v>603</v>
      </c>
      <c r="K40" s="2" t="s">
        <v>37</v>
      </c>
      <c r="L40" s="2">
        <v>680</v>
      </c>
      <c r="M40" s="2"/>
      <c r="N40" s="2"/>
    </row>
    <row r="41" spans="1:14" x14ac:dyDescent="0.35">
      <c r="A41" s="2" t="s">
        <v>564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600</v>
      </c>
      <c r="G41" s="28" t="s">
        <v>1207</v>
      </c>
      <c r="H41" s="2">
        <v>50</v>
      </c>
      <c r="I41" s="2" t="s">
        <v>602</v>
      </c>
      <c r="J41" s="2" t="s">
        <v>603</v>
      </c>
      <c r="K41" s="2" t="s">
        <v>37</v>
      </c>
      <c r="L41" s="2">
        <v>820</v>
      </c>
      <c r="M41" s="2"/>
      <c r="N41" s="2"/>
    </row>
    <row r="42" spans="1:14" x14ac:dyDescent="0.35">
      <c r="A42" s="2" t="s">
        <v>565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601</v>
      </c>
      <c r="G42" s="28" t="s">
        <v>1207</v>
      </c>
      <c r="H42" s="2">
        <v>50</v>
      </c>
      <c r="I42" s="2" t="s">
        <v>602</v>
      </c>
      <c r="J42" s="2" t="s">
        <v>603</v>
      </c>
      <c r="K42" s="2" t="s">
        <v>37</v>
      </c>
      <c r="L42" s="2">
        <v>1000</v>
      </c>
      <c r="M42" s="2"/>
      <c r="N42" s="2"/>
    </row>
    <row r="43" spans="1:14" x14ac:dyDescent="0.35">
      <c r="A43" s="2" t="s">
        <v>1121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633</v>
      </c>
      <c r="G43" s="28" t="s">
        <v>1207</v>
      </c>
      <c r="H43" s="2">
        <v>50</v>
      </c>
      <c r="I43" s="2" t="s">
        <v>602</v>
      </c>
      <c r="J43" s="2" t="s">
        <v>684</v>
      </c>
      <c r="K43" s="2" t="s">
        <v>685</v>
      </c>
      <c r="L43" s="2" t="s">
        <v>1122</v>
      </c>
      <c r="M43" s="2"/>
      <c r="N43" s="2"/>
    </row>
    <row r="44" spans="1:14" x14ac:dyDescent="0.35">
      <c r="A44" s="2" t="s">
        <v>711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1207</v>
      </c>
      <c r="H44" s="2">
        <v>50</v>
      </c>
      <c r="I44" s="2" t="s">
        <v>602</v>
      </c>
      <c r="J44" s="2" t="s">
        <v>684</v>
      </c>
      <c r="K44" s="2" t="s">
        <v>685</v>
      </c>
      <c r="L44" s="2">
        <v>4700</v>
      </c>
      <c r="M44" s="2"/>
      <c r="N44" s="2"/>
    </row>
    <row r="45" spans="1:14" x14ac:dyDescent="0.35">
      <c r="A45" s="2" t="s">
        <v>713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636</v>
      </c>
      <c r="G45" s="28" t="s">
        <v>1207</v>
      </c>
      <c r="H45" s="2">
        <v>35</v>
      </c>
      <c r="I45" s="2" t="s">
        <v>602</v>
      </c>
      <c r="J45" s="2" t="s">
        <v>686</v>
      </c>
      <c r="K45" s="2" t="s">
        <v>687</v>
      </c>
      <c r="L45" s="2">
        <v>10000</v>
      </c>
      <c r="M45" s="2"/>
      <c r="N45" s="2"/>
    </row>
    <row r="46" spans="1:14" x14ac:dyDescent="0.35">
      <c r="A46" s="2" t="s">
        <v>712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638</v>
      </c>
      <c r="G46" s="28" t="s">
        <v>1207</v>
      </c>
      <c r="H46" s="2">
        <v>25</v>
      </c>
      <c r="I46" s="2" t="s">
        <v>602</v>
      </c>
      <c r="J46" s="2" t="s">
        <v>686</v>
      </c>
      <c r="K46" s="2" t="s">
        <v>687</v>
      </c>
      <c r="L46" s="2">
        <v>22000</v>
      </c>
      <c r="M46" s="2"/>
      <c r="N46" s="2"/>
    </row>
    <row r="47" spans="1:14" x14ac:dyDescent="0.35">
      <c r="A47" s="2" t="s">
        <v>956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1207</v>
      </c>
      <c r="H47" s="2">
        <v>1000</v>
      </c>
      <c r="I47" s="2" t="s">
        <v>602</v>
      </c>
      <c r="J47" s="2" t="s">
        <v>954</v>
      </c>
      <c r="K47" s="2" t="s">
        <v>955</v>
      </c>
      <c r="L47" s="2">
        <v>100</v>
      </c>
      <c r="M47" s="2"/>
      <c r="N47" s="2"/>
    </row>
    <row r="48" spans="1:14" x14ac:dyDescent="0.35">
      <c r="A48" s="2" t="s">
        <v>1416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1417</v>
      </c>
      <c r="G48" s="28" t="s">
        <v>1207</v>
      </c>
      <c r="H48" s="2">
        <v>1000</v>
      </c>
      <c r="I48" s="2" t="s">
        <v>602</v>
      </c>
      <c r="J48" s="2" t="s">
        <v>686</v>
      </c>
      <c r="K48" s="2" t="s">
        <v>687</v>
      </c>
      <c r="L48" s="2" t="s">
        <v>1128</v>
      </c>
      <c r="M48" s="2" t="s">
        <v>1418</v>
      </c>
      <c r="N48" s="2" t="s">
        <v>1439</v>
      </c>
    </row>
    <row r="49" spans="1:14" x14ac:dyDescent="0.35">
      <c r="A49" s="2" t="s">
        <v>1429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1429</v>
      </c>
      <c r="D49" s="2" t="s">
        <v>30</v>
      </c>
      <c r="E49" s="2" t="s">
        <v>27</v>
      </c>
      <c r="F49" s="2" t="s">
        <v>1425</v>
      </c>
      <c r="G49" s="37" t="s">
        <v>1426</v>
      </c>
      <c r="H49" s="2" t="s">
        <v>1427</v>
      </c>
      <c r="I49" s="2" t="s">
        <v>1428</v>
      </c>
      <c r="J49" s="2" t="s">
        <v>603</v>
      </c>
      <c r="K49" s="2" t="s">
        <v>37</v>
      </c>
      <c r="L49" s="2" t="s">
        <v>1430</v>
      </c>
      <c r="M49" s="2" t="s">
        <v>1431</v>
      </c>
      <c r="N49" s="2" t="s">
        <v>1439</v>
      </c>
    </row>
    <row r="50" spans="1:14" x14ac:dyDescent="0.35">
      <c r="A50" s="2" t="s">
        <v>1458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1207</v>
      </c>
      <c r="H50" s="2" t="s">
        <v>387</v>
      </c>
      <c r="I50" s="2" t="s">
        <v>602</v>
      </c>
      <c r="J50" s="2" t="s">
        <v>1457</v>
      </c>
      <c r="K50" s="2" t="s">
        <v>1456</v>
      </c>
      <c r="L50" s="2">
        <v>100</v>
      </c>
      <c r="M50" s="2"/>
      <c r="N50" s="2" t="s">
        <v>1439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  <col min="15" max="15" width="13.1796875" customWidth="1"/>
  </cols>
  <sheetData>
    <row r="1" spans="1:16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964</v>
      </c>
      <c r="P1" s="8" t="s">
        <v>1438</v>
      </c>
    </row>
    <row r="2" spans="1:16" x14ac:dyDescent="0.35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6" x14ac:dyDescent="0.35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6" x14ac:dyDescent="0.35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6" x14ac:dyDescent="0.35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6" x14ac:dyDescent="0.35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6" x14ac:dyDescent="0.35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6" x14ac:dyDescent="0.35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6" x14ac:dyDescent="0.35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6" x14ac:dyDescent="0.35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6" x14ac:dyDescent="0.35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6" x14ac:dyDescent="0.35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6" x14ac:dyDescent="0.35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6" x14ac:dyDescent="0.35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6" x14ac:dyDescent="0.35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6" x14ac:dyDescent="0.35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6" x14ac:dyDescent="0.35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6" x14ac:dyDescent="0.35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6" x14ac:dyDescent="0.35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6" x14ac:dyDescent="0.35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6" x14ac:dyDescent="0.35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6" x14ac:dyDescent="0.35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  <c r="P22" t="s">
        <v>1439</v>
      </c>
    </row>
    <row r="23" spans="1:16" x14ac:dyDescent="0.35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  <c r="P23" t="s">
        <v>1439</v>
      </c>
    </row>
    <row r="24" spans="1:16" x14ac:dyDescent="0.35">
      <c r="A24" t="s">
        <v>930</v>
      </c>
      <c r="B24" t="s">
        <v>931</v>
      </c>
      <c r="C24" s="2" t="s">
        <v>27</v>
      </c>
      <c r="D24" s="2" t="s">
        <v>631</v>
      </c>
      <c r="E24" s="2" t="s">
        <v>39</v>
      </c>
      <c r="F24" t="s">
        <v>932</v>
      </c>
      <c r="G24">
        <v>20</v>
      </c>
      <c r="H24">
        <v>400</v>
      </c>
      <c r="I24" t="s">
        <v>737</v>
      </c>
      <c r="J24" s="2" t="s">
        <v>936</v>
      </c>
      <c r="K24" t="s">
        <v>937</v>
      </c>
      <c r="L24">
        <v>3.3</v>
      </c>
      <c r="M24" s="2" t="s">
        <v>935</v>
      </c>
      <c r="N24" t="s">
        <v>934</v>
      </c>
      <c r="P24" t="s">
        <v>1439</v>
      </c>
    </row>
    <row r="25" spans="1:16" x14ac:dyDescent="0.35">
      <c r="A25" t="s">
        <v>980</v>
      </c>
      <c r="B25" t="s">
        <v>981</v>
      </c>
      <c r="C25" s="2" t="s">
        <v>27</v>
      </c>
      <c r="D25" s="2" t="s">
        <v>631</v>
      </c>
      <c r="E25" s="2" t="s">
        <v>39</v>
      </c>
      <c r="F25" t="s">
        <v>982</v>
      </c>
      <c r="G25">
        <v>20</v>
      </c>
      <c r="H25">
        <v>400</v>
      </c>
      <c r="I25" t="s">
        <v>737</v>
      </c>
      <c r="J25" s="2" t="s">
        <v>984</v>
      </c>
      <c r="K25" t="s">
        <v>983</v>
      </c>
      <c r="L25">
        <v>2700</v>
      </c>
      <c r="P25" t="s">
        <v>1439</v>
      </c>
    </row>
    <row r="26" spans="1:16" x14ac:dyDescent="0.35">
      <c r="A26" t="s">
        <v>1148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1149</v>
      </c>
      <c r="K26" t="s">
        <v>1150</v>
      </c>
      <c r="L26">
        <v>330</v>
      </c>
    </row>
    <row r="27" spans="1:16" x14ac:dyDescent="0.35">
      <c r="A27" t="s">
        <v>1151</v>
      </c>
      <c r="B27" t="s">
        <v>1152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1153</v>
      </c>
      <c r="K27" t="s">
        <v>1154</v>
      </c>
      <c r="L27">
        <v>100</v>
      </c>
    </row>
    <row r="28" spans="1:16" x14ac:dyDescent="0.35">
      <c r="A28" t="s">
        <v>1442</v>
      </c>
      <c r="B28" t="s">
        <v>1443</v>
      </c>
      <c r="D28" t="s">
        <v>631</v>
      </c>
      <c r="E28" t="s">
        <v>39</v>
      </c>
      <c r="F28" t="s">
        <v>646</v>
      </c>
      <c r="G28">
        <v>20</v>
      </c>
      <c r="H28">
        <v>16</v>
      </c>
      <c r="I28" t="s">
        <v>905</v>
      </c>
      <c r="J28" t="s">
        <v>1149</v>
      </c>
      <c r="K28" t="s">
        <v>1150</v>
      </c>
      <c r="L28">
        <v>470</v>
      </c>
      <c r="O28" t="s">
        <v>1444</v>
      </c>
      <c r="P28" t="s">
        <v>1439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0"/>
  <sheetViews>
    <sheetView zoomScale="55" zoomScaleNormal="55" workbookViewId="0">
      <selection activeCell="R12" sqref="R12"/>
    </sheetView>
  </sheetViews>
  <sheetFormatPr defaultRowHeight="14.5" x14ac:dyDescent="0.35"/>
  <cols>
    <col min="1" max="1" width="14.81640625" customWidth="1"/>
    <col min="2" max="2" width="77.81640625" customWidth="1"/>
    <col min="3" max="3" width="12" customWidth="1"/>
    <col min="4" max="4" width="27.1796875" customWidth="1"/>
    <col min="5" max="5" width="12.81640625" customWidth="1"/>
    <col min="6" max="6" width="36.179687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1796875" customWidth="1"/>
  </cols>
  <sheetData>
    <row r="1" spans="1:18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964</v>
      </c>
      <c r="R1" s="49" t="s">
        <v>1438</v>
      </c>
    </row>
    <row r="2" spans="1:18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8" x14ac:dyDescent="0.35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8" x14ac:dyDescent="0.35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8" x14ac:dyDescent="0.35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8" x14ac:dyDescent="0.35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8" x14ac:dyDescent="0.35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8" x14ac:dyDescent="0.35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8" x14ac:dyDescent="0.35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8" x14ac:dyDescent="0.35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8" x14ac:dyDescent="0.35">
      <c r="A11" t="s">
        <v>912</v>
      </c>
      <c r="B11" t="s">
        <v>913</v>
      </c>
      <c r="C11" t="s">
        <v>957</v>
      </c>
      <c r="D11" s="2" t="s">
        <v>914</v>
      </c>
      <c r="E11" s="2" t="s">
        <v>912</v>
      </c>
      <c r="F11" s="2" t="str">
        <f t="shared" si="12"/>
        <v>Footprints\Inductance\M20VN.PcbLib</v>
      </c>
      <c r="G11" s="2" t="s">
        <v>912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915</v>
      </c>
      <c r="R11" t="s">
        <v>1439</v>
      </c>
    </row>
    <row r="12" spans="1:18" x14ac:dyDescent="0.35">
      <c r="A12" t="s">
        <v>927</v>
      </c>
      <c r="B12" t="s">
        <v>928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8" x14ac:dyDescent="0.35">
      <c r="A13" t="s">
        <v>929</v>
      </c>
      <c r="B13" t="s">
        <v>933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8" x14ac:dyDescent="0.35">
      <c r="A14" t="s">
        <v>950</v>
      </c>
      <c r="B14" t="s">
        <v>952</v>
      </c>
      <c r="C14" t="str">
        <f t="shared" si="11"/>
        <v>HV_trans</v>
      </c>
      <c r="D14" s="2" t="s">
        <v>951</v>
      </c>
      <c r="E14" s="2" t="s">
        <v>950</v>
      </c>
      <c r="F14" s="2" t="str">
        <f t="shared" si="12"/>
        <v>Footprints\Inductance\EE16_transformer.PcbLib</v>
      </c>
      <c r="G14" s="2" t="s">
        <v>953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  <c r="R14" t="s">
        <v>1439</v>
      </c>
    </row>
    <row r="15" spans="1:18" x14ac:dyDescent="0.35">
      <c r="A15" t="s">
        <v>1101</v>
      </c>
      <c r="B15" t="s">
        <v>1102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1130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8" x14ac:dyDescent="0.35">
      <c r="A16" t="s">
        <v>1155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8" x14ac:dyDescent="0.35">
      <c r="A17" t="s">
        <v>1156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8" x14ac:dyDescent="0.35">
      <c r="A18" t="s">
        <v>1185</v>
      </c>
      <c r="B18" t="s">
        <v>1186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1187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  <row r="19" spans="1:18" x14ac:dyDescent="0.35">
      <c r="A19" t="s">
        <v>1403</v>
      </c>
      <c r="B19" t="s">
        <v>1404</v>
      </c>
      <c r="C19" t="str">
        <f>A19</f>
        <v>B82472G6472M</v>
      </c>
      <c r="D19" s="2" t="s">
        <v>104</v>
      </c>
      <c r="E19" s="2" t="s">
        <v>102</v>
      </c>
      <c r="F19" s="2" t="str">
        <f t="shared" ref="F19" si="18">CONCATENATE("Footprints\Inductance\",G19,".PcbLib")</f>
        <v>Footprints\Inductance\B82462G4.PcbLib</v>
      </c>
      <c r="G19" s="2" t="s">
        <v>783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>
        <v>2.5</v>
      </c>
      <c r="P19" t="str">
        <f t="shared" ref="P19:P20" si="19">CONCATENATE(N19, " мк")</f>
        <v>4,7 мк</v>
      </c>
      <c r="R19" t="s">
        <v>1439</v>
      </c>
    </row>
    <row r="20" spans="1:18" x14ac:dyDescent="0.35">
      <c r="A20" t="s">
        <v>1405</v>
      </c>
      <c r="B20" t="s">
        <v>1406</v>
      </c>
      <c r="C20" t="str">
        <f>A20</f>
        <v>CDRH6D12NP-2R2NC</v>
      </c>
      <c r="D20" s="2" t="s">
        <v>1407</v>
      </c>
      <c r="E20" s="2" t="s">
        <v>1408</v>
      </c>
      <c r="F20" s="2" t="str">
        <f>CONCATENATE("Footprints\Inductance\",G20,".PcbLib")</f>
        <v>Footprints\Inductance\CDRH6D12.PcbLib</v>
      </c>
      <c r="G20" s="2" t="s">
        <v>1409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>
        <v>2.5</v>
      </c>
      <c r="P20" t="str">
        <f t="shared" si="19"/>
        <v>2,2 мк</v>
      </c>
      <c r="R20" t="s">
        <v>1439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M2" sqref="M2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1796875" customWidth="1"/>
    <col min="5" max="5" width="20.54296875" customWidth="1"/>
    <col min="6" max="6" width="21.81640625" customWidth="1"/>
    <col min="7" max="7" width="17.81640625" customWidth="1"/>
    <col min="8" max="8" width="22.81640625" customWidth="1"/>
    <col min="9" max="9" width="18.453125" customWidth="1"/>
    <col min="10" max="10" width="16.81640625" customWidth="1"/>
    <col min="11" max="11" width="12.453125" customWidth="1"/>
    <col min="12" max="12" width="13.17968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968</v>
      </c>
      <c r="L1" s="1" t="s">
        <v>964</v>
      </c>
      <c r="M1" s="49" t="s">
        <v>1438</v>
      </c>
      <c r="N1" s="17"/>
      <c r="O1" s="1"/>
      <c r="P1" s="1"/>
      <c r="Q1" s="1"/>
    </row>
    <row r="2" spans="1:17" ht="15.5" x14ac:dyDescent="0.35">
      <c r="A2" s="21" t="s">
        <v>938</v>
      </c>
      <c r="B2" s="22" t="s">
        <v>939</v>
      </c>
      <c r="C2" s="20" t="str">
        <f>A2</f>
        <v>TS820-600B-TR</v>
      </c>
      <c r="D2" s="22" t="s">
        <v>941</v>
      </c>
      <c r="E2" s="22" t="s">
        <v>940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942</v>
      </c>
      <c r="K2" s="26" t="s">
        <v>944</v>
      </c>
      <c r="L2" s="26"/>
      <c r="M2" s="2" t="s">
        <v>1439</v>
      </c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9"/>
  <sheetViews>
    <sheetView topLeftCell="C1" zoomScale="70" zoomScaleNormal="70" workbookViewId="0">
      <selection activeCell="G19" sqref="G19"/>
    </sheetView>
  </sheetViews>
  <sheetFormatPr defaultRowHeight="14.5" x14ac:dyDescent="0.35"/>
  <cols>
    <col min="1" max="1" width="14.81640625" customWidth="1"/>
    <col min="2" max="2" width="120" bestFit="1" customWidth="1"/>
    <col min="3" max="3" width="20" customWidth="1"/>
    <col min="4" max="4" width="35.36328125" customWidth="1"/>
    <col min="5" max="5" width="14.453125" customWidth="1"/>
    <col min="6" max="6" width="36.81640625" customWidth="1"/>
    <col min="7" max="7" width="16.81640625" customWidth="1"/>
    <col min="8" max="8" width="20.81640625" customWidth="1"/>
    <col min="9" max="9" width="16.81640625" customWidth="1"/>
    <col min="10" max="10" width="31.1796875" bestFit="1" customWidth="1"/>
    <col min="11" max="11" width="17.453125" bestFit="1" customWidth="1"/>
    <col min="12" max="12" width="11.1796875" customWidth="1"/>
    <col min="13" max="13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964</v>
      </c>
      <c r="N1" s="49" t="s">
        <v>1438</v>
      </c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1025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1020</v>
      </c>
      <c r="I3" s="2" t="s">
        <v>1019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1440</v>
      </c>
      <c r="G5" s="2" t="s">
        <v>64</v>
      </c>
      <c r="H5" s="2"/>
      <c r="I5" s="2"/>
      <c r="J5" s="2"/>
      <c r="K5" s="2"/>
    </row>
    <row r="6" spans="1:20" x14ac:dyDescent="0.35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  <c r="N6" t="s">
        <v>1439</v>
      </c>
    </row>
    <row r="7" spans="1:20" x14ac:dyDescent="0.35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1439</v>
      </c>
    </row>
    <row r="8" spans="1:20" x14ac:dyDescent="0.35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1439</v>
      </c>
    </row>
    <row r="9" spans="1:20" x14ac:dyDescent="0.35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  <c r="N9" t="s">
        <v>1439</v>
      </c>
    </row>
    <row r="10" spans="1:20" x14ac:dyDescent="0.35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  <c r="N10" t="s">
        <v>1439</v>
      </c>
    </row>
    <row r="11" spans="1:20" x14ac:dyDescent="0.35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  <c r="N11" t="s">
        <v>1439</v>
      </c>
    </row>
    <row r="12" spans="1:20" x14ac:dyDescent="0.35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  <c r="N12" t="s">
        <v>1439</v>
      </c>
    </row>
    <row r="13" spans="1:20" x14ac:dyDescent="0.35">
      <c r="A13" s="2" t="s">
        <v>992</v>
      </c>
      <c r="B13" s="2" t="s">
        <v>994</v>
      </c>
      <c r="C13" s="2" t="s">
        <v>993</v>
      </c>
      <c r="D13" t="s">
        <v>995</v>
      </c>
      <c r="E13" s="2" t="s">
        <v>996</v>
      </c>
      <c r="F13" s="2" t="s">
        <v>991</v>
      </c>
      <c r="G13" s="2" t="s">
        <v>990</v>
      </c>
      <c r="H13" s="2"/>
      <c r="I13" s="2"/>
      <c r="J13" s="2"/>
      <c r="K13" s="2"/>
      <c r="M13" s="23" t="s">
        <v>997</v>
      </c>
      <c r="N13" t="s">
        <v>1439</v>
      </c>
    </row>
    <row r="14" spans="1:20" x14ac:dyDescent="0.35">
      <c r="A14" t="s">
        <v>998</v>
      </c>
      <c r="B14" t="s">
        <v>1000</v>
      </c>
      <c r="C14" t="s">
        <v>999</v>
      </c>
      <c r="D14" t="s">
        <v>995</v>
      </c>
      <c r="E14" s="2" t="s">
        <v>996</v>
      </c>
      <c r="F14" s="2" t="str">
        <f t="shared" ref="F14:F15" si="5">CONCATENATE("Footprints\",G14,".PcbLib")</f>
        <v>Footprints\spacer_m2.5_h16.PcbLib</v>
      </c>
      <c r="G14" t="s">
        <v>998</v>
      </c>
      <c r="J14" t="str">
        <f>CONCATENATE("Footprints\",K14,".PcbLib")</f>
        <v>Footprints\.PcbLib</v>
      </c>
      <c r="N14" t="s">
        <v>1439</v>
      </c>
    </row>
    <row r="15" spans="1:20" x14ac:dyDescent="0.35">
      <c r="A15" t="s">
        <v>1021</v>
      </c>
      <c r="B15" t="s">
        <v>1022</v>
      </c>
      <c r="C15" t="str">
        <f>A15</f>
        <v>CR2032-VAY3-15.2</v>
      </c>
      <c r="D15" t="s">
        <v>1023</v>
      </c>
      <c r="E15" t="s">
        <v>1024</v>
      </c>
      <c r="F15" s="2" t="str">
        <f t="shared" si="5"/>
        <v>Footprints\CR2032-VAY3-15.2.PcbLib</v>
      </c>
      <c r="G15" t="s">
        <v>1021</v>
      </c>
      <c r="J15" t="str">
        <f>CONCATENATE("Footprints\",K15,".PcbLib")</f>
        <v>Footprints\.PcbLib</v>
      </c>
      <c r="N15" t="s">
        <v>1439</v>
      </c>
    </row>
    <row r="16" spans="1:20" x14ac:dyDescent="0.35">
      <c r="A16" t="s">
        <v>1049</v>
      </c>
      <c r="B16" t="s">
        <v>1050</v>
      </c>
      <c r="C16" t="s">
        <v>1051</v>
      </c>
      <c r="D16" t="str">
        <f t="shared" ref="D16" si="6">CONCATENATE("Schematic\",A16,".SchLib")</f>
        <v>Schematic\4WayDIP.SchLib</v>
      </c>
      <c r="E16" t="s">
        <v>1052</v>
      </c>
      <c r="F16" t="s">
        <v>1053</v>
      </c>
      <c r="G16" t="s">
        <v>1054</v>
      </c>
      <c r="J16" t="str">
        <f t="shared" ref="J16" si="7">CONCATENATE("Footprints\",K16,".PcbLib")</f>
        <v>Footprints\.PcbLib</v>
      </c>
    </row>
    <row r="17" spans="1:14" x14ac:dyDescent="0.35">
      <c r="A17" t="s">
        <v>1384</v>
      </c>
      <c r="B17" t="s">
        <v>1385</v>
      </c>
      <c r="C17" t="str">
        <f>A17</f>
        <v>Button_DIP_12x12</v>
      </c>
      <c r="D17" t="s">
        <v>1386</v>
      </c>
      <c r="E17" s="2" t="s">
        <v>54</v>
      </c>
      <c r="F17" t="s">
        <v>1387</v>
      </c>
      <c r="G17" t="s">
        <v>1384</v>
      </c>
      <c r="J17" t="str">
        <f>CONCATENATE("Footprints\",K17,".PcbLib")</f>
        <v>Footprints\.PcbLib</v>
      </c>
    </row>
    <row r="18" spans="1:14" x14ac:dyDescent="0.35">
      <c r="A18" t="s">
        <v>1422</v>
      </c>
      <c r="B18" t="s">
        <v>1423</v>
      </c>
      <c r="C18" t="str">
        <f>A18</f>
        <v>X322525MOB4SI</v>
      </c>
      <c r="D18" t="str">
        <f>CONCATENATE("Schematic\",E18,".SchLib")</f>
        <v>Schematic\XTAL_1-3_GND.SchLib</v>
      </c>
      <c r="E18" t="s">
        <v>1419</v>
      </c>
      <c r="F18" t="s">
        <v>1424</v>
      </c>
      <c r="G18" t="s">
        <v>1422</v>
      </c>
      <c r="J18" t="str">
        <f>CONCATENATE("Footprints\",K18,".PcbLib")</f>
        <v>Footprints\.PcbLib</v>
      </c>
      <c r="L18" t="s">
        <v>1420</v>
      </c>
      <c r="M18" t="s">
        <v>1421</v>
      </c>
      <c r="N18" t="s">
        <v>1439</v>
      </c>
    </row>
    <row r="19" spans="1:14" x14ac:dyDescent="0.35">
      <c r="A19" s="2" t="s">
        <v>1446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1446</v>
      </c>
      <c r="H19" s="2"/>
      <c r="I19" s="2"/>
      <c r="J19" s="2"/>
      <c r="K19" s="2"/>
    </row>
  </sheetData>
  <hyperlinks>
    <hyperlink ref="M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0"/>
  <sheetViews>
    <sheetView topLeftCell="A20" zoomScale="85" zoomScaleNormal="85" workbookViewId="0">
      <selection activeCell="H63" sqref="H63"/>
    </sheetView>
  </sheetViews>
  <sheetFormatPr defaultRowHeight="14.5" x14ac:dyDescent="0.35"/>
  <cols>
    <col min="1" max="1" width="14.81640625" customWidth="1"/>
    <col min="2" max="2" width="40.453125" customWidth="1"/>
    <col min="3" max="3" width="13.1796875" customWidth="1"/>
    <col min="4" max="4" width="45.81640625" customWidth="1"/>
    <col min="5" max="5" width="17.1796875" customWidth="1"/>
    <col min="6" max="6" width="51" customWidth="1"/>
    <col min="7" max="7" width="16.81640625" customWidth="1"/>
    <col min="8" max="8" width="44.453125" customWidth="1"/>
    <col min="9" max="9" width="23.81640625" customWidth="1"/>
    <col min="10" max="10" width="28.81640625" customWidth="1"/>
    <col min="11" max="11" width="11.81640625" customWidth="1"/>
  </cols>
  <sheetData>
    <row r="1" spans="1:1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964</v>
      </c>
      <c r="K1" s="1" t="s">
        <v>988</v>
      </c>
      <c r="L1" s="49" t="s">
        <v>1438</v>
      </c>
    </row>
    <row r="2" spans="1:12" x14ac:dyDescent="0.35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989</v>
      </c>
    </row>
    <row r="3" spans="1:12" x14ac:dyDescent="0.35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989</v>
      </c>
    </row>
    <row r="4" spans="1:12" x14ac:dyDescent="0.35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958</v>
      </c>
      <c r="G4" t="s">
        <v>109</v>
      </c>
      <c r="K4" t="s">
        <v>989</v>
      </c>
    </row>
    <row r="5" spans="1:12" x14ac:dyDescent="0.35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989</v>
      </c>
    </row>
    <row r="6" spans="1:12" x14ac:dyDescent="0.35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989</v>
      </c>
    </row>
    <row r="7" spans="1:12" x14ac:dyDescent="0.35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989</v>
      </c>
      <c r="L7" t="s">
        <v>1439</v>
      </c>
    </row>
    <row r="8" spans="1:12" x14ac:dyDescent="0.35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989</v>
      </c>
    </row>
    <row r="9" spans="1:12" x14ac:dyDescent="0.35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989</v>
      </c>
      <c r="L9" t="s">
        <v>1439</v>
      </c>
    </row>
    <row r="10" spans="1:12" x14ac:dyDescent="0.35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989</v>
      </c>
    </row>
    <row r="11" spans="1:12" x14ac:dyDescent="0.35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989</v>
      </c>
      <c r="L11" t="s">
        <v>1439</v>
      </c>
    </row>
    <row r="12" spans="1:12" x14ac:dyDescent="0.35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989</v>
      </c>
      <c r="L12" t="s">
        <v>1439</v>
      </c>
    </row>
    <row r="13" spans="1:12" x14ac:dyDescent="0.35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989</v>
      </c>
    </row>
    <row r="14" spans="1:12" x14ac:dyDescent="0.35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989</v>
      </c>
    </row>
    <row r="15" spans="1:12" x14ac:dyDescent="0.35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989</v>
      </c>
    </row>
    <row r="16" spans="1:12" x14ac:dyDescent="0.35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989</v>
      </c>
      <c r="L16" t="s">
        <v>1439</v>
      </c>
    </row>
    <row r="17" spans="1:12" x14ac:dyDescent="0.35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989</v>
      </c>
      <c r="L17" t="s">
        <v>1439</v>
      </c>
    </row>
    <row r="18" spans="1:12" x14ac:dyDescent="0.35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989</v>
      </c>
      <c r="L18" t="s">
        <v>1439</v>
      </c>
    </row>
    <row r="19" spans="1:12" x14ac:dyDescent="0.35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989</v>
      </c>
      <c r="L19" t="s">
        <v>1439</v>
      </c>
    </row>
    <row r="20" spans="1:12" x14ac:dyDescent="0.35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989</v>
      </c>
      <c r="L20" t="s">
        <v>1439</v>
      </c>
    </row>
    <row r="21" spans="1:12" x14ac:dyDescent="0.35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989</v>
      </c>
      <c r="L21" t="s">
        <v>1439</v>
      </c>
    </row>
    <row r="22" spans="1:12" x14ac:dyDescent="0.35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989</v>
      </c>
      <c r="L22" t="s">
        <v>1439</v>
      </c>
    </row>
    <row r="23" spans="1:12" x14ac:dyDescent="0.35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989</v>
      </c>
      <c r="L23" t="s">
        <v>1439</v>
      </c>
    </row>
    <row r="24" spans="1:12" x14ac:dyDescent="0.35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989</v>
      </c>
      <c r="L24" t="s">
        <v>1439</v>
      </c>
    </row>
    <row r="25" spans="1:12" x14ac:dyDescent="0.35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989</v>
      </c>
      <c r="L25" t="s">
        <v>1439</v>
      </c>
    </row>
    <row r="26" spans="1:12" x14ac:dyDescent="0.35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989</v>
      </c>
      <c r="L26" t="s">
        <v>1439</v>
      </c>
    </row>
    <row r="27" spans="1:12" x14ac:dyDescent="0.35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958</v>
      </c>
      <c r="G27" t="s">
        <v>885</v>
      </c>
      <c r="K27" t="s">
        <v>989</v>
      </c>
      <c r="L27" t="s">
        <v>1439</v>
      </c>
    </row>
    <row r="28" spans="1:12" x14ac:dyDescent="0.35">
      <c r="A28" t="s">
        <v>959</v>
      </c>
      <c r="B28" t="s">
        <v>966</v>
      </c>
      <c r="C28" t="s">
        <v>959</v>
      </c>
      <c r="D28" t="s">
        <v>351</v>
      </c>
      <c r="E28" s="2" t="s">
        <v>115</v>
      </c>
      <c r="F28" t="s">
        <v>960</v>
      </c>
      <c r="G28" t="s">
        <v>961</v>
      </c>
      <c r="J28" t="s">
        <v>965</v>
      </c>
      <c r="K28" t="s">
        <v>989</v>
      </c>
      <c r="L28" t="s">
        <v>1439</v>
      </c>
    </row>
    <row r="29" spans="1:12" x14ac:dyDescent="0.35">
      <c r="A29" t="s">
        <v>962</v>
      </c>
      <c r="B29" t="s">
        <v>967</v>
      </c>
      <c r="C29" t="s">
        <v>962</v>
      </c>
      <c r="D29" t="s">
        <v>356</v>
      </c>
      <c r="E29" s="2" t="s">
        <v>121</v>
      </c>
      <c r="F29" t="s">
        <v>960</v>
      </c>
      <c r="G29" t="s">
        <v>963</v>
      </c>
      <c r="J29" t="s">
        <v>965</v>
      </c>
      <c r="K29" t="s">
        <v>989</v>
      </c>
      <c r="L29" t="s">
        <v>1439</v>
      </c>
    </row>
    <row r="30" spans="1:12" x14ac:dyDescent="0.35">
      <c r="A30" t="s">
        <v>970</v>
      </c>
      <c r="B30" t="s">
        <v>969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974</v>
      </c>
      <c r="G30" t="s">
        <v>972</v>
      </c>
      <c r="J30" t="s">
        <v>975</v>
      </c>
      <c r="K30" t="s">
        <v>989</v>
      </c>
      <c r="L30" t="s">
        <v>1439</v>
      </c>
    </row>
    <row r="31" spans="1:12" x14ac:dyDescent="0.35">
      <c r="A31" t="s">
        <v>971</v>
      </c>
      <c r="B31" t="s">
        <v>969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974</v>
      </c>
      <c r="G31" t="s">
        <v>973</v>
      </c>
      <c r="J31" t="s">
        <v>975</v>
      </c>
      <c r="K31" t="s">
        <v>989</v>
      </c>
      <c r="L31" t="s">
        <v>1439</v>
      </c>
    </row>
    <row r="32" spans="1:12" x14ac:dyDescent="0.35">
      <c r="A32" t="s">
        <v>985</v>
      </c>
      <c r="B32" t="s">
        <v>120</v>
      </c>
      <c r="C32" t="s">
        <v>985</v>
      </c>
      <c r="D32" t="s">
        <v>356</v>
      </c>
      <c r="E32" s="2" t="s">
        <v>121</v>
      </c>
      <c r="F32" t="s">
        <v>986</v>
      </c>
      <c r="G32" t="s">
        <v>985</v>
      </c>
      <c r="J32" t="s">
        <v>987</v>
      </c>
      <c r="K32" t="s">
        <v>989</v>
      </c>
      <c r="L32" t="s">
        <v>1439</v>
      </c>
    </row>
    <row r="33" spans="1:12" x14ac:dyDescent="0.35">
      <c r="A33" t="s">
        <v>1001</v>
      </c>
      <c r="B33" t="s">
        <v>1002</v>
      </c>
      <c r="C33" t="s">
        <v>1001</v>
      </c>
      <c r="D33" t="s">
        <v>352</v>
      </c>
      <c r="E33" s="2" t="s">
        <v>116</v>
      </c>
      <c r="F33" t="s">
        <v>958</v>
      </c>
      <c r="G33" t="s">
        <v>1003</v>
      </c>
      <c r="J33" t="s">
        <v>1015</v>
      </c>
      <c r="K33" t="s">
        <v>989</v>
      </c>
      <c r="L33" t="s">
        <v>1439</v>
      </c>
    </row>
    <row r="34" spans="1:12" x14ac:dyDescent="0.35">
      <c r="A34" t="s">
        <v>1004</v>
      </c>
      <c r="B34" t="s">
        <v>1005</v>
      </c>
      <c r="C34" t="s">
        <v>1004</v>
      </c>
      <c r="D34" t="s">
        <v>1165</v>
      </c>
      <c r="E34" s="2" t="s">
        <v>1166</v>
      </c>
      <c r="F34" t="s">
        <v>1006</v>
      </c>
      <c r="G34" t="s">
        <v>1007</v>
      </c>
      <c r="J34" t="s">
        <v>975</v>
      </c>
      <c r="K34" t="s">
        <v>989</v>
      </c>
      <c r="L34" t="s">
        <v>1439</v>
      </c>
    </row>
    <row r="35" spans="1:12" x14ac:dyDescent="0.35">
      <c r="A35" t="s">
        <v>1202</v>
      </c>
      <c r="B35" t="s">
        <v>1005</v>
      </c>
      <c r="C35" t="s">
        <v>1202</v>
      </c>
      <c r="D35" t="s">
        <v>1165</v>
      </c>
      <c r="E35" s="2" t="s">
        <v>1166</v>
      </c>
      <c r="F35" t="s">
        <v>1203</v>
      </c>
      <c r="G35" t="s">
        <v>1204</v>
      </c>
      <c r="J35" s="38" t="s">
        <v>1015</v>
      </c>
      <c r="K35" t="s">
        <v>989</v>
      </c>
      <c r="L35" t="s">
        <v>1439</v>
      </c>
    </row>
    <row r="36" spans="1:12" x14ac:dyDescent="0.35">
      <c r="A36" t="s">
        <v>1008</v>
      </c>
      <c r="B36" t="s">
        <v>1009</v>
      </c>
      <c r="C36" s="2" t="s">
        <v>1010</v>
      </c>
      <c r="D36" t="s">
        <v>1011</v>
      </c>
      <c r="E36" t="s">
        <v>1012</v>
      </c>
      <c r="F36" t="s">
        <v>1013</v>
      </c>
      <c r="G36" t="s">
        <v>1008</v>
      </c>
      <c r="J36" t="s">
        <v>1014</v>
      </c>
      <c r="K36" t="s">
        <v>989</v>
      </c>
      <c r="L36" t="s">
        <v>1439</v>
      </c>
    </row>
    <row r="37" spans="1:12" x14ac:dyDescent="0.35">
      <c r="A37" t="s">
        <v>1016</v>
      </c>
      <c r="B37" t="s">
        <v>1017</v>
      </c>
      <c r="C37" s="2" t="s">
        <v>1016</v>
      </c>
      <c r="D37" t="s">
        <v>354</v>
      </c>
      <c r="E37" s="2" t="s">
        <v>119</v>
      </c>
      <c r="F37" t="s">
        <v>958</v>
      </c>
      <c r="G37" t="s">
        <v>1018</v>
      </c>
      <c r="J37" t="s">
        <v>1015</v>
      </c>
      <c r="K37" t="s">
        <v>989</v>
      </c>
      <c r="L37" t="s">
        <v>1439</v>
      </c>
    </row>
    <row r="38" spans="1:12" x14ac:dyDescent="0.35">
      <c r="A38" t="s">
        <v>1055</v>
      </c>
      <c r="B38" t="s">
        <v>1056</v>
      </c>
      <c r="C38" s="2" t="s">
        <v>1055</v>
      </c>
      <c r="D38" t="s">
        <v>1057</v>
      </c>
      <c r="E38" t="s">
        <v>1055</v>
      </c>
      <c r="F38" t="s">
        <v>1058</v>
      </c>
      <c r="G38" t="s">
        <v>1055</v>
      </c>
      <c r="K38" t="s">
        <v>989</v>
      </c>
    </row>
    <row r="39" spans="1:12" x14ac:dyDescent="0.35">
      <c r="A39" t="s">
        <v>1059</v>
      </c>
      <c r="B39" t="s">
        <v>1060</v>
      </c>
      <c r="C39" s="2" t="s">
        <v>1059</v>
      </c>
      <c r="D39" t="s">
        <v>1061</v>
      </c>
      <c r="E39" t="s">
        <v>1059</v>
      </c>
      <c r="F39" t="s">
        <v>1062</v>
      </c>
      <c r="G39" t="s">
        <v>1059</v>
      </c>
      <c r="K39" t="s">
        <v>989</v>
      </c>
    </row>
    <row r="40" spans="1:12" x14ac:dyDescent="0.35">
      <c r="A40" t="s">
        <v>1063</v>
      </c>
      <c r="B40" t="s">
        <v>1064</v>
      </c>
      <c r="C40" s="2" t="s">
        <v>1065</v>
      </c>
      <c r="D40" t="s">
        <v>1066</v>
      </c>
      <c r="E40" t="s">
        <v>1063</v>
      </c>
      <c r="F40" t="s">
        <v>1067</v>
      </c>
      <c r="G40" t="s">
        <v>1063</v>
      </c>
      <c r="K40" t="s">
        <v>989</v>
      </c>
    </row>
    <row r="41" spans="1:12" x14ac:dyDescent="0.35">
      <c r="A41" t="s">
        <v>1068</v>
      </c>
      <c r="B41" t="s">
        <v>1069</v>
      </c>
      <c r="C41" s="2" t="s">
        <v>1070</v>
      </c>
      <c r="D41" t="s">
        <v>1071</v>
      </c>
      <c r="E41" t="s">
        <v>1072</v>
      </c>
      <c r="F41" t="s">
        <v>1073</v>
      </c>
      <c r="G41" t="s">
        <v>1074</v>
      </c>
      <c r="K41" t="s">
        <v>989</v>
      </c>
    </row>
    <row r="42" spans="1:12" x14ac:dyDescent="0.35">
      <c r="A42" s="2" t="s">
        <v>1077</v>
      </c>
      <c r="B42" t="s">
        <v>1075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1078</v>
      </c>
      <c r="F42" t="str">
        <f>CONCATENATE("Footprints\Connectors\", G42, ".PcbLib")</f>
        <v>Footprints\Connectors\DF12(3.0)-32DP.PcbLib</v>
      </c>
      <c r="G42" t="s">
        <v>1077</v>
      </c>
      <c r="K42" t="s">
        <v>989</v>
      </c>
    </row>
    <row r="43" spans="1:12" x14ac:dyDescent="0.35">
      <c r="A43" s="2" t="s">
        <v>1076</v>
      </c>
      <c r="B43" t="s">
        <v>1079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1078</v>
      </c>
      <c r="F43" t="str">
        <f>CONCATENATE("Footprints\Connectors\", G43, ".PcbLib")</f>
        <v>Footprints\Connectors\DF12(3.0)-32DS.PcbLib</v>
      </c>
      <c r="G43" t="s">
        <v>1076</v>
      </c>
      <c r="K43" t="s">
        <v>989</v>
      </c>
    </row>
    <row r="44" spans="1:12" x14ac:dyDescent="0.35">
      <c r="A44" t="s">
        <v>1080</v>
      </c>
      <c r="B44" t="s">
        <v>1081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1082</v>
      </c>
      <c r="F44" t="str">
        <f t="shared" ref="F44:F46" si="2">CONCATENATE("Footprints\Connectors\", G44, ".PcbLib")</f>
        <v>Footprints\Connectors\DF40C-50DP.PcbLib</v>
      </c>
      <c r="G44" t="s">
        <v>1080</v>
      </c>
      <c r="K44" t="s">
        <v>989</v>
      </c>
    </row>
    <row r="45" spans="1:12" x14ac:dyDescent="0.35">
      <c r="A45" t="s">
        <v>1083</v>
      </c>
      <c r="B45" t="s">
        <v>1084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1082</v>
      </c>
      <c r="F45" t="str">
        <f t="shared" si="2"/>
        <v>Footprints\Connectors\DF40C-50DS.PcbLib</v>
      </c>
      <c r="G45" t="s">
        <v>1083</v>
      </c>
      <c r="K45" t="s">
        <v>989</v>
      </c>
    </row>
    <row r="46" spans="1:12" x14ac:dyDescent="0.35">
      <c r="A46" t="s">
        <v>1085</v>
      </c>
      <c r="B46" t="s">
        <v>1084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1082</v>
      </c>
      <c r="F46" t="str">
        <f t="shared" si="2"/>
        <v>Footprints\Connectors\DF40HC(4.0)-50DS.PcbLib</v>
      </c>
      <c r="G46" t="s">
        <v>1085</v>
      </c>
      <c r="K46" t="s">
        <v>989</v>
      </c>
    </row>
    <row r="47" spans="1:12" x14ac:dyDescent="0.35">
      <c r="A47" t="s">
        <v>1086</v>
      </c>
      <c r="B47" t="s">
        <v>1087</v>
      </c>
      <c r="C47" s="2" t="str">
        <f t="shared" si="0"/>
        <v>PLS-6</v>
      </c>
      <c r="D47" t="str">
        <f t="shared" si="1"/>
        <v>Schematic\Connectors\Conn_6pin.SchLib</v>
      </c>
      <c r="E47" t="s">
        <v>1088</v>
      </c>
      <c r="F47" t="s">
        <v>958</v>
      </c>
      <c r="G47" t="s">
        <v>1089</v>
      </c>
      <c r="K47" t="s">
        <v>989</v>
      </c>
    </row>
    <row r="48" spans="1:12" x14ac:dyDescent="0.35">
      <c r="A48" t="s">
        <v>1157</v>
      </c>
      <c r="B48" t="s">
        <v>1158</v>
      </c>
      <c r="C48" s="2" t="s">
        <v>1157</v>
      </c>
      <c r="D48" t="s">
        <v>354</v>
      </c>
      <c r="E48" s="2" t="s">
        <v>119</v>
      </c>
      <c r="F48" t="s">
        <v>1159</v>
      </c>
      <c r="G48" t="s">
        <v>1157</v>
      </c>
      <c r="K48" t="s">
        <v>989</v>
      </c>
    </row>
    <row r="49" spans="1:12" x14ac:dyDescent="0.35">
      <c r="A49" t="s">
        <v>1160</v>
      </c>
      <c r="B49" t="s">
        <v>1161</v>
      </c>
      <c r="C49" s="2" t="s">
        <v>1160</v>
      </c>
      <c r="D49" t="s">
        <v>663</v>
      </c>
      <c r="E49" s="2" t="s">
        <v>661</v>
      </c>
      <c r="F49" t="s">
        <v>1162</v>
      </c>
      <c r="G49" t="s">
        <v>1160</v>
      </c>
      <c r="K49" t="s">
        <v>989</v>
      </c>
    </row>
    <row r="50" spans="1:12" x14ac:dyDescent="0.35">
      <c r="A50" t="s">
        <v>1163</v>
      </c>
      <c r="B50" t="s">
        <v>1164</v>
      </c>
      <c r="C50" s="2" t="s">
        <v>1163</v>
      </c>
      <c r="D50" t="s">
        <v>1165</v>
      </c>
      <c r="E50" s="2" t="s">
        <v>1166</v>
      </c>
      <c r="F50" t="s">
        <v>1167</v>
      </c>
      <c r="G50" t="s">
        <v>1163</v>
      </c>
      <c r="K50" t="s">
        <v>989</v>
      </c>
    </row>
    <row r="51" spans="1:12" x14ac:dyDescent="0.35">
      <c r="A51" t="s">
        <v>1169</v>
      </c>
      <c r="B51" t="s">
        <v>1170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1166</v>
      </c>
      <c r="F51" t="str">
        <f t="shared" ref="F51:F54" si="5">CONCATENATE("Footprints\Connectors\", G51, ".PcbLib")</f>
        <v>Footprints\Connectors\DF40C-40DP.PcbLib</v>
      </c>
      <c r="G51" t="s">
        <v>1169</v>
      </c>
      <c r="K51" t="s">
        <v>989</v>
      </c>
    </row>
    <row r="52" spans="1:12" x14ac:dyDescent="0.35">
      <c r="A52" t="s">
        <v>1171</v>
      </c>
      <c r="B52" t="s">
        <v>1172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1166</v>
      </c>
      <c r="F52" t="str">
        <f t="shared" si="5"/>
        <v>Footprints\Connectors\DF40C-40DS.PcbLib</v>
      </c>
      <c r="G52" t="s">
        <v>1171</v>
      </c>
      <c r="K52" t="s">
        <v>989</v>
      </c>
    </row>
    <row r="53" spans="1:12" x14ac:dyDescent="0.35">
      <c r="A53" t="s">
        <v>1191</v>
      </c>
      <c r="B53" t="s">
        <v>1192</v>
      </c>
      <c r="C53" s="2" t="s">
        <v>1191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1191</v>
      </c>
      <c r="J53" t="s">
        <v>1193</v>
      </c>
      <c r="K53" t="s">
        <v>989</v>
      </c>
      <c r="L53" t="s">
        <v>1439</v>
      </c>
    </row>
    <row r="54" spans="1:12" x14ac:dyDescent="0.35">
      <c r="A54" t="s">
        <v>1195</v>
      </c>
      <c r="B54" t="s">
        <v>1194</v>
      </c>
      <c r="C54" t="s">
        <v>1191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1196</v>
      </c>
      <c r="J54" t="s">
        <v>1193</v>
      </c>
      <c r="K54" t="s">
        <v>989</v>
      </c>
      <c r="L54" t="s">
        <v>1439</v>
      </c>
    </row>
    <row r="55" spans="1:12" x14ac:dyDescent="0.35">
      <c r="A55" s="33" t="s">
        <v>1393</v>
      </c>
      <c r="B55" s="34" t="s">
        <v>1394</v>
      </c>
      <c r="C55" s="34" t="s">
        <v>1393</v>
      </c>
      <c r="D55" s="34" t="s">
        <v>995</v>
      </c>
      <c r="E55" s="34" t="s">
        <v>996</v>
      </c>
      <c r="F55" s="34" t="s">
        <v>1395</v>
      </c>
      <c r="G55" s="34" t="s">
        <v>1396</v>
      </c>
      <c r="H55" s="34"/>
      <c r="I55" s="34"/>
      <c r="J55" s="34"/>
      <c r="K55" s="40" t="s">
        <v>989</v>
      </c>
    </row>
    <row r="56" spans="1:12" x14ac:dyDescent="0.35">
      <c r="A56" t="s">
        <v>1397</v>
      </c>
      <c r="B56" t="s">
        <v>1398</v>
      </c>
      <c r="C56" s="2" t="s">
        <v>1397</v>
      </c>
      <c r="D56" s="34" t="s">
        <v>1399</v>
      </c>
      <c r="E56" t="s">
        <v>1397</v>
      </c>
      <c r="F56" s="34" t="s">
        <v>1401</v>
      </c>
      <c r="G56" t="s">
        <v>1402</v>
      </c>
      <c r="J56" t="s">
        <v>1400</v>
      </c>
      <c r="K56" s="40" t="s">
        <v>989</v>
      </c>
      <c r="L56" t="s">
        <v>1439</v>
      </c>
    </row>
    <row r="57" spans="1:12" x14ac:dyDescent="0.35">
      <c r="A57" t="s">
        <v>1410</v>
      </c>
      <c r="B57" t="s">
        <v>1411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1412</v>
      </c>
      <c r="F57" t="str">
        <f t="shared" ref="F57:F58" si="8">CONCATENATE("Footprints\Connectors\", G57, ".PcbLib")</f>
        <v>Footprints\Connectors\DIN41612_48_3row_straight_female.PcbLib</v>
      </c>
      <c r="G57" t="s">
        <v>1410</v>
      </c>
      <c r="J57" t="s">
        <v>1413</v>
      </c>
      <c r="K57" t="s">
        <v>989</v>
      </c>
    </row>
    <row r="58" spans="1:12" x14ac:dyDescent="0.35">
      <c r="A58" t="s">
        <v>1414</v>
      </c>
      <c r="B58" t="s">
        <v>1415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1412</v>
      </c>
      <c r="F58" t="str">
        <f t="shared" si="8"/>
        <v>Footprints\Connectors\DIN41612_48_3row_right_angle_male.PcbLib</v>
      </c>
      <c r="G58" t="s">
        <v>1414</v>
      </c>
      <c r="J58" t="s">
        <v>1413</v>
      </c>
      <c r="K58" s="41" t="s">
        <v>989</v>
      </c>
    </row>
    <row r="59" spans="1:12" x14ac:dyDescent="0.35">
      <c r="A59">
        <v>430450200</v>
      </c>
      <c r="B59" t="s">
        <v>1447</v>
      </c>
      <c r="C59">
        <v>430450200</v>
      </c>
      <c r="D59" t="s">
        <v>356</v>
      </c>
      <c r="E59" t="s">
        <v>121</v>
      </c>
      <c r="F59" t="s">
        <v>1448</v>
      </c>
      <c r="G59" t="s">
        <v>1449</v>
      </c>
      <c r="J59" t="s">
        <v>1450</v>
      </c>
      <c r="K59" t="s">
        <v>989</v>
      </c>
      <c r="L59" t="s">
        <v>1439</v>
      </c>
    </row>
    <row r="60" spans="1:12" x14ac:dyDescent="0.35">
      <c r="A60" t="s">
        <v>1451</v>
      </c>
      <c r="B60" t="s">
        <v>1452</v>
      </c>
      <c r="C60" t="s">
        <v>1451</v>
      </c>
      <c r="D60" t="s">
        <v>1453</v>
      </c>
      <c r="E60" t="s">
        <v>1451</v>
      </c>
      <c r="F60" t="s">
        <v>1454</v>
      </c>
      <c r="G60" t="s">
        <v>1451</v>
      </c>
      <c r="J60" t="s">
        <v>1455</v>
      </c>
      <c r="L60" t="s">
        <v>1439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2025-10-06T12:12:24Z</dcterms:modified>
</cp:coreProperties>
</file>