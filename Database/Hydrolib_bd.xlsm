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A73D9B5E-A814-461C-B8A5-D67C05F4EAB6}" xr6:coauthVersionLast="47" xr6:coauthVersionMax="47" xr10:uidLastSave="{00000000-0000-0000-0000-000000000000}"/>
  <bookViews>
    <workbookView xWindow="3180" yWindow="5260" windowWidth="34090" windowHeight="15460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1" i="6" l="1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<sst xmlns="http://schemas.openxmlformats.org/spreadsheetml/2006/main" count="2865" uniqueCount="1152">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</sst>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0" fontId="0" fillId="0" borderId="0" xfId="0" applyNumberFormat="1"/>
    <xf numFmtId="164" fontId="4" fillId="0" borderId="0" xfId="0" applyNumberFormat="1" applyFont="1"/>
    <xf numFmtId="164" fontId="0" fillId="0" borderId="0" xfId="0" applyNumberFormat="1"/>
    <xf numFmtId="0" fontId="0" fillId="3" borderId="1" xfId="0" applyFont="1" applyFill="1" applyBorder="1"/>
    <xf numFmtId="49" fontId="0" fillId="3" borderId="5" xfId="0" applyNumberFormat="1" applyFont="1" applyFill="1" applyBorder="1"/>
    <xf numFmtId="49" fontId="0" fillId="3" borderId="1" xfId="0" applyNumberFormat="1" applyFont="1" applyFill="1" applyBorder="1"/>
    <xf numFmtId="1" fontId="0" fillId="3" borderId="1" xfId="0" applyNumberFormat="1" applyFont="1" applyFill="1" applyBorder="1"/>
    <xf numFmtId="1" fontId="0" fillId="3" borderId="4" xfId="0" applyNumberFormat="1" applyFont="1" applyFill="1" applyBorder="1"/>
    <xf numFmtId="0" fontId="0" fillId="3" borderId="4" xfId="0" applyFon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</cellXfs>
  <cellStyles count="1">
    <cellStyle name="Обычный" xfId="0" builtinId="0"/>
  </cellStyles>
  <dxfs count="12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37" tableType="xml" totalsRowShown="0" headerRowDxfId="122" connectionId="6">
  <autoFilter ref="A1:L37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1" tableType="xml" totalsRowShown="0" connectionId="14">
  <autoFilter ref="A1:J11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19">
      <xmlColumnPr mapId="30" xpath="/Schottky/Part/VoltageNominal_V" xmlDataType="string"/>
    </tableColumn>
    <tableColumn id="9" xr3:uid="{431126AD-34DC-40A1-9CB6-D627B7878BEA}" uniqueName="Current_A" name="Current (A)" dataDxfId="118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9" tableType="xml" totalsRowShown="0" dataDxfId="117" connectionId="16">
  <autoFilter ref="A1:L9" xr:uid="{35EAFB53-5120-48E8-B7CF-F527619EF3EB}"/>
  <tableColumns count="12">
    <tableColumn id="1" xr3:uid="{8FF51BCB-1CBC-41C4-B0E3-6994AEB249EF}" uniqueName="PartNumber" name="Part Number" dataDxfId="116">
      <xmlColumnPr mapId="6" xpath="/TVS/Part/PartNumber" xmlDataType="string"/>
    </tableColumn>
    <tableColumn id="2" xr3:uid="{254709FF-71DC-4C18-A11E-3F482A74905F}" uniqueName="Description" name="Description" dataDxfId="11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2">
      <xmlColumnPr mapId="6" xpath="/TVS/Part/LibraryRef" xmlDataType="string"/>
    </tableColumn>
    <tableColumn id="6" xr3:uid="{C5C7E783-B9B8-469C-B255-FC24F12E71DC}" uniqueName="FootprintPath1" name="Footprint Path 1" dataDxfId="11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0">
      <xmlColumnPr mapId="6" xpath="/TVS/Part/FootprintRef1" xmlDataType="string"/>
    </tableColumn>
    <tableColumn id="8" xr3:uid="{16B3AEE3-BEA7-4870-9494-F8A0EC5E9CCD}" uniqueName="VoltageNominal" name="Voltage nominal (V)" dataDxfId="109">
      <xmlColumnPr mapId="6" xpath="/TVS/Part/VoltageNominal" xmlDataType="string"/>
    </tableColumn>
    <tableColumn id="9" xr3:uid="{7DDE345A-D145-4A55-B781-91F88095B1FE}" uniqueName="Power" name="Power (W)" dataDxfId="108">
      <xmlColumnPr mapId="6" xpath="/TVS/Part/Power" xmlDataType="string"/>
    </tableColumn>
    <tableColumn id="10" xr3:uid="{EBB777BC-3BC6-4EF4-AC63-F94C7CFCFC0E}" uniqueName="Value" name="Value" dataDxfId="10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06">
      <xmlColumnPr mapId="6" xpath="/TVS/Part/Inteface" xmlDataType="string"/>
    </tableColumn>
    <tableColumn id="12" xr3:uid="{2FC69434-3445-47B6-BAFF-5BDCB5CA78D9}" uniqueName="12" name="Datasheet" dataDxfId="10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0" tableType="xml" totalsRowShown="0" headerRowDxfId="104" connectionId="15">
  <autoFilter ref="A1:L10" xr:uid="{11DAD5D3-6841-4BFD-8583-65DE6E00D680}"/>
  <tableColumns count="12">
    <tableColumn id="1" xr3:uid="{59488B22-9EFD-4960-9418-72616CC8F6CC}" uniqueName="PartNumber" name="Part Number" dataDxfId="103">
      <xmlColumnPr mapId="8" xpath="/Transistors/Part/PartNumber" xmlDataType="string"/>
    </tableColumn>
    <tableColumn id="2" xr3:uid="{B6051881-2BC5-4D5F-9AEE-A86DF4412A4C}" uniqueName="Description" name="Description" dataDxfId="102">
      <xmlColumnPr mapId="8" xpath="/Transistors/Part/Description" xmlDataType="string"/>
    </tableColumn>
    <tableColumn id="3" xr3:uid="{377CEA9C-B3A1-4F57-920A-BA1AC9164370}" uniqueName="Comment" name="Comment" dataDxfId="101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0">
      <xmlColumnPr mapId="8" xpath="/Transistors/Part/LibraryPath" xmlDataType="string"/>
    </tableColumn>
    <tableColumn id="5" xr3:uid="{02693066-D721-4B47-BEE5-D678B96A10FB}" uniqueName="LibraryRef" name="Library Ref" dataDxfId="99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98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L175" tableType="xml" totalsRowShown="0" headerRowDxfId="97" dataDxfId="96" connectionId="13">
  <autoFilter ref="A1:L175" xr:uid="{02061886-A591-4FD8-8C5B-3D1D2DB1F417}"/>
  <tableColumns count="12">
    <tableColumn id="1" xr3:uid="{1DE1C76C-B7F9-47FB-9EB0-156A2D87FD9E}" uniqueName="PartNumber" name="Part Number" dataDxfId="95">
      <xmlColumnPr mapId="38" xpath="/Resistors/Part/PartNumber" xmlDataType="string"/>
    </tableColumn>
    <tableColumn id="2" xr3:uid="{64E60790-EB9B-4A0D-B52C-7CB5A6F82DE8}" uniqueName="Description" name="Description" dataDxfId="94">
      <xmlColumnPr mapId="38" xpath="/Resistors/Part/Description" xmlDataType="string"/>
    </tableColumn>
    <tableColumn id="3" xr3:uid="{497E7478-3EE2-4F8D-A572-C738B7321387}" uniqueName="Comment" name="Comment" dataDxfId="93">
      <xmlColumnPr mapId="38" xpath="/Resistors/Part/Comment" xmlDataType="string"/>
    </tableColumn>
    <tableColumn id="4" xr3:uid="{255B034D-70D9-458C-8FA7-FEB8317A497F}" uniqueName="LibraryPath" name="Library Path" dataDxfId="92">
      <xmlColumnPr mapId="38" xpath="/Resistors/Part/LibraryPath" xmlDataType="string"/>
    </tableColumn>
    <tableColumn id="5" xr3:uid="{A3865419-9EA5-4AAA-B07F-FF52D437DC02}" uniqueName="LibraryRef" name="Library Ref" dataDxfId="91">
      <xmlColumnPr mapId="38" xpath="/Resistors/Part/LibraryRef" xmlDataType="string"/>
    </tableColumn>
    <tableColumn id="6" xr3:uid="{CE64E0F7-2F9E-477F-8D1B-040D90CB5685}" uniqueName="Value" name="Value" dataDxfId="90">
      <xmlColumnPr mapId="38" xpath="/Resistors/Part/Value" xmlDataType="string"/>
    </tableColumn>
    <tableColumn id="7" xr3:uid="{41F7703B-5A2D-47F6-B9C9-B9D386FC3CF8}" uniqueName="Tolerance" name="Tolerance" dataDxfId="89">
      <xmlColumnPr mapId="38" xpath="/Resistors/Part/Tolerance" xmlDataType="double"/>
    </tableColumn>
    <tableColumn id="8" xr3:uid="{429E7452-DB30-417B-B5E7-8F2AA238A5A4}" uniqueName="FootprintPath1" name="Footprint Path 1" dataDxfId="88">
      <xmlColumnPr mapId="38" xpath="/Resistors/Part/FootprintPath1" xmlDataType="string"/>
    </tableColumn>
    <tableColumn id="9" xr3:uid="{298A4272-57F5-45C2-AFCD-965909B2DD40}" uniqueName="FootprintRef1" name="Footprint Ref 1" dataDxfId="87">
      <xmlColumnPr mapId="38" xpath="/Resistors/Part/FootprintRef1" xmlDataType="string"/>
    </tableColumn>
    <tableColumn id="10" xr3:uid="{0DFE9A6B-806A-476A-90DD-58A133FB25CD}" uniqueName="10" name="Footprint Path 2" dataDxfId="86"/>
    <tableColumn id="11" xr3:uid="{5972F9B7-4E29-40F8-85A0-ADFB6C3B63D0}" uniqueName="11" name="Footprint Ref 2" dataDxfId="85"/>
    <tableColumn id="12" xr3:uid="{2BA89A40-2C66-4CDA-B275-A463CA193B24}" uniqueName="12" name="Datasheet" dataDxfId="8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2" totalsRowShown="0">
  <autoFilter ref="A1:K2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2" dataDxfId="81" connectionId="1">
  <autoFilter ref="A1:U3" xr:uid="{1041C5C1-00FD-47DC-8B7C-9DEBE212D9D4}"/>
  <tableColumns count="21">
    <tableColumn id="1" xr3:uid="{55BDD111-6381-449E-BF2B-3FEC8107762D}" uniqueName="PartNumber" name="Part Number" dataDxfId="80">
      <xmlColumnPr mapId="18" xpath="/Capacitors/Part/PartNumber" xmlDataType="string"/>
    </tableColumn>
    <tableColumn id="2" xr3:uid="{0D3E1F2C-B0CC-4A36-A41B-2F2DAEC98E3B}" uniqueName="Description" name="Description" dataDxfId="79">
      <xmlColumnPr mapId="18" xpath="/Capacitors/Part/Description" xmlDataType="string"/>
    </tableColumn>
    <tableColumn id="3" xr3:uid="{16739D52-8082-4E8D-B1E1-B82F60766E2A}" uniqueName="Comment" name="Comment" dataDxfId="78">
      <xmlColumnPr mapId="18" xpath="/Capacitors/Part/Comment" xmlDataType="string"/>
    </tableColumn>
    <tableColumn id="4" xr3:uid="{AC1F3F2E-0C78-451D-9178-0A9D15C49726}" uniqueName="LibraryPath" name="Library Path" dataDxfId="77">
      <xmlColumnPr mapId="18" xpath="/Capacitors/Part/LibraryPath" xmlDataType="string"/>
    </tableColumn>
    <tableColumn id="5" xr3:uid="{9169ABA3-E41E-40E0-B785-3D3B749D70BB}" uniqueName="LibraryRef" name="Library Ref" dataDxfId="76">
      <xmlColumnPr mapId="18" xpath="/Capacitors/Part/LibraryRef" xmlDataType="string"/>
    </tableColumn>
    <tableColumn id="6" xr3:uid="{01EADD2D-36E6-41EE-B894-B537CCE6649E}" uniqueName="Value" name="Value" dataDxfId="75">
      <xmlColumnPr mapId="18" xpath="/Capacitors/Part/Value" xmlDataType="string"/>
    </tableColumn>
    <tableColumn id="7" xr3:uid="{EC779EF2-47DD-4E8F-A8D2-159E83C79180}" uniqueName="FootprintPath1" name="Footprint Path 1" dataDxfId="74">
      <xmlColumnPr mapId="18" xpath="/Capacitors/Part/FootprintPath1" xmlDataType="string"/>
    </tableColumn>
    <tableColumn id="8" xr3:uid="{C244A49A-3E6F-4B22-983D-FFA97DB3DFF6}" uniqueName="FootprintRef1" name="Footprint Ref 1" dataDxfId="73">
      <xmlColumnPr mapId="18" xpath="/Capacitors/Part/FootprintRef1" xmlDataType="string"/>
    </tableColumn>
    <tableColumn id="9" xr3:uid="{85136BD9-A68F-40E0-9A6F-E71ECA929F04}" uniqueName="FootprintPath2" name="Footprint Path 2" dataDxfId="72">
      <xmlColumnPr mapId="18" xpath="/Capacitors/Part/FootprintPath2" xmlDataType="string"/>
    </tableColumn>
    <tableColumn id="10" xr3:uid="{9FB3A5B2-04CB-44F8-A289-C2FB25F43941}" uniqueName="FootprintRef2" name="Footprint Ref 2" dataDxfId="71">
      <xmlColumnPr mapId="18" xpath="/Capacitors/Part/FootprintRef2" xmlDataType="string"/>
    </tableColumn>
    <tableColumn id="11" xr3:uid="{50FA7750-FC9E-444C-8D52-C6B51BBD63C1}" uniqueName="FootprintPath3" name="Footprint Path 3" dataDxfId="70">
      <xmlColumnPr mapId="18" xpath="/Capacitors/Part/FootprintPath3" xmlDataType="string"/>
    </tableColumn>
    <tableColumn id="12" xr3:uid="{CB4B7F73-4E19-42EF-9940-4C2907529981}" uniqueName="FootprintRef3" name="Footprint Ref 3" dataDxfId="69">
      <xmlColumnPr mapId="18" xpath="/Capacitors/Part/FootprintRef3" xmlDataType="string"/>
    </tableColumn>
    <tableColumn id="13" xr3:uid="{6B23463C-82AA-426D-ACBC-49A19C1D46FA}" uniqueName="FootprintPath4" name="Footprint Path 4" dataDxfId="68">
      <xmlColumnPr mapId="18" xpath="/Capacitors/Part/FootprintPath4" xmlDataType="string"/>
    </tableColumn>
    <tableColumn id="14" xr3:uid="{AD691620-AB1F-42E2-B1E4-053F5C2B80E9}" uniqueName="FootprintRef4" name="Footprint Ref 4" dataDxfId="67">
      <xmlColumnPr mapId="18" xpath="/Capacitors/Part/FootprintRef4" xmlDataType="string"/>
    </tableColumn>
    <tableColumn id="15" xr3:uid="{FD0F620C-73A8-49FB-B6E9-F06F81ED3185}" uniqueName="FootprintPath5" name="Footprint Path 5" dataDxfId="66">
      <xmlColumnPr mapId="18" xpath="/Capacitors/Part/FootprintPath5" xmlDataType="string"/>
    </tableColumn>
    <tableColumn id="16" xr3:uid="{F3B1D3FD-D16A-41B6-BA7D-FAFB3CCAEEC4}" uniqueName="FootprintRef5" name="Footprint Ref 5" dataDxfId="65">
      <xmlColumnPr mapId="18" xpath="/Capacitors/Part/FootprintRef5" xmlDataType="string"/>
    </tableColumn>
    <tableColumn id="17" xr3:uid="{130B1CD3-35EC-447E-93DF-ED8F8DC7A59A}" uniqueName="FootprintPath6" name="Footprint Path 6" dataDxfId="64">
      <xmlColumnPr mapId="18" xpath="/Capacitors/Part/FootprintPath6" xmlDataType="string"/>
    </tableColumn>
    <tableColumn id="18" xr3:uid="{77AF5D99-AE0B-40E5-8972-14E04BB93BB4}" uniqueName="FootprintRef6" name="Footprint Ref 6" dataDxfId="63">
      <xmlColumnPr mapId="18" xpath="/Capacitors/Part/FootprintRef6" xmlDataType="string"/>
    </tableColumn>
    <tableColumn id="19" xr3:uid="{6809872D-01AC-4EF6-B33F-6B8DA2D054C9}" uniqueName="FootprintPath7" name="Footprint Path 7" dataDxfId="62">
      <xmlColumnPr mapId="18" xpath="/Capacitors/Part/FootprintPath7" xmlDataType="string"/>
    </tableColumn>
    <tableColumn id="20" xr3:uid="{352E5BAE-89D3-4F1C-AA92-CDC22EDD2B11}" uniqueName="FootprintRef7" name="Footprint Ref 7" dataDxfId="61">
      <xmlColumnPr mapId="18" xpath="/Capacitors/Part/FootprintRef7" xmlDataType="string"/>
    </tableColumn>
    <tableColumn id="21" xr3:uid="{A4B57C00-6D54-4DAD-902D-06A5DE02018A}" uniqueName="21" name="Datasheet" dataDxfId="6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2" tableType="xml" totalsRowShown="0" headerRowDxfId="59" headerRowBorderDxfId="58" tableBorderDxfId="57" connectionId="2">
  <autoFilter ref="A1:N42" xr:uid="{327E2CF9-785D-47F4-832A-C43F8CC576C1}"/>
  <tableColumns count="14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4" tableType="xml" totalsRowShown="0" headerRowDxfId="44" headerRowBorderDxfId="43" tableBorderDxfId="42" connectionId="3">
  <autoFilter ref="A1:O24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4" tableType="xml" totalsRowShown="0" headerRowDxfId="41" connectionId="9">
  <autoFilter ref="A1:Q14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3" tableType="xml" totalsRowShown="0" headerRowDxfId="17" dataDxfId="16" connectionId="11">
  <autoFilter ref="A1:L13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J31" tableType="xml" totalsRowShown="0" headerRowDxfId="3" connectionId="7">
  <autoFilter ref="A1:J31" xr:uid="{1A41BD32-B698-4872-A86C-4CAC56B9AD83}"/>
  <tableColumns count="10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7"/>
  <sheetViews>
    <sheetView zoomScale="85" zoomScaleNormal="85" workbookViewId="0">
      <selection activeCell="C42" sqref="C42"/>
    </sheetView>
  </sheetViews>
  <sheetFormatPr defaultRowHeight="14.5" x14ac:dyDescent="0.35"/>
  <cols>
    <col min="1" max="1" width="21.453125" bestFit="1" customWidth="1"/>
    <col min="2" max="2" width="103.17968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1796875" bestFit="1" customWidth="1"/>
    <col min="7" max="7" width="21.453125" bestFit="1" customWidth="1"/>
    <col min="8" max="8" width="22.81640625" bestFit="1" customWidth="1"/>
    <col min="9" max="9" width="18.1796875" bestFit="1" customWidth="1"/>
    <col min="10" max="10" width="16.453125" customWidth="1"/>
    <col min="11" max="11" width="14.54296875" customWidth="1"/>
    <col min="12" max="12" width="13.17968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3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5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5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5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35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35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35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35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35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35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35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35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35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35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35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35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35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35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5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5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35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35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35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1"/>
  <sheetViews>
    <sheetView workbookViewId="0">
      <selection activeCell="E15" sqref="E15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1796875" customWidth="1"/>
    <col min="4" max="4" width="31.1796875" bestFit="1" customWidth="1"/>
    <col min="5" max="5" width="14.81640625" bestFit="1" customWidth="1"/>
    <col min="6" max="6" width="25.1796875" bestFit="1" customWidth="1"/>
    <col min="7" max="7" width="16.54296875" bestFit="1" customWidth="1"/>
    <col min="8" max="8" width="19.54296875" customWidth="1"/>
    <col min="9" max="9" width="12.1796875" style="2" customWidth="1"/>
    <col min="10" max="10" width="13.1796875" customWidth="1"/>
  </cols>
  <sheetData>
    <row r="1" spans="1:10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10" x14ac:dyDescent="0.35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391</v>
      </c>
      <c r="I3" s="16">
        <v>3</v>
      </c>
    </row>
    <row r="4" spans="1:10" x14ac:dyDescent="0.35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343</v>
      </c>
    </row>
    <row r="5" spans="1:10" x14ac:dyDescent="0.35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6">
        <v>45</v>
      </c>
      <c r="I5" s="16">
        <v>10</v>
      </c>
    </row>
    <row r="6" spans="1:10" x14ac:dyDescent="0.35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10" x14ac:dyDescent="0.35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957</v>
      </c>
    </row>
    <row r="8" spans="1:10" x14ac:dyDescent="0.35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6">
        <v>70</v>
      </c>
      <c r="I8" s="16" t="s">
        <v>1034</v>
      </c>
    </row>
    <row r="9" spans="1:10" x14ac:dyDescent="0.35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10" x14ac:dyDescent="0.35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10" x14ac:dyDescent="0.35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sqref="A1:M5"/>
    </sheetView>
  </sheetViews>
  <sheetFormatPr defaultRowHeight="14.5" x14ac:dyDescent="0.35"/>
  <cols>
    <col min="1" max="1" width="13.81640625" bestFit="1" customWidth="1"/>
    <col min="2" max="2" width="46.8164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  <col min="12" max="12" width="10.7265625" customWidth="1"/>
    <col min="13" max="13" width="15.179687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3" customHeight="1" x14ac:dyDescent="0.35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35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35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35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35">
      <c r="H6" s="2"/>
      <c r="I6" s="2"/>
      <c r="J6" s="2"/>
      <c r="K6" s="2"/>
    </row>
    <row r="7" spans="1:13" x14ac:dyDescent="0.35">
      <c r="H7" s="2"/>
      <c r="I7" s="2"/>
      <c r="J7" s="2"/>
      <c r="K7" s="2"/>
    </row>
    <row r="8" spans="1:13" x14ac:dyDescent="0.35">
      <c r="H8" s="2"/>
      <c r="I8" s="2"/>
      <c r="J8" s="2"/>
      <c r="K8" s="2"/>
    </row>
    <row r="9" spans="1:13" x14ac:dyDescent="0.35">
      <c r="H9" s="2"/>
      <c r="I9" s="2"/>
      <c r="J9" s="2"/>
      <c r="K9" s="2"/>
    </row>
    <row r="10" spans="1:13" x14ac:dyDescent="0.35">
      <c r="H10" s="2"/>
      <c r="I10" s="2"/>
      <c r="J10" s="2"/>
      <c r="K10" s="2"/>
    </row>
    <row r="11" spans="1:13" x14ac:dyDescent="0.35">
      <c r="H11" s="2"/>
      <c r="I11" s="2"/>
      <c r="J11" s="2"/>
      <c r="K11" s="2"/>
    </row>
    <row r="12" spans="1:13" x14ac:dyDescent="0.35">
      <c r="H12" s="2"/>
      <c r="I12" s="2"/>
      <c r="J12" s="2"/>
      <c r="K12" s="2"/>
    </row>
    <row r="13" spans="1:13" x14ac:dyDescent="0.35">
      <c r="H13" s="2"/>
      <c r="I13" s="2"/>
      <c r="J13" s="2"/>
      <c r="K13" s="2"/>
    </row>
    <row r="14" spans="1:13" x14ac:dyDescent="0.35">
      <c r="H14" s="2"/>
      <c r="I14" s="2"/>
      <c r="J14" s="2"/>
      <c r="K14" s="2"/>
    </row>
    <row r="15" spans="1:13" x14ac:dyDescent="0.35">
      <c r="H15" s="2"/>
      <c r="I15" s="2"/>
      <c r="J15" s="2"/>
      <c r="K15" s="2"/>
    </row>
    <row r="16" spans="1:13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9"/>
  <sheetViews>
    <sheetView workbookViewId="0">
      <selection activeCell="F13" sqref="F13"/>
    </sheetView>
  </sheetViews>
  <sheetFormatPr defaultRowHeight="14.5" x14ac:dyDescent="0.35"/>
  <cols>
    <col min="1" max="1" width="20.453125" customWidth="1"/>
    <col min="2" max="2" width="49.54296875" customWidth="1"/>
    <col min="3" max="3" width="15.81640625" customWidth="1"/>
    <col min="4" max="4" width="26.453125" customWidth="1"/>
    <col min="5" max="5" width="11.81640625" customWidth="1"/>
    <col min="6" max="6" width="16.453125" customWidth="1"/>
    <col min="7" max="7" width="15.453125" customWidth="1"/>
    <col min="8" max="8" width="19.54296875" customWidth="1"/>
    <col min="9" max="9" width="11.81640625" customWidth="1"/>
    <col min="10" max="10" width="8" bestFit="1" customWidth="1"/>
    <col min="11" max="11" width="10.453125" customWidth="1"/>
    <col min="12" max="12" width="13.0898437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  <c r="L2" s="18"/>
    </row>
    <row r="3" spans="1:12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  <c r="L3" s="18"/>
    </row>
    <row r="4" spans="1:12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  <c r="L4" s="18"/>
    </row>
    <row r="5" spans="1:12" x14ac:dyDescent="0.35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  <c r="L5" s="18"/>
    </row>
    <row r="6" spans="1:12" x14ac:dyDescent="0.35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  <c r="L6" s="18"/>
    </row>
    <row r="7" spans="1:12" x14ac:dyDescent="0.35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  <c r="L7" s="18"/>
    </row>
    <row r="8" spans="1:12" x14ac:dyDescent="0.35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  <c r="L8" s="18"/>
    </row>
    <row r="9" spans="1:12" x14ac:dyDescent="0.35">
      <c r="A9" s="18" t="s">
        <v>1095</v>
      </c>
      <c r="B9" s="18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s="18" t="str">
        <f>A9</f>
        <v>SM15T33A</v>
      </c>
      <c r="D9" s="18" t="str">
        <f>CONCATENATE("Schematic\TVS\",E9,".SchLib")</f>
        <v>Schematic\TVS\TVS_1_1dir.SchLib</v>
      </c>
      <c r="E9" t="s">
        <v>80</v>
      </c>
      <c r="F9" s="18" t="str">
        <f>CONCATENATE("Footprints\",G9,".PcbLib")</f>
        <v>Footprints\SMC.PcbLib</v>
      </c>
      <c r="G9" s="18" t="s">
        <v>88</v>
      </c>
      <c r="H9" s="18">
        <v>30</v>
      </c>
      <c r="I9" s="18">
        <v>1500</v>
      </c>
      <c r="J9" s="18" t="str">
        <f xml:space="preserve"> CONCATENATE(H9," В")</f>
        <v>30 В</v>
      </c>
      <c r="K9" s="18"/>
      <c r="L9" s="18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D17" sqref="D17"/>
    </sheetView>
  </sheetViews>
  <sheetFormatPr defaultRowHeight="14.5" x14ac:dyDescent="0.35"/>
  <cols>
    <col min="1" max="1" width="14.81640625" customWidth="1"/>
    <col min="2" max="2" width="22" bestFit="1" customWidth="1"/>
    <col min="3" max="3" width="12.453125" bestFit="1" customWidth="1"/>
    <col min="4" max="4" width="35.81640625" bestFit="1" customWidth="1"/>
    <col min="5" max="5" width="24.453125" bestFit="1" customWidth="1"/>
    <col min="6" max="6" width="23.1796875" bestFit="1" customWidth="1"/>
    <col min="7" max="7" width="16.81640625" customWidth="1"/>
    <col min="8" max="8" width="29.81640625" bestFit="1" customWidth="1"/>
    <col min="9" max="9" width="16.81640625" customWidth="1"/>
    <col min="12" max="12" width="13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5" x14ac:dyDescent="0.3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5" x14ac:dyDescent="0.3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7"/>
  <sheetViews>
    <sheetView zoomScaleNormal="100" workbookViewId="0">
      <selection activeCell="N13" sqref="N13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17968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1796875" bestFit="1" customWidth="1"/>
    <col min="8" max="8" width="32" bestFit="1" customWidth="1"/>
    <col min="9" max="9" width="16.81640625" bestFit="1" customWidth="1"/>
    <col min="10" max="10" width="31.1796875" customWidth="1"/>
    <col min="11" max="11" width="18.1796875" customWidth="1"/>
    <col min="12" max="12" width="16.81640625" customWidth="1"/>
    <col min="13" max="13" width="18.1796875" customWidth="1"/>
    <col min="14" max="14" width="16.8164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1140</v>
      </c>
      <c r="M1" s="1"/>
      <c r="N1" s="1"/>
      <c r="O1" s="1"/>
    </row>
    <row r="2" spans="1:15" ht="15.5" x14ac:dyDescent="0.3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</row>
    <row r="3" spans="1:15" ht="15.5" x14ac:dyDescent="0.3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</row>
    <row r="4" spans="1:15" ht="15.5" x14ac:dyDescent="0.3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</row>
    <row r="5" spans="1:15" ht="15.5" x14ac:dyDescent="0.3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</row>
    <row r="6" spans="1:15" ht="15.5" x14ac:dyDescent="0.3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</row>
    <row r="7" spans="1:15" ht="15.5" x14ac:dyDescent="0.3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</row>
    <row r="8" spans="1:15" ht="15.5" x14ac:dyDescent="0.3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</row>
    <row r="9" spans="1:15" ht="15.5" x14ac:dyDescent="0.3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</row>
    <row r="10" spans="1:15" ht="15.5" x14ac:dyDescent="0.3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</row>
    <row r="11" spans="1:15" ht="15.5" x14ac:dyDescent="0.3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</row>
    <row r="12" spans="1:15" ht="15.5" x14ac:dyDescent="0.3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</row>
    <row r="13" spans="1:15" ht="15.5" x14ac:dyDescent="0.3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</row>
    <row r="14" spans="1:15" ht="15.5" x14ac:dyDescent="0.3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</row>
    <row r="15" spans="1:15" ht="15.5" x14ac:dyDescent="0.3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</row>
    <row r="16" spans="1:15" ht="15.5" x14ac:dyDescent="0.3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</row>
    <row r="17" spans="1:12" ht="15.5" x14ac:dyDescent="0.3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</row>
    <row r="18" spans="1:12" ht="15.5" x14ac:dyDescent="0.3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</row>
    <row r="19" spans="1:12" ht="15.5" x14ac:dyDescent="0.3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</row>
    <row r="20" spans="1:12" ht="15.5" x14ac:dyDescent="0.3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</row>
    <row r="21" spans="1:12" ht="15.5" x14ac:dyDescent="0.3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</row>
    <row r="22" spans="1:12" ht="15.5" x14ac:dyDescent="0.3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</row>
    <row r="23" spans="1:12" ht="15.5" x14ac:dyDescent="0.3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</row>
    <row r="24" spans="1:12" ht="15.5" x14ac:dyDescent="0.3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</row>
    <row r="25" spans="1:12" ht="15.5" x14ac:dyDescent="0.3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</row>
    <row r="26" spans="1:12" ht="15.5" x14ac:dyDescent="0.3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</row>
    <row r="27" spans="1:12" ht="15.5" x14ac:dyDescent="0.3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</row>
    <row r="28" spans="1:12" ht="15.5" x14ac:dyDescent="0.3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</row>
    <row r="29" spans="1:12" ht="15.5" x14ac:dyDescent="0.3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</row>
    <row r="30" spans="1:12" ht="15.5" x14ac:dyDescent="0.3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</row>
    <row r="31" spans="1:12" ht="15.5" x14ac:dyDescent="0.3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</row>
    <row r="32" spans="1:12" ht="15.5" x14ac:dyDescent="0.3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</row>
    <row r="33" spans="1:12" ht="15.5" x14ac:dyDescent="0.3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</row>
    <row r="34" spans="1:12" ht="15.5" x14ac:dyDescent="0.3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</row>
    <row r="35" spans="1:12" ht="15.5" x14ac:dyDescent="0.3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</row>
    <row r="36" spans="1:12" ht="15.5" x14ac:dyDescent="0.3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</row>
    <row r="37" spans="1:12" ht="15.5" x14ac:dyDescent="0.3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</row>
    <row r="38" spans="1:12" ht="15.5" x14ac:dyDescent="0.3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</row>
    <row r="39" spans="1:12" ht="15.5" x14ac:dyDescent="0.3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</row>
    <row r="40" spans="1:12" ht="15.5" x14ac:dyDescent="0.3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</row>
    <row r="41" spans="1:12" ht="15.5" x14ac:dyDescent="0.3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</row>
    <row r="42" spans="1:12" ht="15.5" x14ac:dyDescent="0.3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</row>
    <row r="43" spans="1:12" ht="15.5" x14ac:dyDescent="0.3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</row>
    <row r="44" spans="1:12" ht="15.5" x14ac:dyDescent="0.3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</row>
    <row r="45" spans="1:12" ht="15.5" x14ac:dyDescent="0.3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</row>
    <row r="46" spans="1:12" ht="15.5" x14ac:dyDescent="0.3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</row>
    <row r="47" spans="1:12" ht="15.5" x14ac:dyDescent="0.3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</row>
    <row r="48" spans="1:12" ht="15.5" x14ac:dyDescent="0.3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</row>
    <row r="49" spans="1:12" ht="15.5" x14ac:dyDescent="0.3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</row>
    <row r="50" spans="1:12" ht="15.5" x14ac:dyDescent="0.3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</row>
    <row r="51" spans="1:12" ht="15.5" x14ac:dyDescent="0.3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</row>
    <row r="52" spans="1:12" ht="15.5" x14ac:dyDescent="0.3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</row>
    <row r="53" spans="1:12" ht="15.5" x14ac:dyDescent="0.3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</row>
    <row r="54" spans="1:12" ht="15.5" x14ac:dyDescent="0.3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</row>
    <row r="55" spans="1:12" ht="15.5" x14ac:dyDescent="0.3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</row>
    <row r="56" spans="1:12" ht="15.5" x14ac:dyDescent="0.3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</row>
    <row r="57" spans="1:12" ht="15.5" x14ac:dyDescent="0.3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</row>
    <row r="58" spans="1:12" ht="15.5" x14ac:dyDescent="0.3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/>
      <c r="K58" s="1"/>
      <c r="L58" s="1"/>
    </row>
    <row r="59" spans="1:12" ht="15.5" x14ac:dyDescent="0.3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</row>
    <row r="60" spans="1:12" ht="15.5" x14ac:dyDescent="0.3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/>
      <c r="K60" s="1"/>
      <c r="L60" s="1"/>
    </row>
    <row r="61" spans="1:12" ht="15.5" x14ac:dyDescent="0.3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</row>
    <row r="62" spans="1:12" ht="15.5" x14ac:dyDescent="0.3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</row>
    <row r="63" spans="1:12" ht="15.5" x14ac:dyDescent="0.3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</row>
    <row r="64" spans="1:12" ht="15.5" x14ac:dyDescent="0.3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</row>
    <row r="65" spans="1:12" ht="15.5" x14ac:dyDescent="0.3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</row>
    <row r="66" spans="1:12" ht="15.5" x14ac:dyDescent="0.3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/>
      <c r="K66" s="1"/>
      <c r="L66" s="1"/>
    </row>
    <row r="67" spans="1:12" ht="15.5" x14ac:dyDescent="0.3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</row>
    <row r="68" spans="1:12" ht="15.5" x14ac:dyDescent="0.3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</row>
    <row r="69" spans="1:12" ht="15.5" x14ac:dyDescent="0.3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</row>
    <row r="70" spans="1:12" ht="15.5" x14ac:dyDescent="0.3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</row>
    <row r="71" spans="1:12" ht="15.5" x14ac:dyDescent="0.3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</row>
    <row r="72" spans="1:12" ht="15.5" x14ac:dyDescent="0.3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</row>
    <row r="73" spans="1:12" ht="15.5" x14ac:dyDescent="0.3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</row>
    <row r="74" spans="1:12" ht="15.5" x14ac:dyDescent="0.3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1"/>
      <c r="K74" s="1"/>
      <c r="L74" s="1"/>
    </row>
    <row r="75" spans="1:12" ht="15.5" x14ac:dyDescent="0.3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</row>
    <row r="76" spans="1:12" ht="15.5" x14ac:dyDescent="0.3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</row>
    <row r="77" spans="1:12" ht="15.5" x14ac:dyDescent="0.35">
      <c r="A77" s="3" t="s">
        <v>203</v>
      </c>
      <c r="B77" s="3" t="s">
        <v>597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  <c r="L77" s="1"/>
    </row>
    <row r="78" spans="1:12" ht="15.5" x14ac:dyDescent="0.35">
      <c r="A78" s="3" t="s">
        <v>205</v>
      </c>
      <c r="B78" s="3" t="s">
        <v>598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  <c r="L78" s="1"/>
    </row>
    <row r="79" spans="1:12" ht="15.5" x14ac:dyDescent="0.35">
      <c r="A79" s="3" t="s">
        <v>207</v>
      </c>
      <c r="B79" s="3" t="s">
        <v>599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3" t="s">
        <v>898</v>
      </c>
      <c r="K79" s="1" t="s">
        <v>897</v>
      </c>
      <c r="L79" s="1"/>
    </row>
    <row r="80" spans="1:12" ht="15.5" x14ac:dyDescent="0.35">
      <c r="A80" s="3" t="s">
        <v>209</v>
      </c>
      <c r="B80" s="3" t="s">
        <v>600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  <c r="L80" s="1"/>
    </row>
    <row r="81" spans="1:12" ht="15.5" x14ac:dyDescent="0.35">
      <c r="A81" s="3" t="s">
        <v>484</v>
      </c>
      <c r="B81" s="3" t="s">
        <v>601</v>
      </c>
      <c r="C81" s="3" t="s">
        <v>26</v>
      </c>
      <c r="D81" s="3" t="s">
        <v>29</v>
      </c>
      <c r="E81" s="3" t="s">
        <v>26</v>
      </c>
      <c r="F81" s="3" t="s">
        <v>431</v>
      </c>
      <c r="G81" s="4">
        <v>0.01</v>
      </c>
      <c r="H81" s="3" t="s">
        <v>136</v>
      </c>
      <c r="I81" s="3" t="s">
        <v>32</v>
      </c>
      <c r="J81" s="1"/>
      <c r="K81" s="1"/>
      <c r="L81" s="1"/>
    </row>
    <row r="82" spans="1:12" ht="15.5" x14ac:dyDescent="0.35">
      <c r="A82" s="3" t="s">
        <v>211</v>
      </c>
      <c r="B82" s="3" t="s">
        <v>602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  <c r="L82" s="1"/>
    </row>
    <row r="83" spans="1:12" ht="15.5" x14ac:dyDescent="0.35">
      <c r="A83" s="3" t="s">
        <v>213</v>
      </c>
      <c r="B83" s="3" t="s">
        <v>603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  <c r="L83" s="1"/>
    </row>
    <row r="84" spans="1:12" ht="15.5" x14ac:dyDescent="0.35">
      <c r="A84" s="3" t="s">
        <v>485</v>
      </c>
      <c r="B84" s="3" t="s">
        <v>604</v>
      </c>
      <c r="C84" s="3" t="s">
        <v>26</v>
      </c>
      <c r="D84" s="3" t="s">
        <v>29</v>
      </c>
      <c r="E84" s="3" t="s">
        <v>26</v>
      </c>
      <c r="F84" s="3" t="s">
        <v>432</v>
      </c>
      <c r="G84" s="4">
        <v>0.01</v>
      </c>
      <c r="H84" s="3" t="s">
        <v>136</v>
      </c>
      <c r="I84" s="3" t="s">
        <v>32</v>
      </c>
      <c r="J84" s="1"/>
      <c r="K84" s="1"/>
      <c r="L84" s="1"/>
    </row>
    <row r="85" spans="1:12" ht="15.5" x14ac:dyDescent="0.35">
      <c r="A85" s="3" t="s">
        <v>486</v>
      </c>
      <c r="B85" s="3" t="s">
        <v>605</v>
      </c>
      <c r="C85" s="3" t="s">
        <v>26</v>
      </c>
      <c r="D85" s="3" t="s">
        <v>29</v>
      </c>
      <c r="E85" s="3" t="s">
        <v>26</v>
      </c>
      <c r="F85" s="3" t="s">
        <v>433</v>
      </c>
      <c r="G85" s="4">
        <v>0.01</v>
      </c>
      <c r="H85" s="3" t="s">
        <v>136</v>
      </c>
      <c r="I85" s="3" t="s">
        <v>32</v>
      </c>
      <c r="J85" s="3" t="s">
        <v>898</v>
      </c>
      <c r="K85" s="1" t="s">
        <v>897</v>
      </c>
      <c r="L85" s="1"/>
    </row>
    <row r="86" spans="1:12" ht="15.5" x14ac:dyDescent="0.35">
      <c r="A86" s="3" t="s">
        <v>487</v>
      </c>
      <c r="B86" s="3" t="s">
        <v>606</v>
      </c>
      <c r="C86" s="3" t="s">
        <v>26</v>
      </c>
      <c r="D86" s="3" t="s">
        <v>29</v>
      </c>
      <c r="E86" s="3" t="s">
        <v>26</v>
      </c>
      <c r="F86" s="3" t="s">
        <v>434</v>
      </c>
      <c r="G86" s="4">
        <v>0.01</v>
      </c>
      <c r="H86" s="3" t="s">
        <v>136</v>
      </c>
      <c r="I86" s="3" t="s">
        <v>32</v>
      </c>
      <c r="J86" s="3" t="s">
        <v>898</v>
      </c>
      <c r="K86" s="1" t="s">
        <v>897</v>
      </c>
      <c r="L86" s="1"/>
    </row>
    <row r="87" spans="1:12" ht="15.5" x14ac:dyDescent="0.35">
      <c r="A87" s="3" t="s">
        <v>488</v>
      </c>
      <c r="B87" s="3" t="s">
        <v>607</v>
      </c>
      <c r="C87" s="3" t="s">
        <v>26</v>
      </c>
      <c r="D87" s="3" t="s">
        <v>29</v>
      </c>
      <c r="E87" s="3" t="s">
        <v>26</v>
      </c>
      <c r="F87" s="3" t="s">
        <v>435</v>
      </c>
      <c r="G87" s="4">
        <v>0.01</v>
      </c>
      <c r="H87" s="3" t="s">
        <v>136</v>
      </c>
      <c r="I87" s="3" t="s">
        <v>32</v>
      </c>
      <c r="J87" s="1"/>
      <c r="K87" s="1"/>
      <c r="L87" s="1"/>
    </row>
    <row r="88" spans="1:12" ht="15.5" x14ac:dyDescent="0.35">
      <c r="A88" s="3" t="s">
        <v>489</v>
      </c>
      <c r="B88" s="3" t="s">
        <v>608</v>
      </c>
      <c r="C88" s="3" t="s">
        <v>26</v>
      </c>
      <c r="D88" s="3" t="s">
        <v>29</v>
      </c>
      <c r="E88" s="3" t="s">
        <v>26</v>
      </c>
      <c r="F88" s="3" t="s">
        <v>436</v>
      </c>
      <c r="G88" s="4">
        <v>0.01</v>
      </c>
      <c r="H88" s="3" t="s">
        <v>136</v>
      </c>
      <c r="I88" s="3" t="s">
        <v>32</v>
      </c>
      <c r="J88" s="1"/>
      <c r="K88" s="1"/>
      <c r="L88" s="1"/>
    </row>
    <row r="89" spans="1:12" ht="15.5" x14ac:dyDescent="0.35">
      <c r="A89" s="3" t="s">
        <v>490</v>
      </c>
      <c r="B89" s="3" t="s">
        <v>609</v>
      </c>
      <c r="C89" s="3" t="s">
        <v>26</v>
      </c>
      <c r="D89" s="3" t="s">
        <v>29</v>
      </c>
      <c r="E89" s="3" t="s">
        <v>26</v>
      </c>
      <c r="F89" s="3" t="s">
        <v>437</v>
      </c>
      <c r="G89" s="4">
        <v>0.01</v>
      </c>
      <c r="H89" s="3" t="s">
        <v>136</v>
      </c>
      <c r="I89" s="3" t="s">
        <v>32</v>
      </c>
      <c r="J89" s="1"/>
      <c r="K89" s="1"/>
      <c r="L89" s="1"/>
    </row>
    <row r="90" spans="1:12" ht="15.5" x14ac:dyDescent="0.35">
      <c r="A90" s="3" t="s">
        <v>491</v>
      </c>
      <c r="B90" s="3" t="s">
        <v>610</v>
      </c>
      <c r="C90" s="3" t="s">
        <v>26</v>
      </c>
      <c r="D90" s="3" t="s">
        <v>29</v>
      </c>
      <c r="E90" s="3" t="s">
        <v>26</v>
      </c>
      <c r="F90" s="3" t="s">
        <v>438</v>
      </c>
      <c r="G90" s="4">
        <v>0.01</v>
      </c>
      <c r="H90" s="3" t="s">
        <v>136</v>
      </c>
      <c r="I90" s="3" t="s">
        <v>32</v>
      </c>
      <c r="J90" s="1"/>
      <c r="K90" s="1"/>
      <c r="L90" s="1"/>
    </row>
    <row r="91" spans="1:12" ht="15.5" x14ac:dyDescent="0.35">
      <c r="A91" s="3" t="s">
        <v>215</v>
      </c>
      <c r="B91" s="3" t="s">
        <v>611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  <c r="L91" s="1"/>
    </row>
    <row r="92" spans="1:12" ht="15.5" x14ac:dyDescent="0.35">
      <c r="A92" s="3" t="s">
        <v>217</v>
      </c>
      <c r="B92" s="3" t="s">
        <v>612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  <c r="L92" s="1"/>
    </row>
    <row r="93" spans="1:12" ht="15.5" x14ac:dyDescent="0.35">
      <c r="A93" s="3" t="s">
        <v>219</v>
      </c>
      <c r="B93" s="3" t="s">
        <v>613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  <c r="L93" s="1"/>
    </row>
    <row r="94" spans="1:12" ht="15.5" x14ac:dyDescent="0.35">
      <c r="A94" s="3" t="s">
        <v>221</v>
      </c>
      <c r="B94" s="3" t="s">
        <v>614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  <c r="L94" s="1"/>
    </row>
    <row r="95" spans="1:12" ht="15.5" x14ac:dyDescent="0.35">
      <c r="A95" s="3" t="s">
        <v>223</v>
      </c>
      <c r="B95" s="3" t="s">
        <v>615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  <c r="L95" s="1"/>
    </row>
    <row r="96" spans="1:12" ht="15.5" x14ac:dyDescent="0.35">
      <c r="A96" s="3" t="s">
        <v>518</v>
      </c>
      <c r="B96" s="3" t="s">
        <v>616</v>
      </c>
      <c r="C96" s="3" t="s">
        <v>26</v>
      </c>
      <c r="D96" s="3" t="s">
        <v>29</v>
      </c>
      <c r="E96" s="3" t="s">
        <v>26</v>
      </c>
      <c r="F96" s="3" t="s">
        <v>694</v>
      </c>
      <c r="G96" s="4">
        <v>0.01</v>
      </c>
      <c r="H96" s="3" t="s">
        <v>136</v>
      </c>
      <c r="I96" s="3" t="s">
        <v>32</v>
      </c>
      <c r="J96" s="1"/>
      <c r="K96" s="1"/>
      <c r="L96" s="1"/>
    </row>
    <row r="97" spans="1:12" ht="15.5" x14ac:dyDescent="0.35">
      <c r="A97" s="3" t="s">
        <v>225</v>
      </c>
      <c r="B97" s="3" t="s">
        <v>617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  <c r="L97" s="1"/>
    </row>
    <row r="98" spans="1:12" ht="15.5" x14ac:dyDescent="0.35">
      <c r="A98" s="3" t="s">
        <v>227</v>
      </c>
      <c r="B98" s="3" t="s">
        <v>618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3" t="s">
        <v>898</v>
      </c>
      <c r="K98" s="1" t="s">
        <v>897</v>
      </c>
      <c r="L98" s="1"/>
    </row>
    <row r="99" spans="1:12" ht="15.5" x14ac:dyDescent="0.35">
      <c r="A99" s="3" t="s">
        <v>229</v>
      </c>
      <c r="B99" s="3" t="s">
        <v>619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  <c r="L99" s="1"/>
    </row>
    <row r="100" spans="1:12" ht="15.5" x14ac:dyDescent="0.35">
      <c r="A100" s="3" t="s">
        <v>492</v>
      </c>
      <c r="B100" s="3" t="s">
        <v>620</v>
      </c>
      <c r="C100" s="3" t="s">
        <v>26</v>
      </c>
      <c r="D100" s="3" t="s">
        <v>29</v>
      </c>
      <c r="E100" s="3" t="s">
        <v>26</v>
      </c>
      <c r="F100" s="3" t="s">
        <v>439</v>
      </c>
      <c r="G100" s="4">
        <v>0.01</v>
      </c>
      <c r="H100" s="3" t="s">
        <v>136</v>
      </c>
      <c r="I100" s="3" t="s">
        <v>32</v>
      </c>
      <c r="J100" s="1"/>
      <c r="K100" s="1"/>
      <c r="L100" s="1"/>
    </row>
    <row r="101" spans="1:12" ht="15.5" x14ac:dyDescent="0.35">
      <c r="A101" s="3" t="s">
        <v>231</v>
      </c>
      <c r="B101" s="3" t="s">
        <v>621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  <c r="L101" s="1"/>
    </row>
    <row r="102" spans="1:12" ht="15.5" x14ac:dyDescent="0.35">
      <c r="A102" s="3" t="s">
        <v>233</v>
      </c>
      <c r="B102" s="3" t="s">
        <v>622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  <c r="L102" s="1"/>
    </row>
    <row r="103" spans="1:12" ht="15.5" x14ac:dyDescent="0.35">
      <c r="A103" s="3" t="s">
        <v>235</v>
      </c>
      <c r="B103" s="3" t="s">
        <v>623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  <c r="L103" s="1"/>
    </row>
    <row r="104" spans="1:12" ht="15.5" x14ac:dyDescent="0.35">
      <c r="A104" s="3" t="s">
        <v>237</v>
      </c>
      <c r="B104" s="3" t="s">
        <v>624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  <c r="L104" s="1"/>
    </row>
    <row r="105" spans="1:12" ht="15.5" x14ac:dyDescent="0.35">
      <c r="A105" s="3" t="s">
        <v>239</v>
      </c>
      <c r="B105" s="3" t="s">
        <v>625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  <c r="L105" s="1"/>
    </row>
    <row r="106" spans="1:12" ht="15.5" x14ac:dyDescent="0.35">
      <c r="A106" s="3" t="s">
        <v>241</v>
      </c>
      <c r="B106" s="3" t="s">
        <v>626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  <c r="L106" s="1"/>
    </row>
    <row r="107" spans="1:12" ht="15.5" x14ac:dyDescent="0.35">
      <c r="A107" s="3" t="s">
        <v>243</v>
      </c>
      <c r="B107" s="3" t="s">
        <v>627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  <c r="L107" s="1"/>
    </row>
    <row r="108" spans="1:12" ht="15.5" x14ac:dyDescent="0.35">
      <c r="A108" s="3" t="s">
        <v>493</v>
      </c>
      <c r="B108" s="3" t="s">
        <v>628</v>
      </c>
      <c r="C108" s="3" t="s">
        <v>26</v>
      </c>
      <c r="D108" s="3" t="s">
        <v>29</v>
      </c>
      <c r="E108" s="3" t="s">
        <v>26</v>
      </c>
      <c r="F108" s="3" t="s">
        <v>440</v>
      </c>
      <c r="G108" s="4">
        <v>0.01</v>
      </c>
      <c r="H108" s="3" t="s">
        <v>136</v>
      </c>
      <c r="I108" s="3" t="s">
        <v>32</v>
      </c>
      <c r="J108" s="1"/>
      <c r="K108" s="1"/>
      <c r="L108" s="1"/>
    </row>
    <row r="109" spans="1:12" ht="15.5" x14ac:dyDescent="0.35">
      <c r="A109" s="3" t="s">
        <v>494</v>
      </c>
      <c r="B109" s="3" t="s">
        <v>629</v>
      </c>
      <c r="C109" s="3" t="s">
        <v>26</v>
      </c>
      <c r="D109" s="3" t="s">
        <v>29</v>
      </c>
      <c r="E109" s="3" t="s">
        <v>26</v>
      </c>
      <c r="F109" s="3" t="s">
        <v>441</v>
      </c>
      <c r="G109" s="4">
        <v>0.01</v>
      </c>
      <c r="H109" s="3" t="s">
        <v>136</v>
      </c>
      <c r="I109" s="3" t="s">
        <v>32</v>
      </c>
      <c r="J109" s="1"/>
      <c r="K109" s="1"/>
      <c r="L109" s="1"/>
    </row>
    <row r="110" spans="1:12" ht="15.5" x14ac:dyDescent="0.35">
      <c r="A110" s="3" t="s">
        <v>853</v>
      </c>
      <c r="B110" s="3" t="s">
        <v>855</v>
      </c>
      <c r="C110" s="3" t="s">
        <v>26</v>
      </c>
      <c r="D110" s="3" t="s">
        <v>29</v>
      </c>
      <c r="E110" s="3" t="s">
        <v>26</v>
      </c>
      <c r="F110" s="1" t="s">
        <v>854</v>
      </c>
      <c r="G110" s="4">
        <v>0.01</v>
      </c>
      <c r="H110" s="3" t="s">
        <v>136</v>
      </c>
      <c r="I110" s="3" t="s">
        <v>32</v>
      </c>
      <c r="J110" s="1"/>
      <c r="K110" s="1"/>
      <c r="L110" s="1"/>
    </row>
    <row r="111" spans="1:12" ht="15.5" x14ac:dyDescent="0.35">
      <c r="A111" s="3" t="s">
        <v>495</v>
      </c>
      <c r="B111" s="3" t="s">
        <v>630</v>
      </c>
      <c r="C111" s="3" t="s">
        <v>26</v>
      </c>
      <c r="D111" s="3" t="s">
        <v>29</v>
      </c>
      <c r="E111" s="3" t="s">
        <v>26</v>
      </c>
      <c r="F111" s="3" t="s">
        <v>442</v>
      </c>
      <c r="G111" s="4">
        <v>0.01</v>
      </c>
      <c r="H111" s="3" t="s">
        <v>136</v>
      </c>
      <c r="I111" s="3" t="s">
        <v>32</v>
      </c>
      <c r="J111" s="1"/>
      <c r="K111" s="1"/>
      <c r="L111" s="1"/>
    </row>
    <row r="112" spans="1:12" ht="15.5" x14ac:dyDescent="0.35">
      <c r="A112" s="3" t="s">
        <v>496</v>
      </c>
      <c r="B112" s="3" t="s">
        <v>631</v>
      </c>
      <c r="C112" s="3" t="s">
        <v>26</v>
      </c>
      <c r="D112" s="3" t="s">
        <v>29</v>
      </c>
      <c r="E112" s="3" t="s">
        <v>26</v>
      </c>
      <c r="F112" s="3" t="s">
        <v>443</v>
      </c>
      <c r="G112" s="4">
        <v>0.01</v>
      </c>
      <c r="H112" s="3" t="s">
        <v>136</v>
      </c>
      <c r="I112" s="3" t="s">
        <v>32</v>
      </c>
      <c r="J112" s="1"/>
      <c r="K112" s="1"/>
      <c r="L112" s="1"/>
    </row>
    <row r="113" spans="1:12" ht="15.5" x14ac:dyDescent="0.35">
      <c r="A113" s="3" t="s">
        <v>497</v>
      </c>
      <c r="B113" s="3" t="s">
        <v>632</v>
      </c>
      <c r="C113" s="3" t="s">
        <v>26</v>
      </c>
      <c r="D113" s="3" t="s">
        <v>29</v>
      </c>
      <c r="E113" s="3" t="s">
        <v>26</v>
      </c>
      <c r="F113" s="3" t="s">
        <v>444</v>
      </c>
      <c r="G113" s="4">
        <v>0.01</v>
      </c>
      <c r="H113" s="3" t="s">
        <v>136</v>
      </c>
      <c r="I113" s="3" t="s">
        <v>32</v>
      </c>
      <c r="J113" s="1"/>
      <c r="K113" s="1"/>
      <c r="L113" s="1"/>
    </row>
    <row r="114" spans="1:12" ht="15.5" x14ac:dyDescent="0.35">
      <c r="A114" s="3" t="s">
        <v>498</v>
      </c>
      <c r="B114" s="3" t="s">
        <v>633</v>
      </c>
      <c r="C114" s="3" t="s">
        <v>26</v>
      </c>
      <c r="D114" s="3" t="s">
        <v>29</v>
      </c>
      <c r="E114" s="3" t="s">
        <v>26</v>
      </c>
      <c r="F114" s="3" t="s">
        <v>445</v>
      </c>
      <c r="G114" s="4">
        <v>0.01</v>
      </c>
      <c r="H114" s="3" t="s">
        <v>136</v>
      </c>
      <c r="I114" s="3" t="s">
        <v>32</v>
      </c>
      <c r="J114" s="1"/>
      <c r="K114" s="1"/>
      <c r="L114" s="1"/>
    </row>
    <row r="115" spans="1:12" ht="15.5" x14ac:dyDescent="0.35">
      <c r="A115" s="3" t="s">
        <v>499</v>
      </c>
      <c r="B115" s="3" t="s">
        <v>634</v>
      </c>
      <c r="C115" s="3" t="s">
        <v>26</v>
      </c>
      <c r="D115" s="3" t="s">
        <v>29</v>
      </c>
      <c r="E115" s="3" t="s">
        <v>26</v>
      </c>
      <c r="F115" s="3" t="s">
        <v>446</v>
      </c>
      <c r="G115" s="4">
        <v>0.01</v>
      </c>
      <c r="H115" s="3" t="s">
        <v>136</v>
      </c>
      <c r="I115" s="3" t="s">
        <v>32</v>
      </c>
      <c r="J115" s="1"/>
      <c r="K115" s="1"/>
      <c r="L115" s="1"/>
    </row>
    <row r="116" spans="1:12" ht="15.5" x14ac:dyDescent="0.35">
      <c r="A116" s="3" t="s">
        <v>245</v>
      </c>
      <c r="B116" s="3" t="s">
        <v>635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  <c r="L116" s="1"/>
    </row>
    <row r="117" spans="1:12" ht="15.5" x14ac:dyDescent="0.35">
      <c r="A117" s="3" t="s">
        <v>247</v>
      </c>
      <c r="B117" s="3" t="s">
        <v>636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  <c r="L117" s="1"/>
    </row>
    <row r="118" spans="1:12" ht="15.5" x14ac:dyDescent="0.35">
      <c r="A118" s="3" t="s">
        <v>249</v>
      </c>
      <c r="B118" s="3" t="s">
        <v>637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  <c r="L118" s="1"/>
    </row>
    <row r="119" spans="1:12" ht="15.5" x14ac:dyDescent="0.35">
      <c r="A119" s="3" t="s">
        <v>251</v>
      </c>
      <c r="B119" s="3" t="s">
        <v>638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  <c r="L119" s="1"/>
    </row>
    <row r="120" spans="1:12" ht="15.5" x14ac:dyDescent="0.35">
      <c r="A120" s="3" t="s">
        <v>253</v>
      </c>
      <c r="B120" s="3" t="s">
        <v>639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  <c r="L120" s="1"/>
    </row>
    <row r="121" spans="1:12" ht="15.5" x14ac:dyDescent="0.35">
      <c r="A121" s="3" t="s">
        <v>519</v>
      </c>
      <c r="B121" s="3" t="s">
        <v>640</v>
      </c>
      <c r="C121" s="3" t="s">
        <v>26</v>
      </c>
      <c r="D121" s="3" t="s">
        <v>29</v>
      </c>
      <c r="E121" s="3" t="s">
        <v>26</v>
      </c>
      <c r="F121" s="3" t="s">
        <v>695</v>
      </c>
      <c r="G121" s="4">
        <v>0.01</v>
      </c>
      <c r="H121" s="3" t="s">
        <v>136</v>
      </c>
      <c r="I121" s="3" t="s">
        <v>32</v>
      </c>
      <c r="J121" s="1"/>
      <c r="K121" s="1"/>
      <c r="L121" s="1"/>
    </row>
    <row r="122" spans="1:12" ht="15.5" x14ac:dyDescent="0.35">
      <c r="A122" s="3" t="s">
        <v>255</v>
      </c>
      <c r="B122" s="3" t="s">
        <v>641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  <c r="L122" s="1"/>
    </row>
    <row r="123" spans="1:12" ht="15.5" x14ac:dyDescent="0.35">
      <c r="A123" s="3" t="s">
        <v>257</v>
      </c>
      <c r="B123" s="3" t="s">
        <v>642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  <c r="L123" s="1"/>
    </row>
    <row r="124" spans="1:12" ht="15.5" x14ac:dyDescent="0.35">
      <c r="A124" s="3" t="s">
        <v>259</v>
      </c>
      <c r="B124" s="3" t="s">
        <v>643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  <c r="L124" s="1"/>
    </row>
    <row r="125" spans="1:12" ht="15.5" x14ac:dyDescent="0.35">
      <c r="A125" s="3" t="s">
        <v>261</v>
      </c>
      <c r="B125" s="3" t="s">
        <v>644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  <c r="L125" s="1"/>
    </row>
    <row r="126" spans="1:12" ht="15.5" x14ac:dyDescent="0.35">
      <c r="A126" s="3" t="s">
        <v>263</v>
      </c>
      <c r="B126" s="3" t="s">
        <v>645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  <c r="L126" s="1"/>
    </row>
    <row r="127" spans="1:12" ht="15.5" x14ac:dyDescent="0.35">
      <c r="A127" s="3" t="s">
        <v>265</v>
      </c>
      <c r="B127" s="3" t="s">
        <v>646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  <c r="L127" s="1"/>
    </row>
    <row r="128" spans="1:12" ht="15.5" x14ac:dyDescent="0.35">
      <c r="A128" s="3" t="s">
        <v>267</v>
      </c>
      <c r="B128" s="3" t="s">
        <v>647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  <c r="L128" s="1"/>
    </row>
    <row r="129" spans="1:12" ht="15.5" x14ac:dyDescent="0.35">
      <c r="A129" s="3" t="s">
        <v>269</v>
      </c>
      <c r="B129" s="3" t="s">
        <v>648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  <c r="L129" s="1"/>
    </row>
    <row r="130" spans="1:12" ht="15.5" x14ac:dyDescent="0.35">
      <c r="A130" s="3" t="s">
        <v>271</v>
      </c>
      <c r="B130" s="3" t="s">
        <v>649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  <c r="L130" s="1"/>
    </row>
    <row r="131" spans="1:12" ht="15.5" x14ac:dyDescent="0.35">
      <c r="A131" s="3" t="s">
        <v>273</v>
      </c>
      <c r="B131" s="3" t="s">
        <v>650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  <c r="L131" s="1"/>
    </row>
    <row r="132" spans="1:12" ht="15.5" x14ac:dyDescent="0.35">
      <c r="A132" s="3" t="s">
        <v>275</v>
      </c>
      <c r="B132" s="3" t="s">
        <v>651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  <c r="L132" s="1"/>
    </row>
    <row r="133" spans="1:12" ht="15.5" x14ac:dyDescent="0.35">
      <c r="A133" s="3" t="s">
        <v>500</v>
      </c>
      <c r="B133" s="3" t="s">
        <v>652</v>
      </c>
      <c r="C133" s="3" t="s">
        <v>26</v>
      </c>
      <c r="D133" s="3" t="s">
        <v>29</v>
      </c>
      <c r="E133" s="3" t="s">
        <v>26</v>
      </c>
      <c r="F133" s="3" t="s">
        <v>447</v>
      </c>
      <c r="G133" s="4">
        <v>0.01</v>
      </c>
      <c r="H133" s="3" t="s">
        <v>136</v>
      </c>
      <c r="I133" s="3" t="s">
        <v>32</v>
      </c>
      <c r="J133" s="1"/>
      <c r="K133" s="1"/>
      <c r="L133" s="1"/>
    </row>
    <row r="134" spans="1:12" ht="15.5" x14ac:dyDescent="0.35">
      <c r="A134" s="3" t="s">
        <v>501</v>
      </c>
      <c r="B134" s="3" t="s">
        <v>653</v>
      </c>
      <c r="C134" s="3" t="s">
        <v>26</v>
      </c>
      <c r="D134" s="3" t="s">
        <v>29</v>
      </c>
      <c r="E134" s="3" t="s">
        <v>26</v>
      </c>
      <c r="F134" s="3" t="s">
        <v>448</v>
      </c>
      <c r="G134" s="4">
        <v>0.01</v>
      </c>
      <c r="H134" s="3" t="s">
        <v>136</v>
      </c>
      <c r="I134" s="3" t="s">
        <v>32</v>
      </c>
      <c r="J134" s="1"/>
      <c r="K134" s="1"/>
      <c r="L134" s="1"/>
    </row>
    <row r="135" spans="1:12" ht="15.5" x14ac:dyDescent="0.35">
      <c r="A135" s="3" t="s">
        <v>502</v>
      </c>
      <c r="B135" s="3" t="s">
        <v>654</v>
      </c>
      <c r="C135" s="3" t="s">
        <v>26</v>
      </c>
      <c r="D135" s="3" t="s">
        <v>29</v>
      </c>
      <c r="E135" s="3" t="s">
        <v>26</v>
      </c>
      <c r="F135" s="3" t="s">
        <v>449</v>
      </c>
      <c r="G135" s="4">
        <v>0.01</v>
      </c>
      <c r="H135" s="3" t="s">
        <v>136</v>
      </c>
      <c r="I135" s="3" t="s">
        <v>32</v>
      </c>
      <c r="J135" s="1"/>
      <c r="K135" s="1"/>
      <c r="L135" s="1"/>
    </row>
    <row r="136" spans="1:12" ht="15.5" x14ac:dyDescent="0.35">
      <c r="A136" s="3" t="s">
        <v>503</v>
      </c>
      <c r="B136" s="3" t="s">
        <v>655</v>
      </c>
      <c r="C136" s="3" t="s">
        <v>26</v>
      </c>
      <c r="D136" s="3" t="s">
        <v>29</v>
      </c>
      <c r="E136" s="3" t="s">
        <v>26</v>
      </c>
      <c r="F136" s="3" t="s">
        <v>450</v>
      </c>
      <c r="G136" s="4">
        <v>0.01</v>
      </c>
      <c r="H136" s="3" t="s">
        <v>136</v>
      </c>
      <c r="I136" s="3" t="s">
        <v>32</v>
      </c>
      <c r="J136" s="1"/>
      <c r="K136" s="1"/>
      <c r="L136" s="1"/>
    </row>
    <row r="137" spans="1:12" ht="15.5" x14ac:dyDescent="0.35">
      <c r="A137" s="3" t="s">
        <v>504</v>
      </c>
      <c r="B137" s="3" t="s">
        <v>656</v>
      </c>
      <c r="C137" s="3" t="s">
        <v>26</v>
      </c>
      <c r="D137" s="3" t="s">
        <v>29</v>
      </c>
      <c r="E137" s="3" t="s">
        <v>26</v>
      </c>
      <c r="F137" s="3" t="s">
        <v>451</v>
      </c>
      <c r="G137" s="4">
        <v>0.01</v>
      </c>
      <c r="H137" s="3" t="s">
        <v>136</v>
      </c>
      <c r="I137" s="3" t="s">
        <v>32</v>
      </c>
      <c r="J137" s="1"/>
      <c r="K137" s="1"/>
      <c r="L137" s="1"/>
    </row>
    <row r="138" spans="1:12" ht="15.5" x14ac:dyDescent="0.35">
      <c r="A138" s="3" t="s">
        <v>505</v>
      </c>
      <c r="B138" s="3" t="s">
        <v>657</v>
      </c>
      <c r="C138" s="3" t="s">
        <v>26</v>
      </c>
      <c r="D138" s="3" t="s">
        <v>29</v>
      </c>
      <c r="E138" s="3" t="s">
        <v>26</v>
      </c>
      <c r="F138" s="3" t="s">
        <v>452</v>
      </c>
      <c r="G138" s="4">
        <v>0.01</v>
      </c>
      <c r="H138" s="3" t="s">
        <v>136</v>
      </c>
      <c r="I138" s="3" t="s">
        <v>32</v>
      </c>
      <c r="J138" s="1"/>
      <c r="K138" s="1"/>
      <c r="L138" s="1"/>
    </row>
    <row r="139" spans="1:12" ht="15.5" x14ac:dyDescent="0.35">
      <c r="A139" s="3" t="s">
        <v>506</v>
      </c>
      <c r="B139" s="3" t="s">
        <v>658</v>
      </c>
      <c r="C139" s="3" t="s">
        <v>26</v>
      </c>
      <c r="D139" s="3" t="s">
        <v>29</v>
      </c>
      <c r="E139" s="3" t="s">
        <v>26</v>
      </c>
      <c r="F139" s="3" t="s">
        <v>453</v>
      </c>
      <c r="G139" s="4">
        <v>0.01</v>
      </c>
      <c r="H139" s="3" t="s">
        <v>136</v>
      </c>
      <c r="I139" s="3" t="s">
        <v>32</v>
      </c>
      <c r="J139" s="1"/>
      <c r="K139" s="1"/>
      <c r="L139" s="1"/>
    </row>
    <row r="140" spans="1:12" ht="15.5" x14ac:dyDescent="0.35">
      <c r="A140" s="3" t="s">
        <v>277</v>
      </c>
      <c r="B140" s="3" t="s">
        <v>659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  <c r="L140" s="1"/>
    </row>
    <row r="141" spans="1:12" ht="15.5" x14ac:dyDescent="0.35">
      <c r="A141" s="3" t="s">
        <v>279</v>
      </c>
      <c r="B141" s="3" t="s">
        <v>660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  <c r="L141" s="1"/>
    </row>
    <row r="142" spans="1:12" ht="15.5" x14ac:dyDescent="0.35">
      <c r="A142" s="3" t="s">
        <v>281</v>
      </c>
      <c r="B142" s="3" t="s">
        <v>661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  <c r="L142" s="1"/>
    </row>
    <row r="143" spans="1:12" ht="15.5" x14ac:dyDescent="0.35">
      <c r="A143" s="3" t="s">
        <v>283</v>
      </c>
      <c r="B143" s="3" t="s">
        <v>662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  <c r="L143" s="1"/>
    </row>
    <row r="144" spans="1:12" ht="15.5" x14ac:dyDescent="0.35">
      <c r="A144" s="3" t="s">
        <v>285</v>
      </c>
      <c r="B144" s="3" t="s">
        <v>663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  <c r="L144" s="1"/>
    </row>
    <row r="145" spans="1:12" ht="15.5" x14ac:dyDescent="0.35">
      <c r="A145" s="3" t="s">
        <v>520</v>
      </c>
      <c r="B145" s="3" t="s">
        <v>664</v>
      </c>
      <c r="C145" s="3" t="s">
        <v>26</v>
      </c>
      <c r="D145" s="3" t="s">
        <v>29</v>
      </c>
      <c r="E145" s="3" t="s">
        <v>26</v>
      </c>
      <c r="F145" s="3" t="s">
        <v>696</v>
      </c>
      <c r="G145" s="4">
        <v>0.01</v>
      </c>
      <c r="H145" s="3" t="s">
        <v>136</v>
      </c>
      <c r="I145" s="3" t="s">
        <v>32</v>
      </c>
      <c r="J145" s="1"/>
      <c r="K145" s="1"/>
      <c r="L145" s="1"/>
    </row>
    <row r="146" spans="1:12" ht="15.5" x14ac:dyDescent="0.35">
      <c r="A146" s="3" t="s">
        <v>287</v>
      </c>
      <c r="B146" s="3" t="s">
        <v>665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  <c r="L146" s="1"/>
    </row>
    <row r="147" spans="1:12" ht="15.5" x14ac:dyDescent="0.35">
      <c r="A147" s="3" t="s">
        <v>289</v>
      </c>
      <c r="B147" s="3" t="s">
        <v>666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  <c r="L147" s="1"/>
    </row>
    <row r="148" spans="1:12" ht="15.5" x14ac:dyDescent="0.35">
      <c r="A148" s="3" t="s">
        <v>291</v>
      </c>
      <c r="B148" s="3" t="s">
        <v>667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  <c r="L148" s="1"/>
    </row>
    <row r="149" spans="1:12" ht="15.5" x14ac:dyDescent="0.35">
      <c r="A149" s="3" t="s">
        <v>293</v>
      </c>
      <c r="B149" s="3" t="s">
        <v>668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  <c r="L149" s="1"/>
    </row>
    <row r="150" spans="1:12" ht="15.5" x14ac:dyDescent="0.35">
      <c r="A150" s="3" t="s">
        <v>295</v>
      </c>
      <c r="B150" s="3" t="s">
        <v>669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  <c r="L150" s="1"/>
    </row>
    <row r="151" spans="1:12" ht="15.5" x14ac:dyDescent="0.35">
      <c r="A151" s="3" t="s">
        <v>297</v>
      </c>
      <c r="B151" s="3" t="s">
        <v>670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  <c r="L151" s="1"/>
    </row>
    <row r="152" spans="1:12" ht="15.5" x14ac:dyDescent="0.35">
      <c r="A152" s="3" t="s">
        <v>299</v>
      </c>
      <c r="B152" s="3" t="s">
        <v>671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  <c r="L152" s="1"/>
    </row>
    <row r="153" spans="1:12" ht="15.5" x14ac:dyDescent="0.35">
      <c r="A153" s="3" t="s">
        <v>301</v>
      </c>
      <c r="B153" s="3" t="s">
        <v>672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  <c r="L153" s="1"/>
    </row>
    <row r="154" spans="1:12" ht="15.5" x14ac:dyDescent="0.35">
      <c r="A154" s="3" t="s">
        <v>507</v>
      </c>
      <c r="B154" s="3" t="s">
        <v>673</v>
      </c>
      <c r="C154" s="3" t="s">
        <v>26</v>
      </c>
      <c r="D154" s="3" t="s">
        <v>29</v>
      </c>
      <c r="E154" s="3" t="s">
        <v>26</v>
      </c>
      <c r="F154" s="3" t="s">
        <v>454</v>
      </c>
      <c r="G154" s="4">
        <v>0.01</v>
      </c>
      <c r="H154" s="3" t="s">
        <v>136</v>
      </c>
      <c r="I154" s="3" t="s">
        <v>32</v>
      </c>
      <c r="J154" s="1"/>
      <c r="K154" s="1"/>
      <c r="L154" s="1"/>
    </row>
    <row r="155" spans="1:12" ht="15.5" x14ac:dyDescent="0.35">
      <c r="A155" s="3" t="s">
        <v>303</v>
      </c>
      <c r="B155" s="3" t="s">
        <v>674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  <c r="L155" s="1"/>
    </row>
    <row r="156" spans="1:12" ht="15.5" x14ac:dyDescent="0.35">
      <c r="A156" s="3" t="s">
        <v>305</v>
      </c>
      <c r="B156" s="3" t="s">
        <v>675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  <c r="L156" s="1"/>
    </row>
    <row r="157" spans="1:12" ht="15.5" x14ac:dyDescent="0.35">
      <c r="A157" s="3" t="s">
        <v>508</v>
      </c>
      <c r="B157" s="3" t="s">
        <v>676</v>
      </c>
      <c r="C157" s="3" t="s">
        <v>26</v>
      </c>
      <c r="D157" s="3" t="s">
        <v>29</v>
      </c>
      <c r="E157" s="3" t="s">
        <v>26</v>
      </c>
      <c r="F157" s="3" t="s">
        <v>455</v>
      </c>
      <c r="G157" s="4">
        <v>0.01</v>
      </c>
      <c r="H157" s="3" t="s">
        <v>136</v>
      </c>
      <c r="I157" s="3" t="s">
        <v>32</v>
      </c>
      <c r="J157" s="1"/>
      <c r="K157" s="1"/>
      <c r="L157" s="1"/>
    </row>
    <row r="158" spans="1:12" ht="15.5" x14ac:dyDescent="0.35">
      <c r="A158" s="3" t="s">
        <v>509</v>
      </c>
      <c r="B158" s="3" t="s">
        <v>677</v>
      </c>
      <c r="C158" s="3" t="s">
        <v>26</v>
      </c>
      <c r="D158" s="3" t="s">
        <v>29</v>
      </c>
      <c r="E158" s="3" t="s">
        <v>26</v>
      </c>
      <c r="F158" s="3" t="s">
        <v>456</v>
      </c>
      <c r="G158" s="4">
        <v>0.01</v>
      </c>
      <c r="H158" s="3" t="s">
        <v>136</v>
      </c>
      <c r="I158" s="3" t="s">
        <v>32</v>
      </c>
      <c r="J158" s="1"/>
      <c r="K158" s="1"/>
      <c r="L158" s="1"/>
    </row>
    <row r="159" spans="1:12" ht="15.5" x14ac:dyDescent="0.35">
      <c r="A159" s="3" t="s">
        <v>510</v>
      </c>
      <c r="B159" s="3" t="s">
        <v>678</v>
      </c>
      <c r="C159" s="3" t="s">
        <v>26</v>
      </c>
      <c r="D159" s="3" t="s">
        <v>29</v>
      </c>
      <c r="E159" s="3" t="s">
        <v>26</v>
      </c>
      <c r="F159" s="3" t="s">
        <v>457</v>
      </c>
      <c r="G159" s="4">
        <v>0.01</v>
      </c>
      <c r="H159" s="3" t="s">
        <v>136</v>
      </c>
      <c r="I159" s="3" t="s">
        <v>32</v>
      </c>
      <c r="J159" s="1"/>
      <c r="K159" s="1"/>
      <c r="L159" s="1"/>
    </row>
    <row r="160" spans="1:12" ht="15.5" x14ac:dyDescent="0.35">
      <c r="A160" s="3" t="s">
        <v>511</v>
      </c>
      <c r="B160" s="3" t="s">
        <v>679</v>
      </c>
      <c r="C160" s="3" t="s">
        <v>26</v>
      </c>
      <c r="D160" s="3" t="s">
        <v>29</v>
      </c>
      <c r="E160" s="3" t="s">
        <v>26</v>
      </c>
      <c r="F160" s="3" t="s">
        <v>458</v>
      </c>
      <c r="G160" s="4">
        <v>0.01</v>
      </c>
      <c r="H160" s="3" t="s">
        <v>136</v>
      </c>
      <c r="I160" s="3" t="s">
        <v>32</v>
      </c>
      <c r="J160" s="1"/>
      <c r="K160" s="1"/>
      <c r="L160" s="1"/>
    </row>
    <row r="161" spans="1:12" ht="15.5" x14ac:dyDescent="0.35">
      <c r="A161" s="3" t="s">
        <v>512</v>
      </c>
      <c r="B161" s="3" t="s">
        <v>680</v>
      </c>
      <c r="C161" s="3" t="s">
        <v>26</v>
      </c>
      <c r="D161" s="3" t="s">
        <v>29</v>
      </c>
      <c r="E161" s="3" t="s">
        <v>26</v>
      </c>
      <c r="F161" s="3" t="s">
        <v>459</v>
      </c>
      <c r="G161" s="4">
        <v>0.01</v>
      </c>
      <c r="H161" s="3" t="s">
        <v>136</v>
      </c>
      <c r="I161" s="3" t="s">
        <v>32</v>
      </c>
      <c r="J161" s="1"/>
      <c r="K161" s="1"/>
      <c r="L161" s="1"/>
    </row>
    <row r="162" spans="1:12" ht="15.5" x14ac:dyDescent="0.35">
      <c r="A162" s="3" t="s">
        <v>513</v>
      </c>
      <c r="B162" s="3" t="s">
        <v>681</v>
      </c>
      <c r="C162" s="3" t="s">
        <v>26</v>
      </c>
      <c r="D162" s="3" t="s">
        <v>29</v>
      </c>
      <c r="E162" s="3" t="s">
        <v>26</v>
      </c>
      <c r="F162" s="3" t="s">
        <v>460</v>
      </c>
      <c r="G162" s="4">
        <v>0.01</v>
      </c>
      <c r="H162" s="3" t="s">
        <v>136</v>
      </c>
      <c r="I162" s="3" t="s">
        <v>32</v>
      </c>
      <c r="J162" s="1"/>
      <c r="K162" s="1"/>
      <c r="L162" s="1"/>
    </row>
    <row r="163" spans="1:12" ht="15.5" x14ac:dyDescent="0.35">
      <c r="A163" s="3" t="s">
        <v>514</v>
      </c>
      <c r="B163" s="3" t="s">
        <v>682</v>
      </c>
      <c r="C163" s="3" t="s">
        <v>26</v>
      </c>
      <c r="D163" s="3" t="s">
        <v>29</v>
      </c>
      <c r="E163" s="3" t="s">
        <v>26</v>
      </c>
      <c r="F163" s="3" t="s">
        <v>461</v>
      </c>
      <c r="G163" s="4">
        <v>0.01</v>
      </c>
      <c r="H163" s="3" t="s">
        <v>136</v>
      </c>
      <c r="I163" s="3" t="s">
        <v>32</v>
      </c>
      <c r="J163" s="1"/>
      <c r="K163" s="1"/>
      <c r="L163" s="1"/>
    </row>
    <row r="164" spans="1:12" ht="15.5" x14ac:dyDescent="0.35">
      <c r="A164" s="3" t="s">
        <v>307</v>
      </c>
      <c r="B164" s="3" t="s">
        <v>683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  <c r="L164" s="1"/>
    </row>
    <row r="165" spans="1:12" ht="15.5" x14ac:dyDescent="0.35">
      <c r="A165" s="3" t="s">
        <v>309</v>
      </c>
      <c r="B165" s="3" t="s">
        <v>684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  <c r="L165" s="1"/>
    </row>
    <row r="166" spans="1:12" ht="15.5" x14ac:dyDescent="0.35">
      <c r="A166" s="3" t="s">
        <v>311</v>
      </c>
      <c r="B166" s="3" t="s">
        <v>685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  <c r="L166" s="1"/>
    </row>
    <row r="167" spans="1:12" ht="15.5" x14ac:dyDescent="0.35">
      <c r="A167" s="3" t="s">
        <v>313</v>
      </c>
      <c r="B167" s="3" t="s">
        <v>686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  <c r="L167" s="1"/>
    </row>
    <row r="168" spans="1:12" ht="15.5" x14ac:dyDescent="0.35">
      <c r="A168" s="3" t="s">
        <v>315</v>
      </c>
      <c r="B168" s="3" t="s">
        <v>687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  <c r="L168" s="1"/>
    </row>
    <row r="169" spans="1:12" ht="15.5" x14ac:dyDescent="0.35">
      <c r="A169" s="3" t="s">
        <v>521</v>
      </c>
      <c r="B169" s="3" t="s">
        <v>688</v>
      </c>
      <c r="C169" s="3" t="s">
        <v>26</v>
      </c>
      <c r="D169" s="3" t="s">
        <v>29</v>
      </c>
      <c r="E169" s="3" t="s">
        <v>26</v>
      </c>
      <c r="F169" s="3" t="s">
        <v>697</v>
      </c>
      <c r="G169" s="4">
        <v>0.01</v>
      </c>
      <c r="H169" s="3" t="s">
        <v>136</v>
      </c>
      <c r="I169" s="3" t="s">
        <v>32</v>
      </c>
      <c r="J169" s="1"/>
      <c r="K169" s="1"/>
      <c r="L169" s="1"/>
    </row>
    <row r="170" spans="1:12" ht="15.5" x14ac:dyDescent="0.35">
      <c r="A170" s="3" t="s">
        <v>317</v>
      </c>
      <c r="B170" s="3" t="s">
        <v>689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  <c r="L170" s="1"/>
    </row>
    <row r="171" spans="1:12" ht="15.5" x14ac:dyDescent="0.35">
      <c r="A171" s="3" t="s">
        <v>319</v>
      </c>
      <c r="B171" s="3" t="s">
        <v>690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  <c r="L171" s="1"/>
    </row>
    <row r="172" spans="1:12" ht="15.5" x14ac:dyDescent="0.35">
      <c r="A172" s="1" t="s">
        <v>888</v>
      </c>
      <c r="B172" s="1" t="s">
        <v>889</v>
      </c>
      <c r="C172" s="1" t="s">
        <v>888</v>
      </c>
      <c r="D172" s="3" t="s">
        <v>894</v>
      </c>
      <c r="E172" s="1" t="s">
        <v>893</v>
      </c>
      <c r="F172" s="1" t="s">
        <v>891</v>
      </c>
      <c r="G172" s="14">
        <v>0.5</v>
      </c>
      <c r="H172" s="3" t="s">
        <v>890</v>
      </c>
      <c r="I172" s="13" t="s">
        <v>892</v>
      </c>
      <c r="J172" s="1"/>
      <c r="K172" s="1"/>
      <c r="L172" s="1"/>
    </row>
    <row r="173" spans="1:12" ht="15.5" x14ac:dyDescent="0.35">
      <c r="A173" s="15" t="s">
        <v>958</v>
      </c>
      <c r="B173" s="1" t="s">
        <v>959</v>
      </c>
      <c r="C173" s="1" t="s">
        <v>958</v>
      </c>
      <c r="D173" s="3" t="s">
        <v>894</v>
      </c>
      <c r="E173" s="1" t="s">
        <v>893</v>
      </c>
      <c r="F173" s="1">
        <v>100</v>
      </c>
      <c r="G173" s="14">
        <v>0.5</v>
      </c>
      <c r="H173" s="3" t="s">
        <v>890</v>
      </c>
      <c r="I173" s="13" t="s">
        <v>892</v>
      </c>
      <c r="J173" s="1"/>
      <c r="K173" s="1"/>
      <c r="L173" s="1"/>
    </row>
    <row r="174" spans="1:12" ht="15.5" x14ac:dyDescent="0.35">
      <c r="A174" s="15" t="s">
        <v>962</v>
      </c>
      <c r="B174" s="1" t="s">
        <v>963</v>
      </c>
      <c r="C174" s="1" t="s">
        <v>962</v>
      </c>
      <c r="D174" s="3" t="s">
        <v>894</v>
      </c>
      <c r="E174" s="1" t="s">
        <v>893</v>
      </c>
      <c r="F174" s="1" t="s">
        <v>964</v>
      </c>
      <c r="G174" s="14">
        <v>0.5</v>
      </c>
      <c r="H174" s="3" t="s">
        <v>890</v>
      </c>
      <c r="I174" s="13" t="s">
        <v>892</v>
      </c>
      <c r="J174" s="1"/>
      <c r="K174" s="1"/>
      <c r="L174" s="1"/>
    </row>
    <row r="175" spans="1:12" ht="15.5" x14ac:dyDescent="0.35">
      <c r="A175" s="3" t="s">
        <v>1097</v>
      </c>
      <c r="B175" s="3" t="s">
        <v>1098</v>
      </c>
      <c r="C175" s="3" t="s">
        <v>26</v>
      </c>
      <c r="D175" s="3" t="s">
        <v>29</v>
      </c>
      <c r="E175" s="3" t="s">
        <v>26</v>
      </c>
      <c r="F175" s="3" t="s">
        <v>1096</v>
      </c>
      <c r="G175" s="4">
        <v>0.01</v>
      </c>
      <c r="H175" s="3" t="s">
        <v>898</v>
      </c>
      <c r="I175" s="3" t="s">
        <v>897</v>
      </c>
      <c r="J175" s="1"/>
      <c r="K175" s="1"/>
      <c r="L175" s="1"/>
    </row>
    <row r="176" spans="1:12" ht="15.5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ht="15.5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H5" sqref="H5"/>
    </sheetView>
  </sheetViews>
  <sheetFormatPr defaultRowHeight="14.5" x14ac:dyDescent="0.35"/>
  <cols>
    <col min="1" max="1" width="14.453125" customWidth="1"/>
    <col min="2" max="2" width="40.7265625" customWidth="1"/>
    <col min="3" max="3" width="12.7265625" customWidth="1"/>
    <col min="4" max="4" width="28.6328125" customWidth="1"/>
    <col min="5" max="5" width="14.81640625" customWidth="1"/>
    <col min="6" max="6" width="20.90625" customWidth="1"/>
    <col min="7" max="7" width="14.1796875" customWidth="1"/>
    <col min="8" max="8" width="35" customWidth="1"/>
    <col min="9" max="9" width="13.08984375" customWidth="1"/>
    <col min="10" max="10" width="13.1796875" customWidth="1"/>
    <col min="11" max="11" width="12.26953125" customWidth="1"/>
  </cols>
  <sheetData>
    <row r="1" spans="1:12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35">
      <c r="A2" s="22" t="s">
        <v>1102</v>
      </c>
      <c r="B2" s="21" t="str">
        <f>CONCATENATE("Выпрямительный диод на ", H2," В, ном. ток ", I2," А")</f>
        <v>Выпрямительный диод на 1000 В, ном. ток 2 А</v>
      </c>
      <c r="C2" s="23" t="str">
        <f t="shared" ref="C2" si="0">A2</f>
        <v>S2M</v>
      </c>
      <c r="D2" s="23" t="s">
        <v>1101</v>
      </c>
      <c r="E2" s="23" t="s">
        <v>1100</v>
      </c>
      <c r="F2" s="23" t="str">
        <f t="shared" ref="F2" si="1">CONCATENATE("Footprints\",G2,".PcbLib")</f>
        <v>Footprints\SMB.PcbLib</v>
      </c>
      <c r="G2" s="23" t="s">
        <v>341</v>
      </c>
      <c r="H2" s="24">
        <v>1000</v>
      </c>
      <c r="I2" s="25">
        <v>2</v>
      </c>
      <c r="J2" s="2"/>
      <c r="K2" s="2"/>
      <c r="L2" s="11"/>
    </row>
    <row r="3" spans="1:12" x14ac:dyDescent="0.35">
      <c r="B3" s="2"/>
      <c r="D3" s="2"/>
      <c r="E3" s="2"/>
      <c r="F3" s="2"/>
      <c r="H3" s="2"/>
      <c r="I3" s="2"/>
      <c r="J3" s="2"/>
      <c r="K3" s="2"/>
      <c r="L3" s="11"/>
    </row>
    <row r="4" spans="1:12" x14ac:dyDescent="0.35">
      <c r="B4" s="2"/>
      <c r="D4" s="2"/>
      <c r="F4" s="2"/>
      <c r="H4" s="2"/>
      <c r="I4" s="2"/>
      <c r="J4" s="2"/>
      <c r="K4" s="2"/>
      <c r="L4" s="11"/>
    </row>
    <row r="5" spans="1:12" x14ac:dyDescent="0.3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="55" zoomScaleNormal="55" workbookViewId="0">
      <selection activeCell="P11" sqref="P11"/>
    </sheetView>
  </sheetViews>
  <sheetFormatPr defaultRowHeight="14.5" x14ac:dyDescent="0.35"/>
  <cols>
    <col min="1" max="1" width="15.453125" bestFit="1" customWidth="1"/>
    <col min="2" max="2" width="23.17968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81640625" bestFit="1" customWidth="1"/>
    <col min="7" max="7" width="33.54296875" bestFit="1" customWidth="1"/>
    <col min="8" max="8" width="17.1796875" bestFit="1" customWidth="1"/>
    <col min="9" max="9" width="33.54296875" bestFit="1" customWidth="1"/>
    <col min="10" max="10" width="17.1796875" bestFit="1" customWidth="1"/>
    <col min="11" max="11" width="33.5429687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453125" bestFit="1" customWidth="1"/>
    <col min="20" max="20" width="17.1796875" bestFit="1" customWidth="1"/>
    <col min="21" max="21" width="14.26953125" customWidth="1"/>
  </cols>
  <sheetData>
    <row r="1" spans="1:21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  <c r="U2" s="18"/>
    </row>
    <row r="3" spans="1:21" ht="15.5" x14ac:dyDescent="0.3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  <c r="U3" s="18"/>
    </row>
    <row r="4" spans="1:21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2"/>
  <sheetViews>
    <sheetView topLeftCell="A13" workbookViewId="0">
      <selection activeCell="Q13" sqref="Q13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26.54296875" customWidth="1"/>
    <col min="4" max="4" width="13.08984375" customWidth="1"/>
    <col min="5" max="5" width="25.08984375" customWidth="1"/>
    <col min="6" max="6" width="14.36328125" customWidth="1"/>
    <col min="7" max="7" width="9.90625" customWidth="1"/>
    <col min="8" max="8" width="12.6328125" customWidth="1"/>
    <col min="9" max="9" width="14.36328125" customWidth="1"/>
    <col min="10" max="10" width="12" customWidth="1"/>
    <col min="11" max="11" width="17.7265625" customWidth="1"/>
    <col min="12" max="12" width="15.54296875" customWidth="1"/>
    <col min="13" max="13" width="14.7265625" customWidth="1"/>
    <col min="14" max="14" width="12.1796875" customWidth="1"/>
  </cols>
  <sheetData>
    <row r="1" spans="1:14" ht="15.5" x14ac:dyDescent="0.3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35">
      <c r="A2" s="2" t="s">
        <v>1082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737</v>
      </c>
      <c r="H2">
        <v>0.1</v>
      </c>
      <c r="I2">
        <v>50</v>
      </c>
      <c r="J2" s="2" t="s">
        <v>773</v>
      </c>
      <c r="K2" s="2" t="s">
        <v>774</v>
      </c>
      <c r="L2" s="2" t="s">
        <v>37</v>
      </c>
      <c r="M2" s="2">
        <v>1</v>
      </c>
      <c r="N2" s="2"/>
    </row>
    <row r="3" spans="1:14" x14ac:dyDescent="0.35">
      <c r="A3" s="2" t="s">
        <v>701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738</v>
      </c>
      <c r="H3">
        <v>0.1</v>
      </c>
      <c r="I3">
        <v>50</v>
      </c>
      <c r="J3" s="2" t="s">
        <v>773</v>
      </c>
      <c r="K3" s="2" t="s">
        <v>774</v>
      </c>
      <c r="L3" s="2" t="s">
        <v>37</v>
      </c>
      <c r="M3" s="2">
        <v>1.2</v>
      </c>
      <c r="N3" s="2"/>
    </row>
    <row r="4" spans="1:14" x14ac:dyDescent="0.35">
      <c r="A4" s="2" t="s">
        <v>702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739</v>
      </c>
      <c r="H4">
        <v>0.1</v>
      </c>
      <c r="I4">
        <v>50</v>
      </c>
      <c r="J4" s="2" t="s">
        <v>773</v>
      </c>
      <c r="K4" s="2" t="s">
        <v>774</v>
      </c>
      <c r="L4" s="2" t="s">
        <v>37</v>
      </c>
      <c r="M4" s="2">
        <v>1.5</v>
      </c>
      <c r="N4" s="2"/>
    </row>
    <row r="5" spans="1:14" x14ac:dyDescent="0.35">
      <c r="A5" s="2" t="s">
        <v>703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740</v>
      </c>
      <c r="H5">
        <v>0.1</v>
      </c>
      <c r="I5">
        <v>50</v>
      </c>
      <c r="J5" s="2" t="s">
        <v>773</v>
      </c>
      <c r="K5" s="2" t="s">
        <v>774</v>
      </c>
      <c r="L5" s="2" t="s">
        <v>37</v>
      </c>
      <c r="M5" s="2">
        <v>1.8</v>
      </c>
      <c r="N5" s="2"/>
    </row>
    <row r="6" spans="1:14" x14ac:dyDescent="0.35">
      <c r="A6" s="2" t="s">
        <v>704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741</v>
      </c>
      <c r="H6">
        <v>0.1</v>
      </c>
      <c r="I6">
        <v>50</v>
      </c>
      <c r="J6" s="2" t="s">
        <v>773</v>
      </c>
      <c r="K6" s="2" t="s">
        <v>774</v>
      </c>
      <c r="L6" s="2" t="s">
        <v>37</v>
      </c>
      <c r="M6" s="2">
        <v>2.2000000000000002</v>
      </c>
      <c r="N6" s="2"/>
    </row>
    <row r="7" spans="1:14" x14ac:dyDescent="0.35">
      <c r="A7" s="2" t="s">
        <v>705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742</v>
      </c>
      <c r="H7">
        <v>0.1</v>
      </c>
      <c r="I7">
        <v>50</v>
      </c>
      <c r="J7" s="2" t="s">
        <v>773</v>
      </c>
      <c r="K7" s="2" t="s">
        <v>774</v>
      </c>
      <c r="L7" s="2" t="s">
        <v>37</v>
      </c>
      <c r="M7" s="2">
        <v>2.7</v>
      </c>
      <c r="N7" s="2"/>
    </row>
    <row r="8" spans="1:14" x14ac:dyDescent="0.35">
      <c r="A8" s="2" t="s">
        <v>706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743</v>
      </c>
      <c r="H8">
        <v>0.1</v>
      </c>
      <c r="I8">
        <v>50</v>
      </c>
      <c r="J8" s="2" t="s">
        <v>773</v>
      </c>
      <c r="K8" s="2" t="s">
        <v>774</v>
      </c>
      <c r="L8" s="2" t="s">
        <v>37</v>
      </c>
      <c r="M8" s="2">
        <v>3.3</v>
      </c>
      <c r="N8" s="2"/>
    </row>
    <row r="9" spans="1:14" x14ac:dyDescent="0.35">
      <c r="A9" s="2" t="s">
        <v>707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744</v>
      </c>
      <c r="H9">
        <v>0.1</v>
      </c>
      <c r="I9">
        <v>50</v>
      </c>
      <c r="J9" s="2" t="s">
        <v>773</v>
      </c>
      <c r="K9" s="2" t="s">
        <v>774</v>
      </c>
      <c r="L9" s="2" t="s">
        <v>37</v>
      </c>
      <c r="M9" s="2">
        <v>3.9</v>
      </c>
      <c r="N9" s="2"/>
    </row>
    <row r="10" spans="1:14" x14ac:dyDescent="0.35">
      <c r="A10" s="2" t="s">
        <v>708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745</v>
      </c>
      <c r="H10">
        <v>0.1</v>
      </c>
      <c r="I10">
        <v>50</v>
      </c>
      <c r="J10" s="2" t="s">
        <v>773</v>
      </c>
      <c r="K10" s="2" t="s">
        <v>774</v>
      </c>
      <c r="L10" s="2" t="s">
        <v>37</v>
      </c>
      <c r="M10" s="2">
        <v>4.7</v>
      </c>
      <c r="N10" s="2"/>
    </row>
    <row r="11" spans="1:14" x14ac:dyDescent="0.35">
      <c r="A11" s="2" t="s">
        <v>709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746</v>
      </c>
      <c r="H11">
        <v>0.1</v>
      </c>
      <c r="I11">
        <v>50</v>
      </c>
      <c r="J11" s="2" t="s">
        <v>773</v>
      </c>
      <c r="K11" s="2" t="s">
        <v>774</v>
      </c>
      <c r="L11" s="2" t="s">
        <v>37</v>
      </c>
      <c r="M11" s="2">
        <v>5.6</v>
      </c>
      <c r="N11" s="2"/>
    </row>
    <row r="12" spans="1:14" x14ac:dyDescent="0.35">
      <c r="A12" s="2" t="s">
        <v>710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747</v>
      </c>
      <c r="H12">
        <v>0.1</v>
      </c>
      <c r="I12">
        <v>50</v>
      </c>
      <c r="J12" s="2" t="s">
        <v>773</v>
      </c>
      <c r="K12" s="2" t="s">
        <v>774</v>
      </c>
      <c r="L12" s="2" t="s">
        <v>37</v>
      </c>
      <c r="M12" s="2">
        <v>6.8</v>
      </c>
      <c r="N12" s="2"/>
    </row>
    <row r="13" spans="1:14" x14ac:dyDescent="0.35">
      <c r="A13" s="2" t="s">
        <v>711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748</v>
      </c>
      <c r="H13">
        <v>0.1</v>
      </c>
      <c r="I13">
        <v>50</v>
      </c>
      <c r="J13" s="2" t="s">
        <v>773</v>
      </c>
      <c r="K13" s="2" t="s">
        <v>774</v>
      </c>
      <c r="L13" s="2" t="s">
        <v>37</v>
      </c>
      <c r="M13" s="2">
        <v>8.1999999999999993</v>
      </c>
      <c r="N13" s="2"/>
    </row>
    <row r="14" spans="1:14" x14ac:dyDescent="0.35">
      <c r="A14" s="2" t="s">
        <v>712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749</v>
      </c>
      <c r="H14">
        <v>0.1</v>
      </c>
      <c r="I14">
        <v>50</v>
      </c>
      <c r="J14" s="2" t="s">
        <v>773</v>
      </c>
      <c r="K14" s="2" t="s">
        <v>774</v>
      </c>
      <c r="L14" s="2" t="s">
        <v>37</v>
      </c>
      <c r="M14" s="2">
        <v>10</v>
      </c>
      <c r="N14" s="2"/>
    </row>
    <row r="15" spans="1:14" x14ac:dyDescent="0.35">
      <c r="A15" s="2" t="s">
        <v>713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750</v>
      </c>
      <c r="H15">
        <v>0.1</v>
      </c>
      <c r="I15">
        <v>50</v>
      </c>
      <c r="J15" s="2" t="s">
        <v>773</v>
      </c>
      <c r="K15" s="2" t="s">
        <v>774</v>
      </c>
      <c r="L15" s="2" t="s">
        <v>37</v>
      </c>
      <c r="M15" s="2">
        <v>12</v>
      </c>
      <c r="N15" s="2"/>
    </row>
    <row r="16" spans="1:14" x14ac:dyDescent="0.35">
      <c r="A16" s="2" t="s">
        <v>714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751</v>
      </c>
      <c r="H16">
        <v>0.1</v>
      </c>
      <c r="I16">
        <v>50</v>
      </c>
      <c r="J16" s="2" t="s">
        <v>773</v>
      </c>
      <c r="K16" s="2" t="s">
        <v>774</v>
      </c>
      <c r="L16" s="2" t="s">
        <v>37</v>
      </c>
      <c r="M16" s="2">
        <v>15</v>
      </c>
      <c r="N16" s="2"/>
    </row>
    <row r="17" spans="1:14" x14ac:dyDescent="0.35">
      <c r="A17" s="2" t="s">
        <v>715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752</v>
      </c>
      <c r="H17">
        <v>0.1</v>
      </c>
      <c r="I17">
        <v>50</v>
      </c>
      <c r="J17" s="2" t="s">
        <v>773</v>
      </c>
      <c r="K17" s="2" t="s">
        <v>774</v>
      </c>
      <c r="L17" s="2" t="s">
        <v>37</v>
      </c>
      <c r="M17" s="2">
        <v>18</v>
      </c>
      <c r="N17" s="2"/>
    </row>
    <row r="18" spans="1:14" x14ac:dyDescent="0.35">
      <c r="A18" s="2" t="s">
        <v>716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753</v>
      </c>
      <c r="H18">
        <v>0.1</v>
      </c>
      <c r="I18">
        <v>50</v>
      </c>
      <c r="J18" s="2" t="s">
        <v>773</v>
      </c>
      <c r="K18" s="2" t="s">
        <v>774</v>
      </c>
      <c r="L18" s="2" t="s">
        <v>37</v>
      </c>
      <c r="M18" s="2">
        <v>22</v>
      </c>
      <c r="N18" s="2"/>
    </row>
    <row r="19" spans="1:14" x14ac:dyDescent="0.35">
      <c r="A19" s="2" t="s">
        <v>717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754</v>
      </c>
      <c r="H19">
        <v>0.1</v>
      </c>
      <c r="I19">
        <v>50</v>
      </c>
      <c r="J19" s="2" t="s">
        <v>773</v>
      </c>
      <c r="K19" s="2" t="s">
        <v>774</v>
      </c>
      <c r="L19" s="2" t="s">
        <v>37</v>
      </c>
      <c r="M19" s="2">
        <v>27</v>
      </c>
      <c r="N19" s="2"/>
    </row>
    <row r="20" spans="1:14" x14ac:dyDescent="0.35">
      <c r="A20" s="2" t="s">
        <v>718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755</v>
      </c>
      <c r="H20">
        <v>0.1</v>
      </c>
      <c r="I20">
        <v>50</v>
      </c>
      <c r="J20" s="2" t="s">
        <v>773</v>
      </c>
      <c r="K20" s="2" t="s">
        <v>774</v>
      </c>
      <c r="L20" s="2" t="s">
        <v>37</v>
      </c>
      <c r="M20" s="2">
        <v>33</v>
      </c>
      <c r="N20" s="2"/>
    </row>
    <row r="21" spans="1:14" x14ac:dyDescent="0.35">
      <c r="A21" s="2" t="s">
        <v>719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756</v>
      </c>
      <c r="H21">
        <v>0.1</v>
      </c>
      <c r="I21">
        <v>50</v>
      </c>
      <c r="J21" s="2" t="s">
        <v>773</v>
      </c>
      <c r="K21" s="2" t="s">
        <v>774</v>
      </c>
      <c r="L21" s="2" t="s">
        <v>37</v>
      </c>
      <c r="M21" s="2">
        <v>39</v>
      </c>
      <c r="N21" s="2"/>
    </row>
    <row r="22" spans="1:14" x14ac:dyDescent="0.35">
      <c r="A22" s="2" t="s">
        <v>720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757</v>
      </c>
      <c r="H22">
        <v>0.1</v>
      </c>
      <c r="I22">
        <v>50</v>
      </c>
      <c r="J22" s="2" t="s">
        <v>773</v>
      </c>
      <c r="K22" s="2" t="s">
        <v>774</v>
      </c>
      <c r="L22" s="2" t="s">
        <v>37</v>
      </c>
      <c r="M22" s="2">
        <v>47</v>
      </c>
      <c r="N22" s="2"/>
    </row>
    <row r="23" spans="1:14" x14ac:dyDescent="0.35">
      <c r="A23" s="2" t="s">
        <v>721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758</v>
      </c>
      <c r="H23">
        <v>0.1</v>
      </c>
      <c r="I23">
        <v>50</v>
      </c>
      <c r="J23" s="2" t="s">
        <v>773</v>
      </c>
      <c r="K23" s="2" t="s">
        <v>774</v>
      </c>
      <c r="L23" s="2" t="s">
        <v>37</v>
      </c>
      <c r="M23" s="2">
        <v>56</v>
      </c>
      <c r="N23" s="2"/>
    </row>
    <row r="24" spans="1:14" x14ac:dyDescent="0.35">
      <c r="A24" s="2" t="s">
        <v>722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759</v>
      </c>
      <c r="H24">
        <v>0.1</v>
      </c>
      <c r="I24">
        <v>50</v>
      </c>
      <c r="J24" s="2" t="s">
        <v>773</v>
      </c>
      <c r="K24" s="2" t="s">
        <v>774</v>
      </c>
      <c r="L24" s="2" t="s">
        <v>37</v>
      </c>
      <c r="M24" s="2">
        <v>68</v>
      </c>
      <c r="N24" s="2"/>
    </row>
    <row r="25" spans="1:14" x14ac:dyDescent="0.35">
      <c r="A25" s="2" t="s">
        <v>723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760</v>
      </c>
      <c r="H25">
        <v>0.1</v>
      </c>
      <c r="I25">
        <v>50</v>
      </c>
      <c r="J25" s="2" t="s">
        <v>773</v>
      </c>
      <c r="K25" s="2" t="s">
        <v>774</v>
      </c>
      <c r="L25" s="2" t="s">
        <v>37</v>
      </c>
      <c r="M25" s="2">
        <v>82</v>
      </c>
      <c r="N25" s="2"/>
    </row>
    <row r="26" spans="1:14" x14ac:dyDescent="0.35">
      <c r="A26" s="2" t="s">
        <v>724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773</v>
      </c>
      <c r="K26" s="2" t="s">
        <v>774</v>
      </c>
      <c r="L26" s="2" t="s">
        <v>37</v>
      </c>
      <c r="M26" s="2">
        <v>100</v>
      </c>
      <c r="N26" s="2"/>
    </row>
    <row r="27" spans="1:14" x14ac:dyDescent="0.35">
      <c r="A27" s="2" t="s">
        <v>725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761</v>
      </c>
      <c r="H27">
        <v>0.1</v>
      </c>
      <c r="I27">
        <v>50</v>
      </c>
      <c r="J27" s="2" t="s">
        <v>773</v>
      </c>
      <c r="K27" s="2" t="s">
        <v>774</v>
      </c>
      <c r="L27" s="2" t="s">
        <v>37</v>
      </c>
      <c r="M27" s="2">
        <v>120</v>
      </c>
      <c r="N27" s="2"/>
    </row>
    <row r="28" spans="1:14" x14ac:dyDescent="0.35">
      <c r="A28" s="2" t="s">
        <v>726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762</v>
      </c>
      <c r="H28">
        <v>0.1</v>
      </c>
      <c r="I28">
        <v>50</v>
      </c>
      <c r="J28" s="2" t="s">
        <v>773</v>
      </c>
      <c r="K28" s="2" t="s">
        <v>774</v>
      </c>
      <c r="L28" s="2" t="s">
        <v>37</v>
      </c>
      <c r="M28" s="2">
        <v>150</v>
      </c>
      <c r="N28" s="2"/>
    </row>
    <row r="29" spans="1:14" x14ac:dyDescent="0.35">
      <c r="A29" s="2" t="s">
        <v>727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763</v>
      </c>
      <c r="H29">
        <v>0.1</v>
      </c>
      <c r="I29">
        <v>50</v>
      </c>
      <c r="J29" s="2" t="s">
        <v>773</v>
      </c>
      <c r="K29" s="2" t="s">
        <v>774</v>
      </c>
      <c r="L29" s="2" t="s">
        <v>37</v>
      </c>
      <c r="M29" s="2">
        <v>180</v>
      </c>
      <c r="N29" s="2"/>
    </row>
    <row r="30" spans="1:14" x14ac:dyDescent="0.35">
      <c r="A30" s="2" t="s">
        <v>728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764</v>
      </c>
      <c r="H30">
        <v>0.1</v>
      </c>
      <c r="I30">
        <v>50</v>
      </c>
      <c r="J30" s="2" t="s">
        <v>773</v>
      </c>
      <c r="K30" s="2" t="s">
        <v>774</v>
      </c>
      <c r="L30" s="2" t="s">
        <v>37</v>
      </c>
      <c r="M30" s="2">
        <v>220</v>
      </c>
      <c r="N30" s="2"/>
    </row>
    <row r="31" spans="1:14" x14ac:dyDescent="0.35">
      <c r="A31" s="2" t="s">
        <v>729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765</v>
      </c>
      <c r="H31">
        <v>0.1</v>
      </c>
      <c r="I31">
        <v>50</v>
      </c>
      <c r="J31" s="2" t="s">
        <v>773</v>
      </c>
      <c r="K31" s="2" t="s">
        <v>774</v>
      </c>
      <c r="L31" s="2" t="s">
        <v>37</v>
      </c>
      <c r="M31" s="2">
        <v>270</v>
      </c>
      <c r="N31" s="2"/>
    </row>
    <row r="32" spans="1:14" x14ac:dyDescent="0.35">
      <c r="A32" s="2" t="s">
        <v>730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766</v>
      </c>
      <c r="H32">
        <v>0.1</v>
      </c>
      <c r="I32">
        <v>50</v>
      </c>
      <c r="J32" s="2" t="s">
        <v>773</v>
      </c>
      <c r="K32" s="2" t="s">
        <v>774</v>
      </c>
      <c r="L32" s="2" t="s">
        <v>37</v>
      </c>
      <c r="M32" s="2">
        <v>330</v>
      </c>
      <c r="N32" s="2"/>
    </row>
    <row r="33" spans="1:14" x14ac:dyDescent="0.35">
      <c r="A33" s="2" t="s">
        <v>731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767</v>
      </c>
      <c r="H33">
        <v>0.1</v>
      </c>
      <c r="I33">
        <v>50</v>
      </c>
      <c r="J33" s="2" t="s">
        <v>773</v>
      </c>
      <c r="K33" s="2" t="s">
        <v>774</v>
      </c>
      <c r="L33" s="2" t="s">
        <v>37</v>
      </c>
      <c r="M33" s="2">
        <v>390</v>
      </c>
      <c r="N33" s="2"/>
    </row>
    <row r="34" spans="1:14" x14ac:dyDescent="0.35">
      <c r="A34" s="2" t="s">
        <v>732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768</v>
      </c>
      <c r="H34">
        <v>0.1</v>
      </c>
      <c r="I34">
        <v>50</v>
      </c>
      <c r="J34" s="2" t="s">
        <v>773</v>
      </c>
      <c r="K34" s="2" t="s">
        <v>774</v>
      </c>
      <c r="L34" s="2" t="s">
        <v>37</v>
      </c>
      <c r="M34" s="2">
        <v>470</v>
      </c>
      <c r="N34" s="2"/>
    </row>
    <row r="35" spans="1:14" x14ac:dyDescent="0.35">
      <c r="A35" s="2" t="s">
        <v>733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769</v>
      </c>
      <c r="H35">
        <v>0.1</v>
      </c>
      <c r="I35">
        <v>50</v>
      </c>
      <c r="J35" s="2" t="s">
        <v>773</v>
      </c>
      <c r="K35" s="2" t="s">
        <v>774</v>
      </c>
      <c r="L35" s="2" t="s">
        <v>37</v>
      </c>
      <c r="M35" s="2">
        <v>560</v>
      </c>
      <c r="N35" s="2"/>
    </row>
    <row r="36" spans="1:14" x14ac:dyDescent="0.35">
      <c r="A36" s="2" t="s">
        <v>734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770</v>
      </c>
      <c r="H36">
        <v>0.1</v>
      </c>
      <c r="I36">
        <v>50</v>
      </c>
      <c r="J36" s="2" t="s">
        <v>773</v>
      </c>
      <c r="K36" s="2" t="s">
        <v>774</v>
      </c>
      <c r="L36" s="2" t="s">
        <v>37</v>
      </c>
      <c r="M36" s="2">
        <v>680</v>
      </c>
      <c r="N36" s="2"/>
    </row>
    <row r="37" spans="1:14" x14ac:dyDescent="0.35">
      <c r="A37" s="2" t="s">
        <v>735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771</v>
      </c>
      <c r="H37">
        <v>0.1</v>
      </c>
      <c r="I37">
        <v>50</v>
      </c>
      <c r="J37" s="2" t="s">
        <v>773</v>
      </c>
      <c r="K37" s="2" t="s">
        <v>774</v>
      </c>
      <c r="L37" s="2" t="s">
        <v>37</v>
      </c>
      <c r="M37" s="2">
        <v>820</v>
      </c>
      <c r="N37" s="2"/>
    </row>
    <row r="38" spans="1:14" x14ac:dyDescent="0.35">
      <c r="A38" s="2" t="s">
        <v>736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772</v>
      </c>
      <c r="H38">
        <v>0.1</v>
      </c>
      <c r="I38">
        <v>50</v>
      </c>
      <c r="J38" s="2" t="s">
        <v>773</v>
      </c>
      <c r="K38" s="2" t="s">
        <v>774</v>
      </c>
      <c r="L38" s="2" t="s">
        <v>37</v>
      </c>
      <c r="M38" s="2">
        <v>1000</v>
      </c>
      <c r="N38" s="2"/>
    </row>
    <row r="39" spans="1:14" x14ac:dyDescent="0.35">
      <c r="A39" s="2" t="s">
        <v>883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773</v>
      </c>
      <c r="K39" s="2" t="s">
        <v>856</v>
      </c>
      <c r="L39" s="2" t="s">
        <v>857</v>
      </c>
      <c r="M39" s="2">
        <v>4700</v>
      </c>
      <c r="N39" s="2"/>
    </row>
    <row r="40" spans="1:14" x14ac:dyDescent="0.35">
      <c r="A40" s="2" t="s">
        <v>885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807</v>
      </c>
      <c r="H40" s="11">
        <v>0.1</v>
      </c>
      <c r="I40">
        <v>35</v>
      </c>
      <c r="J40" s="2" t="s">
        <v>773</v>
      </c>
      <c r="K40" s="2" t="s">
        <v>858</v>
      </c>
      <c r="L40" s="2" t="s">
        <v>859</v>
      </c>
      <c r="M40" s="2">
        <v>10000</v>
      </c>
      <c r="N40" s="2"/>
    </row>
    <row r="41" spans="1:14" x14ac:dyDescent="0.35">
      <c r="A41" s="2" t="s">
        <v>884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809</v>
      </c>
      <c r="H41" s="11">
        <v>0.1</v>
      </c>
      <c r="I41">
        <v>25</v>
      </c>
      <c r="J41" s="2" t="s">
        <v>773</v>
      </c>
      <c r="K41" s="2" t="s">
        <v>858</v>
      </c>
      <c r="L41" s="2" t="s">
        <v>859</v>
      </c>
      <c r="M41" s="2">
        <v>22000</v>
      </c>
      <c r="N41" s="2"/>
    </row>
    <row r="42" spans="1:14" x14ac:dyDescent="0.35">
      <c r="A42" s="2" t="s">
        <v>1132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31</v>
      </c>
      <c r="H42" s="11">
        <v>0.1</v>
      </c>
      <c r="I42">
        <v>1000</v>
      </c>
      <c r="J42" s="2" t="s">
        <v>773</v>
      </c>
      <c r="K42" s="2" t="s">
        <v>1130</v>
      </c>
      <c r="L42" s="2" t="s">
        <v>1131</v>
      </c>
      <c r="M42" s="2">
        <v>100</v>
      </c>
      <c r="N42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4"/>
  <sheetViews>
    <sheetView zoomScaleNormal="100" workbookViewId="0">
      <selection activeCell="J30" sqref="J30"/>
    </sheetView>
  </sheetViews>
  <sheetFormatPr defaultRowHeight="14.5" x14ac:dyDescent="0.35"/>
  <cols>
    <col min="1" max="1" width="27.54296875" bestFit="1" customWidth="1"/>
    <col min="2" max="2" width="23.1796875" bestFit="1" customWidth="1"/>
    <col min="3" max="3" width="12.17968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17968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  <col min="13" max="13" width="19.1796875" customWidth="1"/>
    <col min="14" max="14" width="18.453125" customWidth="1"/>
    <col min="15" max="15" width="13.26953125" customWidth="1"/>
  </cols>
  <sheetData>
    <row r="1" spans="1:15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35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35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35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35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35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35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35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35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35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35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35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35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35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35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35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35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35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35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35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35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35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35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35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4"/>
  <sheetViews>
    <sheetView topLeftCell="D1" zoomScaleNormal="100" workbookViewId="0">
      <selection activeCell="J23" sqref="J23"/>
    </sheetView>
  </sheetViews>
  <sheetFormatPr defaultRowHeight="14.5" x14ac:dyDescent="0.35"/>
  <cols>
    <col min="1" max="1" width="14.81640625" customWidth="1"/>
    <col min="2" max="2" width="22.1796875" customWidth="1"/>
    <col min="3" max="3" width="12" customWidth="1"/>
    <col min="4" max="4" width="27.1796875" customWidth="1"/>
    <col min="5" max="5" width="12.81640625" customWidth="1"/>
    <col min="6" max="6" width="36.26953125" customWidth="1"/>
    <col min="7" max="7" width="16.81640625" customWidth="1"/>
    <col min="8" max="8" width="18.1796875" customWidth="1"/>
    <col min="9" max="9" width="16.81640625" customWidth="1"/>
    <col min="10" max="10" width="18.1796875" customWidth="1"/>
    <col min="11" max="11" width="16.81640625" customWidth="1"/>
    <col min="12" max="12" width="18.1796875" customWidth="1"/>
    <col min="13" max="13" width="16.81640625" customWidth="1"/>
    <col min="14" max="14" width="18" style="20" bestFit="1" customWidth="1"/>
    <col min="15" max="15" width="13.54296875" bestFit="1" customWidth="1"/>
    <col min="16" max="16" width="8.54296875" bestFit="1" customWidth="1"/>
    <col min="17" max="17" width="12.17968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9" t="s">
        <v>836</v>
      </c>
      <c r="O1" s="1" t="s">
        <v>84</v>
      </c>
      <c r="P1" s="1" t="s">
        <v>25</v>
      </c>
      <c r="Q1" s="1" t="s">
        <v>1140</v>
      </c>
    </row>
    <row r="2" spans="1:17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5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20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5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20">
        <v>68</v>
      </c>
      <c r="O4" s="2">
        <v>0.82</v>
      </c>
      <c r="P4" s="2" t="str">
        <f t="shared" si="2"/>
        <v>68 мк</v>
      </c>
    </row>
    <row r="5" spans="1:17" x14ac:dyDescent="0.35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20">
        <v>4.7</v>
      </c>
      <c r="O5" s="2">
        <v>5.5</v>
      </c>
      <c r="P5" t="str">
        <f t="shared" si="2"/>
        <v>4,7 мк</v>
      </c>
    </row>
    <row r="6" spans="1:17" x14ac:dyDescent="0.35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20">
        <v>22</v>
      </c>
      <c r="O6" s="2">
        <v>5</v>
      </c>
      <c r="P6" t="str">
        <f t="shared" si="2"/>
        <v>22 мк</v>
      </c>
    </row>
    <row r="7" spans="1:17" x14ac:dyDescent="0.35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20">
        <v>22</v>
      </c>
      <c r="O7" s="2" t="s">
        <v>1046</v>
      </c>
      <c r="P7" t="str">
        <f t="shared" si="2"/>
        <v>22 мк</v>
      </c>
    </row>
    <row r="8" spans="1:17" x14ac:dyDescent="0.35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20">
        <v>0.33</v>
      </c>
      <c r="O8" s="2">
        <v>15</v>
      </c>
      <c r="P8" t="str">
        <f t="shared" si="2"/>
        <v>0,33 мк</v>
      </c>
    </row>
    <row r="9" spans="1:17" x14ac:dyDescent="0.35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20">
        <v>68</v>
      </c>
      <c r="O9" s="2">
        <v>2.65</v>
      </c>
      <c r="P9" s="2" t="str">
        <f t="shared" si="2"/>
        <v>68 мк</v>
      </c>
    </row>
    <row r="10" spans="1:17" x14ac:dyDescent="0.35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20">
        <v>12</v>
      </c>
      <c r="O10">
        <v>1.05</v>
      </c>
      <c r="P10" s="2" t="str">
        <f t="shared" si="2"/>
        <v>12 мк</v>
      </c>
    </row>
    <row r="11" spans="1:17" x14ac:dyDescent="0.35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20">
        <v>1.2</v>
      </c>
      <c r="O11" s="18">
        <v>15</v>
      </c>
      <c r="P11" s="18" t="s">
        <v>1090</v>
      </c>
    </row>
    <row r="12" spans="1:17" x14ac:dyDescent="0.35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20">
        <v>47</v>
      </c>
      <c r="O12" s="18">
        <v>3.3</v>
      </c>
      <c r="P12" s="2" t="str">
        <f t="shared" si="2"/>
        <v>47 мк</v>
      </c>
    </row>
    <row r="13" spans="1:17" x14ac:dyDescent="0.35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20">
        <v>100</v>
      </c>
      <c r="O13" s="18">
        <v>3.3</v>
      </c>
      <c r="P13" s="2" t="str">
        <f t="shared" si="2"/>
        <v>100 мк</v>
      </c>
    </row>
    <row r="14" spans="1:17" x14ac:dyDescent="0.35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s="18">
        <v>10000</v>
      </c>
      <c r="P14" s="18">
        <f>N14</f>
        <v>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H15" sqref="H15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1796875" customWidth="1"/>
    <col min="5" max="5" width="20.6328125" customWidth="1"/>
    <col min="6" max="6" width="21.7265625" customWidth="1"/>
    <col min="7" max="7" width="17.81640625" customWidth="1"/>
    <col min="8" max="8" width="22.90625" customWidth="1"/>
    <col min="9" max="9" width="18.453125" customWidth="1"/>
    <col min="10" max="10" width="16.7265625" customWidth="1"/>
    <col min="11" max="11" width="12.36328125" customWidth="1"/>
    <col min="12" max="12" width="13.0898437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9"/>
      <c r="O1" s="1"/>
      <c r="P1" s="1"/>
      <c r="Q1" s="1"/>
    </row>
    <row r="2" spans="1:17" ht="15.5" x14ac:dyDescent="0.35">
      <c r="A2" s="27" t="s">
        <v>1114</v>
      </c>
      <c r="B2" s="28" t="s">
        <v>1115</v>
      </c>
      <c r="C2" s="23" t="str">
        <f>A2</f>
        <v>TS820-600B-TR</v>
      </c>
      <c r="D2" s="28" t="s">
        <v>1117</v>
      </c>
      <c r="E2" s="28" t="s">
        <v>1116</v>
      </c>
      <c r="F2" s="23" t="str">
        <f t="shared" ref="F2" si="0">CONCATENATE("Footprints\",G2,".PcbLib")</f>
        <v>Footprints\DPAK.PcbLib</v>
      </c>
      <c r="G2" s="28" t="s">
        <v>6</v>
      </c>
      <c r="H2" s="23"/>
      <c r="I2" s="23"/>
      <c r="J2" s="21" t="s">
        <v>1118</v>
      </c>
      <c r="K2" s="26" t="s">
        <v>1120</v>
      </c>
      <c r="L2" s="26"/>
      <c r="M2" s="2"/>
      <c r="N2" s="20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0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0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20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20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20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20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20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0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20"/>
      <c r="O11" s="18"/>
      <c r="P11" s="18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20"/>
      <c r="O12" s="18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20"/>
      <c r="O13" s="18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20"/>
      <c r="O14" s="18"/>
      <c r="P14" s="18"/>
    </row>
    <row r="22" spans="14:14" x14ac:dyDescent="0.35">
      <c r="N22" s="20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3"/>
  <sheetViews>
    <sheetView workbookViewId="0">
      <selection activeCell="L1" sqref="L1"/>
    </sheetView>
  </sheetViews>
  <sheetFormatPr defaultRowHeight="14.5" x14ac:dyDescent="0.35"/>
  <cols>
    <col min="1" max="1" width="14.81640625" customWidth="1"/>
    <col min="2" max="2" width="15.81640625" customWidth="1"/>
    <col min="3" max="3" width="12.54296875" customWidth="1"/>
    <col min="4" max="4" width="19.6328125" customWidth="1"/>
    <col min="5" max="5" width="12.81640625" customWidth="1"/>
    <col min="6" max="6" width="28" customWidth="1"/>
    <col min="7" max="7" width="16.81640625" customWidth="1"/>
    <col min="8" max="8" width="20.81640625" customWidth="1"/>
    <col min="9" max="9" width="16.81640625" customWidth="1"/>
    <col min="10" max="10" width="31.1796875" bestFit="1" customWidth="1"/>
    <col min="11" max="11" width="17.36328125" bestFit="1" customWidth="1"/>
    <col min="12" max="12" width="13.453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/>
      <c r="K2" s="2"/>
      <c r="L2" s="18"/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/>
      <c r="I3" s="2"/>
      <c r="J3" s="2"/>
      <c r="K3" s="2"/>
      <c r="L3" s="18"/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  <c r="L4" s="18"/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  <c r="L5" s="18"/>
    </row>
    <row r="6" spans="1:20" x14ac:dyDescent="0.35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  <c r="L6" s="18"/>
    </row>
    <row r="7" spans="1:20" x14ac:dyDescent="0.35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L7" s="18"/>
    </row>
    <row r="8" spans="1:20" x14ac:dyDescent="0.35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L8" s="18"/>
    </row>
    <row r="9" spans="1:20" x14ac:dyDescent="0.35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  <c r="L9" s="18"/>
    </row>
    <row r="10" spans="1:20" x14ac:dyDescent="0.35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  <c r="L10" s="18"/>
    </row>
    <row r="11" spans="1:20" x14ac:dyDescent="0.35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  <c r="L11" s="18"/>
    </row>
    <row r="12" spans="1:20" x14ac:dyDescent="0.35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  <c r="L12" s="18"/>
    </row>
    <row r="13" spans="1:20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18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J31"/>
  <sheetViews>
    <sheetView tabSelected="1" zoomScaleNormal="100" workbookViewId="0">
      <selection activeCell="H34" sqref="H34"/>
    </sheetView>
  </sheetViews>
  <sheetFormatPr defaultRowHeight="14.5" x14ac:dyDescent="0.35"/>
  <cols>
    <col min="1" max="1" width="14.81640625" customWidth="1"/>
    <col min="2" max="2" width="40.36328125" customWidth="1"/>
    <col min="3" max="3" width="13.1796875" customWidth="1"/>
    <col min="4" max="4" width="45.81640625" customWidth="1"/>
    <col min="5" max="5" width="17.1796875" customWidth="1"/>
    <col min="6" max="6" width="44" customWidth="1"/>
    <col min="7" max="7" width="16.81640625" customWidth="1"/>
    <col min="8" max="8" width="44.453125" customWidth="1"/>
    <col min="9" max="9" width="23.81640625" customWidth="1"/>
    <col min="10" max="10" width="28.81640625" customWidth="1"/>
  </cols>
  <sheetData>
    <row r="1" spans="1:1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</row>
    <row r="2" spans="1:10" x14ac:dyDescent="0.35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</row>
    <row r="3" spans="1:10" x14ac:dyDescent="0.35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</row>
    <row r="4" spans="1:10" x14ac:dyDescent="0.35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s="18" t="s">
        <v>1134</v>
      </c>
      <c r="G4" t="s">
        <v>109</v>
      </c>
    </row>
    <row r="5" spans="1:10" x14ac:dyDescent="0.35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</row>
    <row r="6" spans="1:10" x14ac:dyDescent="0.35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</row>
    <row r="7" spans="1:10" x14ac:dyDescent="0.35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</row>
    <row r="8" spans="1:10" x14ac:dyDescent="0.35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</row>
    <row r="9" spans="1:10" x14ac:dyDescent="0.35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</row>
    <row r="10" spans="1:10" x14ac:dyDescent="0.35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</row>
    <row r="11" spans="1:10" x14ac:dyDescent="0.35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</row>
    <row r="12" spans="1:10" x14ac:dyDescent="0.35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</row>
    <row r="13" spans="1:10" x14ac:dyDescent="0.35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</row>
    <row r="14" spans="1:10" x14ac:dyDescent="0.35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</row>
    <row r="15" spans="1:10" x14ac:dyDescent="0.35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</row>
    <row r="16" spans="1:10" x14ac:dyDescent="0.35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</row>
    <row r="17" spans="1:10" x14ac:dyDescent="0.35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</row>
    <row r="18" spans="1:10" x14ac:dyDescent="0.35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</row>
    <row r="19" spans="1:10" x14ac:dyDescent="0.35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</row>
    <row r="20" spans="1:10" x14ac:dyDescent="0.35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</row>
    <row r="21" spans="1:10" x14ac:dyDescent="0.35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</row>
    <row r="22" spans="1:10" x14ac:dyDescent="0.35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</row>
    <row r="23" spans="1:10" x14ac:dyDescent="0.35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</row>
    <row r="24" spans="1:10" x14ac:dyDescent="0.35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</row>
    <row r="25" spans="1:10" x14ac:dyDescent="0.35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</row>
    <row r="26" spans="1:10" x14ac:dyDescent="0.35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</row>
    <row r="27" spans="1:10" x14ac:dyDescent="0.35">
      <c r="A27" t="s">
        <v>1061</v>
      </c>
      <c r="B27" t="s">
        <v>1060</v>
      </c>
      <c r="C27" s="2" t="s">
        <v>1061</v>
      </c>
      <c r="D27" s="18" t="s">
        <v>358</v>
      </c>
      <c r="E27" s="2" t="s">
        <v>121</v>
      </c>
      <c r="F27" s="18" t="s">
        <v>1134</v>
      </c>
      <c r="G27" t="s">
        <v>1059</v>
      </c>
    </row>
    <row r="28" spans="1:10" x14ac:dyDescent="0.35">
      <c r="A28" t="s">
        <v>1135</v>
      </c>
      <c r="B28" t="s">
        <v>1142</v>
      </c>
      <c r="C28" t="s">
        <v>1135</v>
      </c>
      <c r="D28" s="18" t="s">
        <v>353</v>
      </c>
      <c r="E28" s="2" t="s">
        <v>115</v>
      </c>
      <c r="F28" s="18" t="s">
        <v>1136</v>
      </c>
      <c r="G28" t="s">
        <v>1137</v>
      </c>
      <c r="J28" t="s">
        <v>1141</v>
      </c>
    </row>
    <row r="29" spans="1:10" x14ac:dyDescent="0.35">
      <c r="A29" t="s">
        <v>1138</v>
      </c>
      <c r="B29" t="s">
        <v>1143</v>
      </c>
      <c r="C29" t="s">
        <v>1138</v>
      </c>
      <c r="D29" s="18" t="s">
        <v>358</v>
      </c>
      <c r="E29" s="2" t="s">
        <v>121</v>
      </c>
      <c r="F29" s="18" t="s">
        <v>1136</v>
      </c>
      <c r="G29" t="s">
        <v>1139</v>
      </c>
      <c r="J29" t="s">
        <v>1141</v>
      </c>
    </row>
    <row r="30" spans="1:10" x14ac:dyDescent="0.35">
      <c r="A30" t="s">
        <v>1146</v>
      </c>
      <c r="B30" t="s">
        <v>1145</v>
      </c>
      <c r="C30" t="str">
        <f>Таблица9[[#This Row],[Part Number]]</f>
        <v>PBS-4</v>
      </c>
      <c r="D30" s="18" t="s">
        <v>353</v>
      </c>
      <c r="E30" s="2" t="s">
        <v>115</v>
      </c>
      <c r="F30" s="18" t="s">
        <v>1150</v>
      </c>
      <c r="G30" t="s">
        <v>1148</v>
      </c>
      <c r="J30" t="s">
        <v>1151</v>
      </c>
    </row>
    <row r="31" spans="1:10" x14ac:dyDescent="0.35">
      <c r="A31" t="s">
        <v>1147</v>
      </c>
      <c r="B31" t="s">
        <v>1145</v>
      </c>
      <c r="C31" t="str">
        <f>Таблица9[[#This Row],[Part Number]]</f>
        <v>PBS-2</v>
      </c>
      <c r="D31" s="18" t="s">
        <v>358</v>
      </c>
      <c r="E31" s="2" t="s">
        <v>121</v>
      </c>
      <c r="F31" s="18" t="s">
        <v>1150</v>
      </c>
      <c r="G31" t="s">
        <v>1149</v>
      </c>
      <c r="J31" t="s">
        <v>1151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2025-05-15T18:50:23Z</dcterms:modified>
</cp:coreProperties>
</file>