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filterPrivacy="1" codeName="ЭтаКнига"/>
  <xr:revisionPtr revIDLastSave="0" documentId="13_ncr:1_{0EDDA752-4913-4C18-A8F9-B2968A2839CF}" xr6:coauthVersionLast="37" xr6:coauthVersionMax="47" xr10:uidLastSave="{00000000-0000-0000-0000-000000000000}"/>
  <bookViews>
    <workbookView xWindow="-105" yWindow="-105" windowWidth="23250" windowHeight="12570" firstSheet="5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79021"/>
</workbook>
</file>

<file path=xl/calcChain.xml><?xml version="1.0" encoding="utf-8"?>
<calcChain xmlns="http://schemas.openxmlformats.org/spreadsheetml/2006/main">
  <c r="D44" i="1" l="1"/>
  <c r="E44" i="1"/>
  <c r="L16" i="10" l="1"/>
  <c r="J16" i="10"/>
  <c r="H16" i="10"/>
  <c r="F16" i="10"/>
  <c r="C16" i="10"/>
  <c r="B16" i="10"/>
  <c r="L15" i="10"/>
  <c r="J15" i="10"/>
  <c r="H15" i="10"/>
  <c r="F15" i="10"/>
  <c r="C15" i="10"/>
  <c r="B15" i="10"/>
  <c r="F11" i="4"/>
  <c r="C11" i="4"/>
  <c r="J10" i="8"/>
  <c r="F10" i="8"/>
  <c r="D10" i="8"/>
  <c r="C10" i="8"/>
  <c r="F12" i="9"/>
  <c r="C12" i="9"/>
  <c r="B12" i="9"/>
  <c r="F45" i="1"/>
  <c r="E45" i="1"/>
  <c r="D45" i="1"/>
  <c r="C45" i="1"/>
  <c r="F44" i="1"/>
  <c r="C44" i="1"/>
  <c r="F43" i="1"/>
  <c r="E43" i="1"/>
  <c r="D43" i="1"/>
  <c r="C43" i="1"/>
  <c r="D46" i="6" l="1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<sst xmlns="http://schemas.openxmlformats.org/spreadsheetml/2006/main" count="3162" uniqueCount="1305">
  <si>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</si>
  <si>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</si>
  <si>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</si>
  <si>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</si>
  <si>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</si>
  <si>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</si>
  <si>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</si>
  <si>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</si>
  <si>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</si>
  <si>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</si>
  <si>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</si>
  <si>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</si>
  <si>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</si>
  <si>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</si>
  <si>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</si>
  <si>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</si>
  <si>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</si>
  <si>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</si>
  <si>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</si>
  <si>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</si>
  <si>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</si>
  <si>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</si>
  <si>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</si>
  <si>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</si>
  <si>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</si>
  <si>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</si>
  <si>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</si>
  <si>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</si>
  <si>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</si>
  <si>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</si>
  <si>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</si>
  <si>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</si>
  <si>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</si>
  <si>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</si>
  <si>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</si>
  <si>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</si>
  <si>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</si>
  <si>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</si>
  <si>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</si>
  <si>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</si>
  <si>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</si>
  <si>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</si>
  <si>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</si>
  <si>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</si>
  <si>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</si>
  <si>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</si>
  <si>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</si>
  <si>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</si>
  <si>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</si>
  <si>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</si>
  <si>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</si>
  <si>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</si>
  <si>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</si>
  <si>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</si>
  <si>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</si>
  <si>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</si>
  <si>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</si>
  <si>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</si>
  <si>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</si>
  <si>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</si>
  <si>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</si>
  <si>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</si>
  <si>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</si>
  <si>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</si>
  <si>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</si>
  <si>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</si>
  <si>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</si>
  <si>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</si>
  <si>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</si>
  <si>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</si>
  <si>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</si>
  <si>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</si>
  <si>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</si>
  <si>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</si>
  <si>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</si>
  <si>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</si>
  <si>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</si>
  <si>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</si>
  <si>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</si>
  <si>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</si>
  <si>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</si>
  <si>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</si>
  <si>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</si>
  <si>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</si>
  <si>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</si>
  <si>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</si>
  <si>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</si>
  <si>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</si>
  <si>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</si>
  <si>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</si>
  <si>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</si>
  <si>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</si>
  <si>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</si>
  <si>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</si>
  <si>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</si>
  <si>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</si>
  <si>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</si>
  <si>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</si>
  <si>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</si>
  <si>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</si>
  <si>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</si>
  <si>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</si>
  <si>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</si>
  <si>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</si>
  <si>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</si>
  <si>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</si>
  <si>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</si>
  <si>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</si>
  <si>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</si>
  <si>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</si>
  <si>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</si>
  <si>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</si>
  <si>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</si>
  <si>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</si>
  <si>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</si>
  <si>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</si>
  <si>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</si>
  <si>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</si>
  <si>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</si>
  <si>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</si>
  <si>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</si>
  <si>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</si>
  <si>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</si>
  <si>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</si>
  <si>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</si>
  <si>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</si>
  <si>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</si>
  <si>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</si>
  <si>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</si>
  <si>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</si>
  <si>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</si>
  <si>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</si>
  <si>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</si>
  <si>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</si>
  <si>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</si>
  <si>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</si>
  <si>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</si>
  <si>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</si>
  <si>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</si>
  <si>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</si>
  <si>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</si>
  <si>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</si>
  <si>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</si>
  <si>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</si>
  <si>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</si>
  <si>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</si>
  <si>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</si>
  <si>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</si>
  <si>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</si>
  <si>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</si>
  <si>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</si>
  <si>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</si>
  <si>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</si>
  <si>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</si>
  <si>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</si>
  <si>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</si>
  <si>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</si>
  <si>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</si>
  <si>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</si>
  <si>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</si>
  <si>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</si>
  <si>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</si>
  <si>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</si>
  <si>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</si>
  <si>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</si>
  <si>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</si>
  <si>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</si>
  <si>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</si>
  <si>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</si>
  <si>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</si>
  <si>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</si>
  <si>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</si>
  <si>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</si>
  <si>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</si>
  <si>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</si>
  <si>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</si>
  <si>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</si>
  <si>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</si>
  <si>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</si>
  <si>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</si>
  <si>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</si>
  <si>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</si>
  <si>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</si>
  <si>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</si>
  <si>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</si>
  <si>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</si>
  <si>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</si>
  <si>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</si>
  <si>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</si>
  <si>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</si>
  <si>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</si>
  <si>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</si>
  <si>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</si>
  <si>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</si>
  <si>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</si>
  <si>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</si>
  <si>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</si>
  <si>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</si>
  <si>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</si>
  <si>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</si>
  <si>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</si>
  <si>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</si>
  <si>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</si>
  <si>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</si>
  <si>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</si>
  <si>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</si>
  <si>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</si>
  <si>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</si>
  <si>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</si>
  <si>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</si>
  <si>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</si>
  <si>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</si>
  <si>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</si>
  <si>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</si>
  <si>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</si>
  <si>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</si>
  <si>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</si>
  <si>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</si>
  <si>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</si>
  <si>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</si>
  <si>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</si>
  <si>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</si>
  <si>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</si>
  <si>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</si>
  <si>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</si>
  <si>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</si>
  <si>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</si>
  <si>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</si>
  <si>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</si>
  <si>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</si>
  <si>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</si>
  <si>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</si>
  <si>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</si>
  <si>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</si>
  <si>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</si>
  <si>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</si>
  <si>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</si>
  <si>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</si>
  <si>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</si>
  <si>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</si>
  <si>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</si>
  <si>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</si>
  <si>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</si>
  <si>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</si>
  <si>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</si>
  <si>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</si>
  <si>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</si>
  <si>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</si>
  <si>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</si>
  <si>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</si>
  <si>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</si>
  <si>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</si>
  <si>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</si>
  <si>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</si>
  <si>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</si>
  <si>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</si>
  <si>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</si>
  <si>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</si>
  <si>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</si>
  <si>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</si>
  <si>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</si>
  <si>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</si>
  <si>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</si>
  <si>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</si>
  <si>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</si>
  <si>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</si>
  <si>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</si>
  <si>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</si>
  <si>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</si>
  <si>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</si>
  <si>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</si>
  <si>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</si>
  <si>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</si>
  <si>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</si>
  <si>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</si>
  <si>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</si>
  <si>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</si>
  <si>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</si>
  <si>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</si>
  <si>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</si>
  <si>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</si>
  <si>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</si>
  <si>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</si>
  <si>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</si>
  <si>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</si>
  <si>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</si>
  <si>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</si>
  <si>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</si>
  <si>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</si>
  <si>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</si>
  <si>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</si>
  <si>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</si>
  <si>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</si>
  <si>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</si>
  <si>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</si>
  <si>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</si>
  <si>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</si>
  <si>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</si>
  <si>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</si>
  <si>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</si>
  <si>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</si>
  <si>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</si>
  <si>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</si>
  <si>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</si>
  <si>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</si>
  <si>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</si>
  <si>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</si>
  <si>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</si>
  <si>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</si>
  <si>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</si>
  <si>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</si>
  <si>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</si>
  <si>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</si>
  <si>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</si>
  <si>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</si>
  <si>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</si>
  <si>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</si>
  <si>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</si>
  <si>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</si>
  <si>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</si>
  <si>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</si>
  <si>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</si>
  <si>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</si>
  <si>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</si>
  <si>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</si>
  <si>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</si>
  <si>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</si>
  <si>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</si>
  <si>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</si>
  <si>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</si>
  <si>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</si>
  <si>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</si>
  <si>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</si>
  <si>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</si>
  <si>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</si>
  <si>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</si>
  <si>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</si>
  <si>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</si>
  <si>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</si>
  <si>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</si>
  <si>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</si>
  <si>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</si>
  <si>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</si>
  <si>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</si>
  <si>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</si>
  <si>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</si>
  <si>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</si>
  <si>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</si>
  <si>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</si>
  <si>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</si>
  <si>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</si>
  <si>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</si>
  <si>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</si>
  <si>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</si>
  <si>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</si>
  <si>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</si>
  <si>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</si>
  <si>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</si>
  <si>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</si>
  <si>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</si>
  <si>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</si>
  <si>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</si>
  <si>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</si>
  <si>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</si>
  <si>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</si>
  <si>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</si>
  <si>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</si>
  <si>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</si>
  <si>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</si>
  <si>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</si>
  <si>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</si>
  <si>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</si>
  <si>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</si>
  <si>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</si>
  <si>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</si>
  <si>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</si>
  <si>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</si>
  <si>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</si>
  <si>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</si>
  <si>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</si>
  <si>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</si>
  <si>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</si>
  <si>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</si>
  <si>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</si>
  <si>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</si>
  <si>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</si>
  <si>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</si>
  <si>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</si>
  <si>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</si>
  <si>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</si>
  <si>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</si>
  <si>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</si>
  <si>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</si>
  <si>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</si>
  <si>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</si>
  <si>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</si>
  <si>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</si>
  <si>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</si>
  <si>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</si>
  <si>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</si>
  <si>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</si>
  <si>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</si>
  <si>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</si>
  <si>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</si>
  <si>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</si>
  <si>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</si>
  <si>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</si>
  <si>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</si>
  <si>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</si>
  <si>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</si>
  <si>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</si>
  <si>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</si>
  <si>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</si>
  <si>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</si>
  <si>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</si>
  <si>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</si>
  <si>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</si>
  <si>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</si>
  <si>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</si>
  <si>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</si>
  <si>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</si>
  <si>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</si>
  <si>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</si>
  <si>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</si>
  <si>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</si>
  <si>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</si>
  <si>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</si>
  <si>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</si>
  <si>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</si>
  <si>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</si>
  <si>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</si>
  <si>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</si>
  <si>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</si>
  <si>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</si>
  <si>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</si>
  <si>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</si>
  <si>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</si>
  <si>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</si>
  <si>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</si>
  <si>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</si>
  <si>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</si>
  <si>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</si>
  <si>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</si>
  <si>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</si>
  <si>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</si>
  <si>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</si>
  <si>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</si>
  <si>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</si>
  <si>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</si>
  <si>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</si>
  <si>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</si>
  <si>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</si>
  <si>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</si>
  <si>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</si>
  <si>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</si>
  <si>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</si>
  <si>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</si>
  <si>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</si>
  <si>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</si>
  <si>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</si>
  <si>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</si>
  <si>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</si>
  <si>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</si>
  <si>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</si>
  <si>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</si>
  <si>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</si>
  <si>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</si>
  <si>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</si>
  <si>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</si>
  <si>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</si>
  <si>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</si>
  <si>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</si>
  <si>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</si>
  <si>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</si>
  <si>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</si>
  <si>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</si>
  <si>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</si>
  <si>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</si>
  <si>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</si>
  <si>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</si>
  <si>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</si>
  <si>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</si>
  <si>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</si>
  <si>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</si>
  <si>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</si>
  <si>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</si>
  <si>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</si>
  <si>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</si>
  <si>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</si>
  <si>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</si>
  <si>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</si>
  <si>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</si>
  <si>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</si>
  <si>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</si>
  <si>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</si>
  <si>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</si>
  <si>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</si>
  <si>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</si>
  <si>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</si>
  <si>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</si>
  <si>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</si>
  <si>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</si>
  <si>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</si>
  <si>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</si>
  <si>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</si>
  <si>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</si>
  <si>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</si>
  <si>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</si>
  <si>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</si>
  <si>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</si>
  <si>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</si>
  <si>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</si>
  <si>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</si>
  <si>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</si>
  <si>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</si>
  <si>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</si>
  <si>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</si>
  <si>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</si>
  <si>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</si>
  <si>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</si>
  <si>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</si>
  <si>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</si>
  <si>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</si>
  <si>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</si>
  <si>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</si>
  <si>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</si>
  <si>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</si>
  <si>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</si>
  <si>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</si>
  <si>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</si>
  <si>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</si>
  <si>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</si>
  <si>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</si>
  <si>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</si>
  <si>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</si>
  <si>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</si>
  <si>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</si>
  <si>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</si>
  <si>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</si>
  <si>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</si>
  <si>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</si>
  <si>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</si>
  <si>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</si>
  <si>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</si>
  <si>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</si>
  <si>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</si>
  <si>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</si>
  <si>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</si>
  <si>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</si>
  <si>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</si>
  <si>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</si>
  <si>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</si>
  <si>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</si>
  <si>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</si>
  <si>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</si>
  <si>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</si>
  <si>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</si>
  <si>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</si>
  <si>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</si>
  <si>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</si>
  <si>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</si>
  <si>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</si>
  <si>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</si>
  <si>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</si>
  <si>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</si>
  <si>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</si>
  <si>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</si>
  <si>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</si>
  <si>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</si>
  <si>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</si>
  <si>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</si>
  <si>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</si>
  <si>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</si>
  <si>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</si>
  <si>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</si>
  <si>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</si>
  <si>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</si>
  <si>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</si>
  <si>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</si>
  <si>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</si>
  <si>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</si>
  <si>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</si>
  <si>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</si>
  <si>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</si>
  <si>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</si>
  <si>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</si>
  <si>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</si>
  <si>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</si>
  <si>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</si>
  <si>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</si>
  <si>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</si>
  <si>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</si>
  <si>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</si>
  <si>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</si>
  <si>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</si>
  <si>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</si>
  <si>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</si>
  <si>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</si>
  <si>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</si>
  <si>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</si>
  <si>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</si>
  <si>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</si>
  <si>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</si>
  <si>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</si>
  <si>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</si>
  <si>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</si>
  <si>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</si>
  <si>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</si>
  <si>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</si>
  <si>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</si>
  <si>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</si>
  <si>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</si>
  <si>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</si>
  <si>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</si>
  <si>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</si>
  <si>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</si>
  <si>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</si>
  <si>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</si>
  <si>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</si>
  <si>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</si>
  <si>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</si>
  <si>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</si>
  <si>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</si>
  <si>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</si>
  <si>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</si>
  <si>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</si>
  <si>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</si>
  <si>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</si>
  <si>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</si>
  <si>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</si>
  <si>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</si>
  <si>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</si>
  <si>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</si>
  <si>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</si>
  <si>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</si>
  <si>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</si>
  <si>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</si>
  <si>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</si>
  <si>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</si>
  <si>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</si>
  <si>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</si>
  <si>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</si>
  <si>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</si>
  <si>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</si>
  <si>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</si>
  <si>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</si>
  <si>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</si>
  <si>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</si>
  <si>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</si>
  <si>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</si>
  <si>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</si>
  <si>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</si>
  <si>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</si>
  <si>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</si>
  <si>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</si>
  <si>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</si>
  <si>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</si>
  <si>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</si>
  <si>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</si>
  <si>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</si>
  <si>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</si>
  <si>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</si>
  <si>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</si>
  <si>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</si>
  <si>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</si>
  <si>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</si>
  <si>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</si>
  <si>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</si>
  <si>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</si>
  <si>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</si>
  <si>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</si>
  <si>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</si>
  <si>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</si>
  <si>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</si>
  <si>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</si>
  <si>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</si>
  <si>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</si>
  <si>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</si>
  <si>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</si>
  <si>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</si>
  <si>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</si>
  <si>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</si>
  <si>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</si>
  <si>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</si>
  <si>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</si>
  <si>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</si>
  <si>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</si>
  <si>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</si>
  <si>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</si>
  <si>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</si>
  <si>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</si>
  <si>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</si>
  <si>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</si>
  <si>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</si>
  <si>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</si>
  <si>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</si>
  <si>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</si>
  <si>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</si>
  <si>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</si>
  <si>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</si>
  <si>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</si>
  <si>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</si>
  <si>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</si>
  <si>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</si>
  <si>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</si>
  <si>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</si>
  <si>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</si>
  <si>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</si>
  <si>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</si>
  <si>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</si>
  <si>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</si>
  <si>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</si>
  <si>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</si>
  <si>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</si>
  <si>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</si>
  <si>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</si>
  <si>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</si>
  <si>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</si>
  <si>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</si>
  <si>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</si>
  <si>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</si>
  <si>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</si>
  <si>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</si>
  <si>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</si>
  <si>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</si>
  <si>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</si>
  <si>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</si>
  <si>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</si>
  <si>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</si>
  <si>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</si>
  <si>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</si>
  <si>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</si>
  <si>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</si>
  <si>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</si>
  <si>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</si>
  <si>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</si>
  <si>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</si>
  <si>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</si>
  <si>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</si>
  <si>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</si>
  <si>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</si>
  <si>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</si>
  <si>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</si>
  <si>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</si>
  <si>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</si>
  <si>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</si>
  <si>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</si>
  <si>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</si>
  <si>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</si>
  <si>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</si>
  <si>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</si>
  <si>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</si>
  <si>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</si>
  <si>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</si>
  <si>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</si>
  <si>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</si>
  <si>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</si>
  <si>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</si>
  <si>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</si>
  <si>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</si>
  <si>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</si>
  <si>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</si>
  <si>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</si>
  <si>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</si>
  <si>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</si>
  <si>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</si>
  <si>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</si>
  <si>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</si>
  <si>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</si>
  <si>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</si>
  <si>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</si>
  <si>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</si>
  <si>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</si>
  <si>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</si>
  <si>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</si>
  <si>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</si>
  <si>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</si>
  <si>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</si>
  <si>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</si>
  <si>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</si>
  <si>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</si>
  <si>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</si>
  <si>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</si>
  <si>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</si>
  <si>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</si>
  <si>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</si>
  <si>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</si>
  <si>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</si>
  <si>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</si>
  <si>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</si>
  <si>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</si>
  <si>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</si>
  <si>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</si>
  <si>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</si>
  <si>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</si>
  <si>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</si>
  <si>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</si>
  <si>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</si>
  <si>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</si>
  <si>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</si>
  <si>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</si>
  <si>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</si>
  <si>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</si>
  <si>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</si>
  <si>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</si>
  <si>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</si>
  <si>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</si>
  <si>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</si>
  <si>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</si>
  <si>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</si>
  <si>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</si>
  <si>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</si>
  <si>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</si>
  <si>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</si>
  <si>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</si>
  <si>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</si>
  <si>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</si>
  <si>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</si>
  <si>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</si>
  <si>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</si>
  <si>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</si>
  <si>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</si>
  <si>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</si>
  <si>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</si>
  <si>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</si>
  <si>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</si>
  <si>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</si>
  <si>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</si>
  <si>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</si>
  <si>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</si>
  <si>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</si>
  <si>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</si>
  <si>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</si>
  <si>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</si>
  <si>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</si>
  <si>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</si>
  <si>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</si>
  <si>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</si>
  <si>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</si>
  <si>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</si>
  <si>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</si>
  <si>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</si>
  <si>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</si>
  <si>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</si>
  <si>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</si>
  <si>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</si>
  <si>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</si>
  <si>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</si>
  <si>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</si>
  <si>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</si>
  <si>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</si>
  <si>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</si>
  <si>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</si>
  <si>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</si>
  <si>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</si>
  <si>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</si>
  <si>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</si>
  <si>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</si>
  <si>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</si>
  <si>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</si>
  <si>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</si>
  <si>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</si>
  <si>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</si>
  <si>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</si>
  <si>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</si>
  <si>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</si>
  <si>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</si>
  <si>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</si>
  <si>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</si>
  <si>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</si>
  <si>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</si>
  <si>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</si>
  <si>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</si>
  <si>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</si>
  <si>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</si>
  <si>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</si>
  <si>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</si>
  <si>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</si>
  <si>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</si>
  <si>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</si>
  <si>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</si>
  <si>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</si>
  <si>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</si>
  <si>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</si>
  <si>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</si>
  <si>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</si>
  <si>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</si>
  <si>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</si>
  <si>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</si>
  <si>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</si>
  <si>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</si>
  <si>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</si>
  <si>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</si>
  <si>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</si>
  <si>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</si>
  <si>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</si>
  <si>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</si>
  <si>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</si>
  <si>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</si>
  <si>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</si>
  <si>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</si>
  <si>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</si>
  <si>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</si>
  <si>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</si>
  <si>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</si>
  <si>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</si>
  <si>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</si>
  <si>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</si>
  <si>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</si>
  <si>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</si>
  <si>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</si>
  <si>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</si>
  <si>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</si>
  <si>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</si>
  <si>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</si>
  <si>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</si>
  <si>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</si>
  <si>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</si>
  <si>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</si>
  <si>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</si>
  <si>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</si>
  <si>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</si>
  <si>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</si>
  <si>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</si>
  <si>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</si>
  <si>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</si>
  <si>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</si>
  <si>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</si>
  <si>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</si>
  <si>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</si>
  <si>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</si>
  <si>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</si>
  <si>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</si>
  <si>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</si>
  <si>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</si>
  <si>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</si>
  <si>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</si>
  <si>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</si>
  <si>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</si>
  <si>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</si>
  <si>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</si>
  <si>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</si>
  <si>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</si>
  <si>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</si>
  <si>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</si>
  <si>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</si>
  <si>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</si>
  <si>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</si>
  <si>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</si>
  <si>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</si>
  <si>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</si>
  <si>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</si>
  <si>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</si>
  <si>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</si>
  <si>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</si>
  <si>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</si>
  <si>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</si>
  <si>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</si>
  <si>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</si>
  <si>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</si>
  <si>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</si>
  <si>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</si>
  <si>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</si>
  <si>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</si>
  <si>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</si>
  <si>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</si>
  <si>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</si>
  <si>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</si>
  <si>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</si>
  <si>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</si>
  <si>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</si>
  <si>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</si>
  <si>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</si>
  <si>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</si>
  <si>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</si>
  <si>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</si>
  <si>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</si>
  <si>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</si>
  <si>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</si>
  <si>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</si>
  <si>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</si>
  <si>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</si>
  <si>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</si>
  <si>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</si>
  <si>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</si>
  <si>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</si>
  <si>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</si>
  <si>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</si>
  <si>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</si>
  <si>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</si>
  <si>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</si>
  <si>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</si>
  <si>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</si>
  <si>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</si>
  <si>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</si>
  <si>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</si>
  <si>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</si>
  <si>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</si>
  <si>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</si>
  <si>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</si>
  <si>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</si>
  <si>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</si>
  <si>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</si>
  <si>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</si>
  <si>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</si>
  <si>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</si>
  <si>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</si>
  <si>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</si>
  <si>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</si>
  <si>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</si>
  <si>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</si>
  <si>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</si>
  <si>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</si>
  <si>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</si>
  <si>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</si>
  <si>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</si>
  <si>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</si>
  <si>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</si>
  <si>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</si>
  <si>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</si>
  <si>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</si>
  <si>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</si>
  <si>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</si>
  <si>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</si>
  <si>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</si>
  <si>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</si>
  <si>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</si>
  <si>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</si>
  <si>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</si>
  <si>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</si>
  <si>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</si>
  <si>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</si>
  <si>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</si>
  <si>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</si>
  <si>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</si>
  <si>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</si>
  <si>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</si>
  <si>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</si>
  <si>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</si>
  <si>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</si>
  <si>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</si>
  <si>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</si>
  <si>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</si>
  <si>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</si>
  <si>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</si>
  <si>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</si>
  <si>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</si>
  <si>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</si>
  <si>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</si>
  <si>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</si>
  <si>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</si>
  <si>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</si>
  <si>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</si>
  <si>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</si>
  <si>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</si>
  <si>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</si>
  <si>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</si>
  <si>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</si>
  <si>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</si>
  <si>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</si>
  <si>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</si>
  <si>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</si>
  <si>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</si>
  <si>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</si>
  <si>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</si>
  <si>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</si>
  <si>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</si>
  <si>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</si>
  <si>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</si>
  <si>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</si>
  <si>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</si>
  <si>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</si>
  <si>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</si>
  <si>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</si>
  <si>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</si>
  <si>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</si>
  <si>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</si>
  <si>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</si>
  <si>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</si>
  <si>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</si>
  <si>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</si>
  <si>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</si>
  <si>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</si>
  <si>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</si>
  <si>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</si>
  <si>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</si>
  <si>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</si>
  <si>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</si>
  <si>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</si>
  <si>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</si>
  <si>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</si>
  <si>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</si>
  <si>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</si>
  <si>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</si>
  <si>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</si>
  <si>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</si>
  <si>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</si>
  <si>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</si>
  <si>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</si>
  <si>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</si>
  <si>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</si>
  <si>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</si>
  <si>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</si>
  <si>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</si>
  <si>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</si>
  <si>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</si>
  <si>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</si>
  <si>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</si>
  <si>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</si>
  <si>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</si>
  <si>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</si>
  <si>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</si>
  <si>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</si>
  <si>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</si>
  <si>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</si>
  <si>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</si>
  <si>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</si>
  <si>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</si>
  <si>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</si>
  <si>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</si>
  <si>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</si>
  <si>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</si>
  <si>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</si>
  <si>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</si>
  <si>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</si>
  <si>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</si>
  <si>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</si>
  <si>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</si>
  <si>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</si>
  <si>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</si>
  <si>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</si>
  <si>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</si>
  <si>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</si>
  <si>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</si>
  <si>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</si>
  <si>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</si>
  <si>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</si>
  <si>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</si>
  <si>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</si>
  <si>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</si>
  <si>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</si>
  <si>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</si>
  <si>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</si>
  <si>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</si>
  <si>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</si>
  <si>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</si>
  <si>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</si>
  <si>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</si>
  <si>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</si>
  <si>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</si>
  <si>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</si>
  <si>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</si>
  <si>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</si>
  <si>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</si>
  <si>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</si>
  <si>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</si>
  <si>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</si>
  <si>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</si>
  <si>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</si>
  <si>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</si>
  <si>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</si>
  <si>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</si>
  <si>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</si>
  <si>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</si>
  <si>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</si>
  <si>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</si>
  <si>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</si>
  <si>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</si>
  <si>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</si>
  <si>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</si>
  <si>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</si>
  <si>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</si>
  <si>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</si>
  <si>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</si>
  <si>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</si>
  <si>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</si>
  <si>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</si>
  <si>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</si>
  <si>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</si>
  <si>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</si>
  <si>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</si>
  <si>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</si>
  <si>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</si>
  <si>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</si>
  <si>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</si>
  <si>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</si>
  <si>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</si>
  <si>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</si>
  <si>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</si>
  <si>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</si>
  <si>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</si>
  <si>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</si>
  <si>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</si>
  <si>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</si>
  <si>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</si>
  <si>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</si>
  <si>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</si>
  <si>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</si>
  <si>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</si>
  <si>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</si>
  <si>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</si>
  <si>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</si>
  <si>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</si>
  <si>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</si>
  <si>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</si>
  <si>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</si>
  <si>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</si>
  <si>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</si>
  <si>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</si>
  <si>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</si>
  <si>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</si>
  <si>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</si>
  <si>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</si>
  <si>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</si>
  <si>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</si>
  <si>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</si>
  <si>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</si>
  <si>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</si>
  <si>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</si>
  <si>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</si>
  <si>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</si>
  <si>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</si>
  <si>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</si>
  <si>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</si>
  <si>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</si>
  <si>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</si>
  <si>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</si>
  <si>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</si>
  <si>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</si>
  <si>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</si>
  <si>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</si>
  <si>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</si>
  <si>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</si>
  <si>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</si>
  <si>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</si>
  <si>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</si>
  <si>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</si>
  <si>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</si>
  <si>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</si>
  <si>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</si>
  <si>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</si>
  <si>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</si>
  <si>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</si>
  <si>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</si>
  <si>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</si>
  <si>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</si>
  <si>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</si>
  <si>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</si>
  <si>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</si>
  <si>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</si>
  <si>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</si>
  <si>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</si>
  <si>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</si>
  <si>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</si>
  <si>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</si>
  <si>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</si>
  <si>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</si>
  <si>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</si>
  <si>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</si>
  <si>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</si>
  <si>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</si>
  <si>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</si>
  <si>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</si>
  <si>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</si>
  <si>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</si>
  <si>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</si>
  <si>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</si>
  <si>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</si>
  <si>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DC-DC понижающий/повышающий преобразователь, вход: 3 - 40 В, выход: 1,25 - 40 В 1,5 А</t>
  </si>
  <si>
    <t>MC3306A</t>
  </si>
  <si>
    <t>Таймер интегральный прецизионный КМОП</t>
  </si>
  <si>
    <t>LMC555</t>
  </si>
  <si>
    <t>Двухканальный драйвер затвора для mosfet и igbt транзисторов</t>
  </si>
  <si>
    <t>IXDN602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</si>
  <si>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</si>
  <si>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</si>
  <si>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</si>
  <si>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</si>
  <si>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</si>
  <si>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</si>
  <si>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</si>
  <si>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40 В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</si>
  <si>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</si>
  <si>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</si>
  <si>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</si>
  <si>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</si>
  <si>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</si>
  <si>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</si>
  <si>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</si>
  <si>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</si>
  <si>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</si>
  <si>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</si>
  <si>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</si>
  <si>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</si>
  <si>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</si>
  <si>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</si>
  <si>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XT90PB-M</t>
  </si>
  <si>
    <t>90 А (60 продолжительно), 2 контакта, прямой отец</t>
  </si>
  <si>
    <t>IDC_40_Male conector</t>
  </si>
  <si>
    <t>IDC 40-пиновый разъём прямая вилка</t>
  </si>
  <si>
    <t>Footprints\Connectors\IDC_40_Male conector.PcbLib</t>
  </si>
  <si>
    <t>Footprints\Connectors\XT90PB-M.PcbLib</t>
  </si>
  <si>
    <t>Footprints\Connectors\MR60PB-M.PcbLib</t>
  </si>
  <si>
    <t>Conn_40pin_double</t>
  </si>
  <si>
    <t>Schematic\Connectors\Conn_40pin_double.SchLib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</si>
</sst>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3" borderId="1" xfId="0" applyFont="1" applyFill="1" applyBorder="1"/>
    <xf numFmtId="49" fontId="0" fillId="3" borderId="1" xfId="0" applyNumberFormat="1" applyFont="1" applyFill="1" applyBorder="1"/>
    <xf numFmtId="0" fontId="0" fillId="0" borderId="5" xfId="0" applyFont="1" applyBorder="1"/>
    <xf numFmtId="0" fontId="0" fillId="0" borderId="1" xfId="0" applyFont="1" applyBorder="1"/>
    <xf numFmtId="49" fontId="0" fillId="0" borderId="1" xfId="0" applyNumberFormat="1" applyFont="1" applyBorder="1"/>
    <xf numFmtId="0" fontId="0" fillId="3" borderId="5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4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0" tableType="xml" totalsRowShown="0" dataDxfId="118" connectionId="16">
  <autoFilter ref="A1:L10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5" connectionId="15">
  <autoFilter ref="A1:L11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6" tableType="xml" totalsRowShown="0" headerRowDxfId="98" dataDxfId="97" connectionId="13">
  <autoFilter ref="A1:M176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6" tableType="xml" totalsRowShown="0" headerRowDxfId="41" connectionId="9">
  <autoFilter ref="A1:Q16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9" tableType="xml" totalsRowShown="0" headerRowDxfId="3" connectionId="7">
  <autoFilter ref="A1:K49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5"/>
  <sheetViews>
    <sheetView topLeftCell="A16" zoomScale="107" zoomScaleNormal="145" workbookViewId="0">
      <selection activeCell="D45" sqref="D45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2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2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2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2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2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2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2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2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2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2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2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2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2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2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2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2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2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2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2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2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2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2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2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2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2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2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25">
      <c r="A42" t="s">
        <v>1224</v>
      </c>
      <c r="B42" t="s">
        <v>1225</v>
      </c>
      <c r="C42" s="2"/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25">
      <c r="A43" s="33" t="s">
        <v>1273</v>
      </c>
      <c r="B43" s="34" t="s">
        <v>1272</v>
      </c>
      <c r="C43" s="35" t="str">
        <f>A43</f>
        <v>IXDN602</v>
      </c>
      <c r="D43" s="34" t="str">
        <f>CONCATENATE("Schematic\",A43,".SchLib")</f>
        <v>Schematic\IXDN602.SchLib</v>
      </c>
      <c r="E43" s="34" t="str">
        <f>A43</f>
        <v>IXDN602</v>
      </c>
      <c r="F43" s="34" t="str">
        <f>CONCATENATE("Footprints\",G43,".PcbLib")</f>
        <v>Footprints\SOIC-8.PcbLib</v>
      </c>
      <c r="G43" s="34" t="s">
        <v>78</v>
      </c>
    </row>
    <row r="44" spans="1:7" x14ac:dyDescent="0.25">
      <c r="A44" s="36" t="s">
        <v>1271</v>
      </c>
      <c r="B44" s="31" t="s">
        <v>1270</v>
      </c>
      <c r="C44" s="32" t="str">
        <f>A44</f>
        <v>LMC555</v>
      </c>
      <c r="D44" s="31" t="str">
        <f>CONCATENATE("Schematic\",A32,".SchLib")</f>
        <v>Schematic\NE555.SchLib</v>
      </c>
      <c r="E44" s="31" t="str">
        <f>A32</f>
        <v>NE555</v>
      </c>
      <c r="F44" s="31" t="str">
        <f>CONCATENATE("Footprints\",G44,".PcbLib")</f>
        <v>Footprints\SOIC-8.PcbLib</v>
      </c>
      <c r="G44" s="31" t="s">
        <v>78</v>
      </c>
    </row>
    <row r="45" spans="1:7" x14ac:dyDescent="0.25">
      <c r="A45" s="33" t="s">
        <v>1269</v>
      </c>
      <c r="B45" s="34" t="s">
        <v>1268</v>
      </c>
      <c r="C45" s="35" t="str">
        <f>A45</f>
        <v>MC3306A</v>
      </c>
      <c r="D45" s="34" t="str">
        <f>CONCATENATE("Schematic\",A45,".SchLib")</f>
        <v>Schematic\MC3306A.SchLib</v>
      </c>
      <c r="E45" s="34" t="str">
        <f>A45</f>
        <v>MC3306A</v>
      </c>
      <c r="F45" s="34" t="str">
        <f>CONCATENATE("Footprints\",G45,".PcbLib")</f>
        <v>Footprints\SOIC-8.PcbLib</v>
      </c>
      <c r="G45" s="34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J12"/>
  <sheetViews>
    <sheetView workbookViewId="0">
      <selection activeCell="A12" sqref="A12:I12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2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2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2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2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2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2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2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2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2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  <row r="12" spans="1:10" x14ac:dyDescent="0.25">
      <c r="A12" t="s">
        <v>1274</v>
      </c>
      <c r="B12" s="37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6">
        <v>100</v>
      </c>
      <c r="I12" s="16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5" customHeight="1" x14ac:dyDescent="0.2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2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2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2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0"/>
  <sheetViews>
    <sheetView workbookViewId="0">
      <selection activeCell="C10" sqref="C10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2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2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2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2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2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25">
      <c r="A10" s="37" t="s">
        <v>1275</v>
      </c>
      <c r="B10" s="37" t="s">
        <v>1276</v>
      </c>
      <c r="C10" s="37" t="str">
        <f>A10</f>
        <v>SMBJ16CA</v>
      </c>
      <c r="D10" s="37" t="str">
        <f>CONCATENATE("Schematic\TVS\",E10,".SchLib")</f>
        <v>Schematic\TVS\TVS_1_1dir.SchLib</v>
      </c>
      <c r="E10" s="37" t="s">
        <v>80</v>
      </c>
      <c r="F10" s="37" t="str">
        <f>CONCATENATE("Footprints\",G10,".PcbLib")</f>
        <v>Footprints\SMB.PcbLib</v>
      </c>
      <c r="G10" s="37" t="s">
        <v>341</v>
      </c>
      <c r="H10" s="37">
        <v>16</v>
      </c>
      <c r="I10" s="37">
        <v>600</v>
      </c>
      <c r="J10" s="37" t="str">
        <f t="shared" ref="J10" si="5" xml:space="preserve"> CONCATENATE(H10," В")</f>
        <v>16 В</v>
      </c>
      <c r="K10" s="37"/>
      <c r="L10" s="3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zoomScale="85" zoomScaleNormal="85" workbookViewId="0">
      <selection activeCell="G11" sqref="G11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75" x14ac:dyDescent="0.2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75" x14ac:dyDescent="0.2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75" x14ac:dyDescent="0.25">
      <c r="A11" s="1" t="s">
        <v>1277</v>
      </c>
      <c r="B11" s="1" t="s">
        <v>5</v>
      </c>
      <c r="C11" s="2" t="str">
        <f>A11</f>
        <v>IRFH7084</v>
      </c>
      <c r="D11" s="1" t="s">
        <v>1278</v>
      </c>
      <c r="E11" s="1" t="s">
        <v>1279</v>
      </c>
      <c r="F11" t="str">
        <f>CONCATENATE("Footprints\",G11,".PcbLib")</f>
        <v>Footprints\PQFN_5x6.PcbLib</v>
      </c>
      <c r="G11" s="1" t="s">
        <v>1280</v>
      </c>
      <c r="J11" t="s">
        <v>1281</v>
      </c>
      <c r="K11" t="s">
        <v>1282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6" zoomScale="70" zoomScaleNormal="70" workbookViewId="0">
      <selection activeCell="B176" sqref="B176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41.28515625" customWidth="1"/>
    <col min="11" max="11" width="18.140625" customWidth="1"/>
    <col min="12" max="12" width="41.14062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75" x14ac:dyDescent="0.2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75" x14ac:dyDescent="0.2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75" x14ac:dyDescent="0.2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75" x14ac:dyDescent="0.2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75" x14ac:dyDescent="0.2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75" x14ac:dyDescent="0.2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75" x14ac:dyDescent="0.2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75" x14ac:dyDescent="0.2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75" x14ac:dyDescent="0.2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75" x14ac:dyDescent="0.2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75" x14ac:dyDescent="0.2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75" x14ac:dyDescent="0.2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75" x14ac:dyDescent="0.2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75" x14ac:dyDescent="0.2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75" x14ac:dyDescent="0.2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75" x14ac:dyDescent="0.2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75" x14ac:dyDescent="0.2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75" x14ac:dyDescent="0.2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75" x14ac:dyDescent="0.2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75" x14ac:dyDescent="0.2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75" x14ac:dyDescent="0.2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75" x14ac:dyDescent="0.2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75" x14ac:dyDescent="0.2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75" x14ac:dyDescent="0.2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75" x14ac:dyDescent="0.2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75" x14ac:dyDescent="0.2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75" x14ac:dyDescent="0.2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75" x14ac:dyDescent="0.2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75" x14ac:dyDescent="0.2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75" x14ac:dyDescent="0.2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75" x14ac:dyDescent="0.2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75" x14ac:dyDescent="0.2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75" x14ac:dyDescent="0.2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75" x14ac:dyDescent="0.2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75" x14ac:dyDescent="0.2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75" x14ac:dyDescent="0.2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75" x14ac:dyDescent="0.2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75" x14ac:dyDescent="0.2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75" x14ac:dyDescent="0.2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75" x14ac:dyDescent="0.2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75" x14ac:dyDescent="0.2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75" x14ac:dyDescent="0.2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75" x14ac:dyDescent="0.2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75" x14ac:dyDescent="0.2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75" x14ac:dyDescent="0.2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75" x14ac:dyDescent="0.2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75" x14ac:dyDescent="0.2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75" x14ac:dyDescent="0.2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75" x14ac:dyDescent="0.2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75" x14ac:dyDescent="0.2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75" x14ac:dyDescent="0.2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75" x14ac:dyDescent="0.2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75" x14ac:dyDescent="0.2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75" x14ac:dyDescent="0.2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75" x14ac:dyDescent="0.2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75" x14ac:dyDescent="0.2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75" x14ac:dyDescent="0.2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75" x14ac:dyDescent="0.2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75" x14ac:dyDescent="0.2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75" x14ac:dyDescent="0.2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75" x14ac:dyDescent="0.2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75" x14ac:dyDescent="0.2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75" x14ac:dyDescent="0.2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75" x14ac:dyDescent="0.2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75" x14ac:dyDescent="0.2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75" x14ac:dyDescent="0.2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75" x14ac:dyDescent="0.2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75" x14ac:dyDescent="0.2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75" x14ac:dyDescent="0.2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75" x14ac:dyDescent="0.2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75" x14ac:dyDescent="0.2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75" x14ac:dyDescent="0.2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75" x14ac:dyDescent="0.2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75" x14ac:dyDescent="0.2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75" x14ac:dyDescent="0.2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75" x14ac:dyDescent="0.2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75" x14ac:dyDescent="0.2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75" x14ac:dyDescent="0.2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75" x14ac:dyDescent="0.2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75" x14ac:dyDescent="0.2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75" x14ac:dyDescent="0.2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75" x14ac:dyDescent="0.2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75" x14ac:dyDescent="0.2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75" x14ac:dyDescent="0.2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75" x14ac:dyDescent="0.2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75" x14ac:dyDescent="0.2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75" x14ac:dyDescent="0.2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75" x14ac:dyDescent="0.2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75" x14ac:dyDescent="0.2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75" x14ac:dyDescent="0.2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75" x14ac:dyDescent="0.2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75" x14ac:dyDescent="0.2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75" x14ac:dyDescent="0.2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75" x14ac:dyDescent="0.2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75" x14ac:dyDescent="0.2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75" x14ac:dyDescent="0.2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75" x14ac:dyDescent="0.2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75" x14ac:dyDescent="0.2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75" x14ac:dyDescent="0.2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75" x14ac:dyDescent="0.2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75" x14ac:dyDescent="0.2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75" x14ac:dyDescent="0.2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75" x14ac:dyDescent="0.2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75" x14ac:dyDescent="0.2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75" x14ac:dyDescent="0.2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75" x14ac:dyDescent="0.2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75" x14ac:dyDescent="0.2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75" x14ac:dyDescent="0.2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75" x14ac:dyDescent="0.2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75" x14ac:dyDescent="0.2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75" x14ac:dyDescent="0.2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75" x14ac:dyDescent="0.2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75" x14ac:dyDescent="0.2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75" x14ac:dyDescent="0.2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75" x14ac:dyDescent="0.2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75" x14ac:dyDescent="0.2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75" x14ac:dyDescent="0.2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75" x14ac:dyDescent="0.2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75" x14ac:dyDescent="0.2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75" x14ac:dyDescent="0.2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75" x14ac:dyDescent="0.2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75" x14ac:dyDescent="0.2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75" x14ac:dyDescent="0.2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75" x14ac:dyDescent="0.2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75" x14ac:dyDescent="0.2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75" x14ac:dyDescent="0.2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75" x14ac:dyDescent="0.2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75" x14ac:dyDescent="0.2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75" x14ac:dyDescent="0.2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75" x14ac:dyDescent="0.2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75" x14ac:dyDescent="0.2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75" x14ac:dyDescent="0.2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75" x14ac:dyDescent="0.2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75" x14ac:dyDescent="0.2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75" x14ac:dyDescent="0.2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75" x14ac:dyDescent="0.2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75" x14ac:dyDescent="0.2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75" x14ac:dyDescent="0.2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75" x14ac:dyDescent="0.2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75" x14ac:dyDescent="0.2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75" x14ac:dyDescent="0.2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75" x14ac:dyDescent="0.2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75" x14ac:dyDescent="0.2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75" x14ac:dyDescent="0.2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75" x14ac:dyDescent="0.2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75" x14ac:dyDescent="0.2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75" x14ac:dyDescent="0.2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75" x14ac:dyDescent="0.2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75" x14ac:dyDescent="0.2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75" x14ac:dyDescent="0.2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75" x14ac:dyDescent="0.2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75" x14ac:dyDescent="0.2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75" x14ac:dyDescent="0.2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75" x14ac:dyDescent="0.2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75" x14ac:dyDescent="0.2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75" x14ac:dyDescent="0.2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75" x14ac:dyDescent="0.2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75" x14ac:dyDescent="0.2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75" x14ac:dyDescent="0.2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75" x14ac:dyDescent="0.2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75" x14ac:dyDescent="0.2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75" x14ac:dyDescent="0.2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75" x14ac:dyDescent="0.2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75" x14ac:dyDescent="0.2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75" x14ac:dyDescent="0.2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75" x14ac:dyDescent="0.2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75" x14ac:dyDescent="0.2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75" x14ac:dyDescent="0.2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75" x14ac:dyDescent="0.2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75" x14ac:dyDescent="0.2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75" x14ac:dyDescent="0.2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75" x14ac:dyDescent="0.2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75" x14ac:dyDescent="0.2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75" x14ac:dyDescent="0.2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75" x14ac:dyDescent="0.25">
      <c r="A176" s="1" t="s">
        <v>1283</v>
      </c>
      <c r="B176" s="1" t="s">
        <v>1284</v>
      </c>
      <c r="C176" s="1" t="s">
        <v>26</v>
      </c>
      <c r="D176" s="1" t="s">
        <v>29</v>
      </c>
      <c r="E176" s="1" t="s">
        <v>26</v>
      </c>
      <c r="F176" s="1">
        <v>0.22</v>
      </c>
      <c r="G176" s="4">
        <v>0.01</v>
      </c>
      <c r="H176" s="1" t="s">
        <v>898</v>
      </c>
      <c r="I176" s="1" t="s">
        <v>897</v>
      </c>
      <c r="J176" s="1"/>
      <c r="K176" s="1"/>
      <c r="L176" s="1"/>
      <c r="M176" s="1"/>
    </row>
    <row r="177" spans="1:11" ht="15.7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sheetPr codeName="Лист10"/>
  <dimension ref="A1:L5"/>
  <sheetViews>
    <sheetView workbookViewId="0">
      <selection activeCell="H5" sqref="H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2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25">
      <c r="B3" s="2"/>
      <c r="D3" s="2"/>
      <c r="E3" s="2"/>
      <c r="F3" s="2"/>
      <c r="H3" s="2"/>
      <c r="I3" s="2"/>
      <c r="J3" s="2"/>
      <c r="K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sheetPr codeName="Лист11"/>
  <dimension ref="A1:N42"/>
  <sheetViews>
    <sheetView topLeftCell="A13" workbookViewId="0">
      <selection activeCell="Q13" sqref="Q13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customWidth="1"/>
    <col min="9" max="9" width="14.42578125" customWidth="1"/>
    <col min="10" max="10" width="12" customWidth="1"/>
    <col min="11" max="11" width="17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2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2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2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2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2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2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2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2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2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2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2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2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2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2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2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2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2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2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2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2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2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2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2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2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2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2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2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2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2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2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2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2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2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2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2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2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2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2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2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2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2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sheetPr codeName="Лист12"/>
  <dimension ref="A1:O27"/>
  <sheetViews>
    <sheetView topLeftCell="A7" zoomScale="85" zoomScaleNormal="85" workbookViewId="0">
      <selection activeCell="A26" sqref="A26:L2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2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2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2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2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2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2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2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2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2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2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2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2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2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2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2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2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2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2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2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2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2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2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2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2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25">
      <c r="A26" t="s">
        <v>1285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1286</v>
      </c>
      <c r="K26" t="s">
        <v>1287</v>
      </c>
      <c r="L26">
        <v>330</v>
      </c>
    </row>
    <row r="27" spans="1:14" x14ac:dyDescent="0.25">
      <c r="A27" t="s">
        <v>1288</v>
      </c>
      <c r="B27" t="s">
        <v>1289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1290</v>
      </c>
      <c r="K27" t="s">
        <v>1291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3"/>
  <dimension ref="A1:Q16"/>
  <sheetViews>
    <sheetView zoomScaleNormal="100" workbookViewId="0">
      <selection activeCell="D18" sqref="D1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19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2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2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2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2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2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6" si="11">A9</f>
        <v>B82477R4683M100</v>
      </c>
      <c r="D9" s="2" t="s">
        <v>104</v>
      </c>
      <c r="E9" s="2" t="s">
        <v>102</v>
      </c>
      <c r="F9" s="2" t="str">
        <f t="shared" ref="F9:F16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2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2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2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2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25">
      <c r="A15" t="s">
        <v>1292</v>
      </c>
      <c r="B15" t="str">
        <f>CONCATENATE("Индуктивность на ", P15, "Гн, номинальный ток ", O15, " A")</f>
        <v>Индуктивность на 1 мкГн, номинальный ток 4,3 A</v>
      </c>
      <c r="C15" t="str">
        <f t="shared" si="11"/>
        <v>CDSP43-1R0M</v>
      </c>
      <c r="D15" s="2" t="s">
        <v>104</v>
      </c>
      <c r="E15" s="2" t="s">
        <v>102</v>
      </c>
      <c r="F15" s="2" t="str">
        <f t="shared" si="12"/>
        <v>Footprints\Inductance\4.5x4_wired.PcbLib</v>
      </c>
      <c r="G15" s="2" t="s">
        <v>1051</v>
      </c>
      <c r="H15" s="2" t="str">
        <f t="shared" ref="H15" si="13">CONCATENATE("Footprints\Inductance\",I15,".PcbLib")</f>
        <v>Footprints\Inductance\.PcbLib</v>
      </c>
      <c r="I15" s="2"/>
      <c r="J15" s="2" t="str">
        <f t="shared" ref="J15" si="14">CONCATENATE("Footprints\Inductance\",K15,".PcbLib")</f>
        <v>Footprints\Inductance\.PcbLib</v>
      </c>
      <c r="K15" s="2"/>
      <c r="L15" s="2" t="str">
        <f t="shared" ref="L15" si="15">CONCATENATE("Footprints\Inductance\",M15,".PcbLib")</f>
        <v>Footprints\Inductance\.PcbLib</v>
      </c>
      <c r="M15" s="2"/>
      <c r="N15" s="19">
        <v>1</v>
      </c>
      <c r="O15" s="37">
        <v>4.3</v>
      </c>
      <c r="P15" s="37" t="s">
        <v>772</v>
      </c>
    </row>
    <row r="16" spans="1:17" x14ac:dyDescent="0.25">
      <c r="A16" t="s">
        <v>1293</v>
      </c>
      <c r="B16" t="str">
        <f>CONCATENATE("Индуктивность на ", P16, "Гн, номинальный ток ", O16, " A")</f>
        <v>Индуктивность на 330 мкГн, номинальный ток 1,79 A</v>
      </c>
      <c r="C16" t="str">
        <f t="shared" si="11"/>
        <v>CDSPRH127-331M</v>
      </c>
      <c r="D16" s="2" t="s">
        <v>104</v>
      </c>
      <c r="E16" s="2" t="s">
        <v>102</v>
      </c>
      <c r="F16" s="2" t="str">
        <f t="shared" si="12"/>
        <v>Footprints\Inductance\12.8x12.8.PcbLib</v>
      </c>
      <c r="G16" s="2" t="s">
        <v>108</v>
      </c>
      <c r="H16" s="2" t="str">
        <f>CONCATENATE("Footprints\Inductance\",I16,".PcbLib")</f>
        <v>Footprints\Inductance\.PcbLib</v>
      </c>
      <c r="I16" s="2"/>
      <c r="J16" s="2" t="str">
        <f>CONCATENATE("Footprints\Inductance\",K16,".PcbLib")</f>
        <v>Footprints\Inductance\.PcbLib</v>
      </c>
      <c r="K16" s="2"/>
      <c r="L16" s="2" t="str">
        <f>CONCATENATE("Footprints\Inductance\",M16,".PcbLib")</f>
        <v>Footprints\Inductance\.PcbLib</v>
      </c>
      <c r="M16" s="2"/>
      <c r="N16" s="19">
        <v>330</v>
      </c>
      <c r="O16" s="37">
        <v>1.79</v>
      </c>
      <c r="P16" s="3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sheetPr codeName="Лист14"/>
  <dimension ref="A1:Q22"/>
  <sheetViews>
    <sheetView workbookViewId="0">
      <selection activeCell="H15" sqref="H15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75" x14ac:dyDescent="0.2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2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5" x14ac:dyDescent="0.25"/>
  <cols>
    <col min="1" max="1" width="14.85546875" customWidth="1"/>
    <col min="2" max="2" width="120" bestFit="1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2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2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2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2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2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2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2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2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2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2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25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9"/>
  <sheetViews>
    <sheetView tabSelected="1" topLeftCell="A22" zoomScale="115" zoomScaleNormal="115" workbookViewId="0">
      <selection activeCell="D50" sqref="D50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2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2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2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2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2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2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2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2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2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2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2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2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2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2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2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2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2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2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2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2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2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2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2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2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2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2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2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2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2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2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2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2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2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2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2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2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2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2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2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2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2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25">
      <c r="A47" t="s">
        <v>1294</v>
      </c>
      <c r="B47" t="s">
        <v>1295</v>
      </c>
      <c r="C47" s="2" t="s">
        <v>1294</v>
      </c>
      <c r="D47" s="37" t="s">
        <v>356</v>
      </c>
      <c r="E47" s="2" t="s">
        <v>119</v>
      </c>
      <c r="F47" s="37" t="s">
        <v>1302</v>
      </c>
      <c r="G47" t="s">
        <v>1294</v>
      </c>
      <c r="H47" s="37"/>
      <c r="K47" t="s">
        <v>1165</v>
      </c>
    </row>
    <row r="48" spans="1:11" x14ac:dyDescent="0.25">
      <c r="A48" t="s">
        <v>1296</v>
      </c>
      <c r="B48" t="s">
        <v>1297</v>
      </c>
      <c r="C48" s="2" t="s">
        <v>1296</v>
      </c>
      <c r="D48" s="37" t="s">
        <v>834</v>
      </c>
      <c r="E48" s="2" t="s">
        <v>832</v>
      </c>
      <c r="F48" s="37" t="s">
        <v>1301</v>
      </c>
      <c r="G48" t="s">
        <v>1296</v>
      </c>
      <c r="H48" s="37"/>
      <c r="K48" t="s">
        <v>1165</v>
      </c>
    </row>
    <row r="49" spans="1:11" x14ac:dyDescent="0.25">
      <c r="A49" t="s">
        <v>1298</v>
      </c>
      <c r="B49" t="s">
        <v>1299</v>
      </c>
      <c r="C49" s="2" t="s">
        <v>1298</v>
      </c>
      <c r="D49" s="37" t="s">
        <v>1304</v>
      </c>
      <c r="E49" s="2" t="s">
        <v>1303</v>
      </c>
      <c r="F49" s="37" t="s">
        <v>1300</v>
      </c>
      <c r="G49" t="s">
        <v>1298</v>
      </c>
      <c r="H49" s="37"/>
      <c r="K49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2025-08-06T17:23:05Z</dcterms:modified>
</cp:coreProperties>
</file>