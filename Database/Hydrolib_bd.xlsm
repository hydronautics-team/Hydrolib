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filterPrivacy="1" codeName="ЭтаКнига"/>
  <xr:revisionPtr revIDLastSave="0" documentId="13_ncr:1_{451397EE-99DC-468D-91CF-24266A86A14E}" xr6:coauthVersionLast="47" xr6:coauthVersionMax="47" xr10:uidLastSave="{00000000-0000-0000-0000-000000000000}"/>
  <bookViews>
    <workbookView xWindow="-110" yWindow="-110" windowWidth="25820" windowHeight="14020" activeTab="5" xr2:uid="{00000000-000D-0000-FFFF-FFFF00000000}"/>
  </bookViews>
  <sheets>
    <sheet name="Chips" sheetId="1" r:id="rId1"/>
    <sheet name="Schottky" sheetId="9" r:id="rId2"/>
    <sheet name="Zener" sheetId="7" r:id="rId3"/>
    <sheet name="TVS" sheetId="8" r:id="rId4"/>
    <sheet name="Transistors" sheetId="4" r:id="rId5"/>
    <sheet name="Resistors" sheetId="2" r:id="rId6"/>
    <sheet name="Capacitors" sheetId="3" r:id="rId7"/>
    <sheet name="Inductance" sheetId="10" r:id="rId8"/>
    <sheet name="Other" sheetId="5" r:id="rId9"/>
    <sheet name="Connectors" sheetId="6" r:id="rId10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70" i="2" l="1"/>
  <c r="F169" i="2"/>
  <c r="F168" i="2"/>
  <c r="F167" i="2"/>
  <c r="F166" i="2"/>
  <c r="F165" i="2"/>
  <c r="F164" i="2"/>
  <c r="F163" i="2"/>
  <c r="F162" i="2"/>
  <c r="F161" i="2"/>
  <c r="F160" i="2"/>
  <c r="F159" i="2"/>
  <c r="F158" i="2"/>
  <c r="F157" i="2"/>
  <c r="F156" i="2"/>
  <c r="F155" i="2"/>
  <c r="F154" i="2"/>
  <c r="F153" i="2"/>
  <c r="F152" i="2"/>
  <c r="F151" i="2"/>
  <c r="F150" i="2"/>
  <c r="F149" i="2"/>
  <c r="F148" i="2"/>
  <c r="F147" i="2"/>
  <c r="F146" i="2"/>
  <c r="F139" i="2"/>
  <c r="F121" i="2"/>
  <c r="F120" i="2"/>
  <c r="F119" i="2"/>
  <c r="F118" i="2"/>
  <c r="F117" i="2"/>
  <c r="F116" i="2"/>
  <c r="F115" i="2"/>
  <c r="F114" i="2"/>
  <c r="F113" i="2"/>
  <c r="F112" i="2"/>
  <c r="F111" i="2"/>
  <c r="F110" i="2"/>
  <c r="F109" i="2"/>
  <c r="F108" i="2"/>
  <c r="F107" i="2"/>
  <c r="F106" i="2"/>
  <c r="F105" i="2"/>
  <c r="F104" i="2"/>
  <c r="F103" i="2"/>
  <c r="F102" i="2"/>
  <c r="F101" i="2"/>
  <c r="F100" i="2"/>
  <c r="F99" i="2"/>
  <c r="F98" i="2"/>
  <c r="F97" i="2"/>
  <c r="F96" i="2"/>
  <c r="F95" i="2"/>
  <c r="F94" i="2"/>
  <c r="F93" i="2"/>
  <c r="F92" i="2"/>
  <c r="F91" i="2"/>
  <c r="F90" i="2"/>
  <c r="F89" i="2"/>
  <c r="F88" i="2"/>
  <c r="F87" i="2"/>
  <c r="F86" i="2"/>
  <c r="F85" i="2"/>
  <c r="F84" i="2"/>
  <c r="F83" i="2"/>
  <c r="F82" i="2"/>
  <c r="F81" i="2"/>
  <c r="F80" i="2"/>
  <c r="F79" i="2"/>
  <c r="F78" i="2"/>
  <c r="F77" i="2"/>
  <c r="F76" i="2"/>
  <c r="F75" i="2"/>
  <c r="F74" i="2"/>
  <c r="F73" i="2"/>
  <c r="F145" i="2" s="1"/>
  <c r="F72" i="2"/>
  <c r="F144" i="2" s="1"/>
  <c r="F71" i="2"/>
  <c r="F143" i="2" s="1"/>
  <c r="F70" i="2"/>
  <c r="F142" i="2" s="1"/>
  <c r="F69" i="2"/>
  <c r="F141" i="2" s="1"/>
  <c r="F68" i="2"/>
  <c r="F140" i="2" s="1"/>
  <c r="F67" i="2"/>
  <c r="F66" i="2"/>
  <c r="F138" i="2" s="1"/>
  <c r="F65" i="2"/>
  <c r="F137" i="2" s="1"/>
  <c r="F64" i="2"/>
  <c r="F136" i="2" s="1"/>
  <c r="F63" i="2"/>
  <c r="F135" i="2" s="1"/>
  <c r="F62" i="2"/>
  <c r="F134" i="2" s="1"/>
  <c r="F61" i="2"/>
  <c r="F133" i="2" s="1"/>
  <c r="F60" i="2"/>
  <c r="F132" i="2" s="1"/>
  <c r="F59" i="2"/>
  <c r="F131" i="2" s="1"/>
  <c r="F58" i="2"/>
  <c r="F130" i="2" s="1"/>
  <c r="F57" i="2"/>
  <c r="F129" i="2" s="1"/>
  <c r="F56" i="2"/>
  <c r="F128" i="2" s="1"/>
  <c r="F55" i="2"/>
  <c r="F127" i="2" s="1"/>
  <c r="F54" i="2"/>
  <c r="F126" i="2" s="1"/>
  <c r="F53" i="2"/>
  <c r="F125" i="2" s="1"/>
  <c r="F52" i="2"/>
  <c r="F124" i="2" s="1"/>
  <c r="F51" i="2"/>
  <c r="F123" i="2" s="1"/>
  <c r="F50" i="2"/>
  <c r="F122" i="2" s="1"/>
  <c r="F8" i="1"/>
  <c r="J4" i="8"/>
  <c r="J2" i="8"/>
  <c r="B4" i="8"/>
  <c r="C4" i="8"/>
  <c r="D4" i="8"/>
  <c r="F4" i="8"/>
  <c r="F4" i="5"/>
  <c r="F5" i="5"/>
  <c r="B2" i="8"/>
  <c r="Q3" i="3"/>
  <c r="O3" i="3"/>
  <c r="M3" i="3"/>
  <c r="K3" i="3"/>
  <c r="I3" i="3"/>
  <c r="I2" i="3"/>
  <c r="G3" i="3"/>
  <c r="G2" i="3"/>
  <c r="D2" i="1"/>
  <c r="C7" i="6"/>
  <c r="D7" i="6"/>
  <c r="G7" i="6"/>
  <c r="F7" i="6" s="1"/>
  <c r="C3" i="6"/>
  <c r="C6" i="6"/>
  <c r="D6" i="6"/>
  <c r="G6" i="6"/>
  <c r="F6" i="6" s="1"/>
  <c r="D2" i="6"/>
  <c r="D3" i="6"/>
  <c r="D4" i="6"/>
  <c r="D5" i="6"/>
  <c r="C4" i="6"/>
  <c r="C5" i="6"/>
  <c r="F2" i="6"/>
  <c r="G5" i="6"/>
  <c r="F5" i="6" s="1"/>
  <c r="G4" i="6"/>
  <c r="F4" i="6" s="1"/>
  <c r="L2" i="10"/>
  <c r="J2" i="10"/>
  <c r="H2" i="10"/>
  <c r="F2" i="10"/>
  <c r="C2" i="10"/>
  <c r="F10" i="1"/>
  <c r="E10" i="1"/>
  <c r="D10" i="1"/>
  <c r="C10" i="1"/>
  <c r="F9" i="1"/>
  <c r="E9" i="1"/>
  <c r="D9" i="1"/>
  <c r="C9" i="1"/>
  <c r="E8" i="1"/>
  <c r="D8" i="1"/>
  <c r="C8" i="1"/>
  <c r="F7" i="1"/>
  <c r="E7" i="1"/>
  <c r="D7" i="1"/>
  <c r="C7" i="1"/>
  <c r="F6" i="1"/>
  <c r="E6" i="1"/>
  <c r="D6" i="1"/>
  <c r="C6" i="1"/>
  <c r="F5" i="1"/>
  <c r="E5" i="1"/>
  <c r="D5" i="1"/>
  <c r="C5" i="1"/>
  <c r="F2" i="9"/>
  <c r="C2" i="9"/>
  <c r="B2" i="9"/>
  <c r="B3" i="8"/>
  <c r="D3" i="8"/>
  <c r="D2" i="8"/>
  <c r="C3" i="8"/>
  <c r="F3" i="8"/>
  <c r="C4" i="1"/>
  <c r="D4" i="1"/>
  <c r="E4" i="1"/>
  <c r="F4" i="1"/>
  <c r="K2" i="7"/>
  <c r="F2" i="8"/>
  <c r="C2" i="8"/>
  <c r="C2" i="7"/>
  <c r="B2" i="7"/>
  <c r="F2" i="7"/>
  <c r="G3" i="6"/>
  <c r="F3" i="6" s="1"/>
  <c r="G2" i="6"/>
  <c r="C2" i="6"/>
  <c r="E5" i="5"/>
  <c r="D5" i="5"/>
  <c r="C5" i="5"/>
  <c r="F3" i="5"/>
  <c r="E4" i="5"/>
  <c r="D4" i="5"/>
  <c r="C4" i="5"/>
  <c r="F2" i="5"/>
  <c r="E3" i="5"/>
  <c r="D3" i="5"/>
  <c r="C3" i="5"/>
  <c r="H6" i="4"/>
  <c r="H3" i="4"/>
  <c r="H2" i="4"/>
  <c r="F3" i="4"/>
  <c r="F4" i="4"/>
  <c r="F5" i="4"/>
  <c r="F6" i="4"/>
  <c r="F2" i="4"/>
  <c r="C3" i="4"/>
  <c r="C4" i="4"/>
  <c r="C5" i="4"/>
  <c r="C6" i="4"/>
  <c r="C2" i="4"/>
  <c r="H2" i="5"/>
  <c r="E2" i="5"/>
  <c r="D2" i="5"/>
  <c r="C2" i="5"/>
  <c r="F3" i="1"/>
  <c r="F2" i="1"/>
  <c r="E3" i="1"/>
  <c r="E2" i="1"/>
  <c r="D3" i="1"/>
  <c r="C3" i="1"/>
  <c r="C2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6E1D337-58A2-4F26-A4EE-2E86306C7BB4}" name="Capacitors" type="4" refreshedVersion="0" background="1">
    <webPr xml="1" sourceData="1" url="C:\Users\1\Desktop\testlib\Готовое\Capacitors.xml" htmlTables="1" htmlFormat="all"/>
  </connection>
  <connection id="2" xr16:uid="{54776B18-FFA4-47DE-A277-B199985E1BBE}" name="Capicators" type="4" refreshedVersion="0" background="1">
    <webPr xml="1" sourceData="1" url="C:\Users\1\Desktop\testlib\Готовое\Capicators.xml" htmlTables="1" htmlFormat="all"/>
  </connection>
  <connection id="3" xr16:uid="{EF927AE7-4D57-41CB-BAE2-84921A2FEFC7}" name="Chips" type="4" refreshedVersion="0" background="1">
    <webPr xml="1" sourceData="1" url="C:\Users\1\Desktop\testlib\Готовое\Chips.xml" htmlTables="1" htmlFormat="all"/>
  </connection>
  <connection id="4" xr16:uid="{8D0227E8-5B96-4E39-AD04-3F3EBE90F989}" name="Chips1" type="4" refreshedVersion="0" background="1">
    <webPr xml="1" sourceData="1" url="C:\Users\1\Desktop\testlib\Готовое\Chips.xml" htmlTables="1" htmlFormat="all"/>
  </connection>
  <connection id="5" xr16:uid="{80C800AB-A55C-4286-B448-34D90F29C387}" name="Connectors" type="4" refreshedVersion="0" background="1">
    <webPr xml="1" sourceData="1" url="C:\Users\1\Desktop\testlib\Готовое\Connectors.xml" htmlTables="1" htmlFormat="all"/>
  </connection>
  <connection id="6" xr16:uid="{029AE1DE-0890-44A0-A8BC-144E790F4DD2}" name="Inductance" type="4" refreshedVersion="0" background="1">
    <webPr xml="1" sourceData="1" url="C:\Users\1\Desktop\Платы\manipulator1\Database\Inductance.xml" htmlTables="1" htmlFormat="all"/>
  </connection>
  <connection id="7" xr16:uid="{2FF60889-90F6-4068-BF81-A15AE486C249}" name="Other" type="4" refreshedVersion="0" background="1">
    <webPr xml="1" sourceData="1" url="C:\Users\1\Desktop\testlib\Готовое\Other.xml" htmlTables="1" htmlFormat="all"/>
  </connection>
  <connection id="8" xr16:uid="{A0C30DCE-295E-4BF9-9289-158E503B906E}" name="Resistors" type="4" refreshedVersion="0" background="1">
    <webPr xml="1" sourceData="1" url="C:\Users\1\Desktop\testlib\Готовое\Resistors.xml" htmlTables="1" htmlFormat="all"/>
  </connection>
  <connection id="9" xr16:uid="{60CBB5D6-1503-4780-9C0A-D3342511AF09}" name="Resistors1" type="4" refreshedVersion="0" background="1">
    <webPr xml="1" sourceData="1" url="D:\Sea_Jackal\Gidro\Pioneer\Boards\Libraries\Hydrolib\Database\xml\Resistors.xml" htmlTables="1" htmlFormat="all"/>
  </connection>
  <connection id="10" xr16:uid="{6C7797FD-8FD2-4CEC-B1B0-05172C48B26D}" name="Schottky" type="4" refreshedVersion="0" background="1">
    <webPr xml="1" sourceData="1" url="C:\Users\1\Desktop\Платы\manipulator1\Database\Schottky.xml" htmlTables="1" htmlFormat="all"/>
  </connection>
  <connection id="11" xr16:uid="{18AFECC3-EA3B-4B26-859A-FC0CC73C46F2}" name="Transistors" type="4" refreshedVersion="0" background="1">
    <webPr xml="1" sourceData="1" url="C:\Users\1\Desktop\testlib\Готовое\Transistors.xml" htmlTables="1" htmlFormat="all"/>
  </connection>
  <connection id="12" xr16:uid="{D8C58BCC-C573-42A7-95CA-60E0EBCAC4FF}" name="TVS" type="4" refreshedVersion="0" background="1">
    <webPr xml="1" sourceData="1" url="C:\Users\1\Desktop\testlib\Готовое\TVS.xml" htmlTables="1" htmlFormat="all"/>
  </connection>
  <connection id="13" xr16:uid="{A201285D-9EC6-4A57-9F91-3D88F83A0EE8}" name="Zener" type="4" refreshedVersion="0" background="1">
    <webPr xml="1" sourceData="1" url="C:\Users\1\Desktop\testlib\Готовое\Zener.xml" htmlTables="1" htmlFormat="all"/>
  </connection>
</connections>
</file>

<file path=xl/sharedStrings.xml><?xml version="1.0" encoding="utf-8"?>
<sst xmlns="http://schemas.openxmlformats.org/spreadsheetml/2006/main" count="1453" uniqueCount="505">
  <si>
    <t>Part Number</t>
  </si>
  <si>
    <t>Description</t>
  </si>
  <si>
    <t>Library Path</t>
  </si>
  <si>
    <t>Library Ref</t>
  </si>
  <si>
    <t>50N06</t>
  </si>
  <si>
    <t>N-канальный MOSFET</t>
  </si>
  <si>
    <t>DPAK</t>
  </si>
  <si>
    <t>DPAK_termopad</t>
  </si>
  <si>
    <t>Footprint Ref 1</t>
  </si>
  <si>
    <t>Footprint Ref 2</t>
  </si>
  <si>
    <t>Schematic\MOSFET N-channel.SchLib</t>
  </si>
  <si>
    <t>MOSFET N-channel 1</t>
  </si>
  <si>
    <t>Footprint Path 1</t>
  </si>
  <si>
    <t>Footprint Path 2</t>
  </si>
  <si>
    <t>Comment</t>
  </si>
  <si>
    <t>100N03A</t>
  </si>
  <si>
    <t>AO3400A</t>
  </si>
  <si>
    <t>MOSFET N-channel 2</t>
  </si>
  <si>
    <t>SOT23-3</t>
  </si>
  <si>
    <t>AO3401A</t>
  </si>
  <si>
    <t>Schematic\MOSFET P-channel.SchLib</t>
  </si>
  <si>
    <t>P-канальный MOSFET</t>
  </si>
  <si>
    <t>MOSFET P-channel 2</t>
  </si>
  <si>
    <t>SUD50P06-15</t>
  </si>
  <si>
    <t>MOSFET P-channel 1</t>
  </si>
  <si>
    <t>Value</t>
  </si>
  <si>
    <t>Resistor</t>
  </si>
  <si>
    <t>Capacitor</t>
  </si>
  <si>
    <t>Конденсатор</t>
  </si>
  <si>
    <t>Schematic\Resistor.SchLib</t>
  </si>
  <si>
    <t>Schematic\Capacitor.SchLib</t>
  </si>
  <si>
    <t>0,1 мк</t>
  </si>
  <si>
    <t>0603R</t>
  </si>
  <si>
    <t>Footprint Path 3</t>
  </si>
  <si>
    <t>Footprint Ref 3</t>
  </si>
  <si>
    <t>Footprint Path 4</t>
  </si>
  <si>
    <t>Footprint Ref 4</t>
  </si>
  <si>
    <t>0603C</t>
  </si>
  <si>
    <t>0805C</t>
  </si>
  <si>
    <t>Capacitor_polar</t>
  </si>
  <si>
    <t>Полярный конденсатор</t>
  </si>
  <si>
    <t>4,7 мк</t>
  </si>
  <si>
    <t>Footprint Path 5</t>
  </si>
  <si>
    <t>Footprint Ref 5</t>
  </si>
  <si>
    <t>Footprint Path 6</t>
  </si>
  <si>
    <t>Footprint Ref 6</t>
  </si>
  <si>
    <t>Footprint Path 7</t>
  </si>
  <si>
    <t>Footprint Ref 7</t>
  </si>
  <si>
    <t>Footprints/Capacitor_Electrolytic_THT.PcbLib</t>
  </si>
  <si>
    <t>STM32F407VGT6</t>
  </si>
  <si>
    <t>Микроконтроллер</t>
  </si>
  <si>
    <t>USBLC6-4</t>
  </si>
  <si>
    <t>Сборка защитных диодов для USB</t>
  </si>
  <si>
    <t>SOT23-6</t>
  </si>
  <si>
    <t>LQFP100</t>
  </si>
  <si>
    <t>Tact_button</t>
  </si>
  <si>
    <t>Тактовая кнопка</t>
  </si>
  <si>
    <t>Button_SMD_10mm</t>
  </si>
  <si>
    <t>Button_SMD_6x6</t>
  </si>
  <si>
    <t>LED</t>
  </si>
  <si>
    <t>Светодиод</t>
  </si>
  <si>
    <t>XTAL</t>
  </si>
  <si>
    <t>Кварцевый резонатор</t>
  </si>
  <si>
    <t>XTAL_GND</t>
  </si>
  <si>
    <t>Кварцевый резонатор с входом земли</t>
  </si>
  <si>
    <t>QSMD3.2x2.5</t>
  </si>
  <si>
    <t>IDC-10</t>
  </si>
  <si>
    <t>10-пиновый разъём с ключём</t>
  </si>
  <si>
    <t>D-SUB-26</t>
  </si>
  <si>
    <t>Voltage nominal (V)</t>
  </si>
  <si>
    <t>Current nominal (mA)</t>
  </si>
  <si>
    <t>BZX384-C12</t>
  </si>
  <si>
    <t>Power (W)</t>
  </si>
  <si>
    <t>SOD-323</t>
  </si>
  <si>
    <t>Schematic\Zener.SchLib</t>
  </si>
  <si>
    <t>Zener</t>
  </si>
  <si>
    <t>SMBJ24A</t>
  </si>
  <si>
    <t>MAX485CSA</t>
  </si>
  <si>
    <t>RS-485 приёмопередатчик</t>
  </si>
  <si>
    <t>SOIC-8</t>
  </si>
  <si>
    <t>PSM712</t>
  </si>
  <si>
    <t>TVS_1_1dir</t>
  </si>
  <si>
    <t>TVS_2_2dir</t>
  </si>
  <si>
    <t>Interface</t>
  </si>
  <si>
    <t>RS-485</t>
  </si>
  <si>
    <t>Current (A)</t>
  </si>
  <si>
    <t>SK33</t>
  </si>
  <si>
    <t>Schematic\Schottky_diode.schLib</t>
  </si>
  <si>
    <t>Schottky_diode</t>
  </si>
  <si>
    <t>SMC</t>
  </si>
  <si>
    <t>STM32F103C8T6</t>
  </si>
  <si>
    <t>LQFP48</t>
  </si>
  <si>
    <t>LM2594HVM-ADJ</t>
  </si>
  <si>
    <t>DC-DC преобразователь</t>
  </si>
  <si>
    <t>LD1117S33CTR</t>
  </si>
  <si>
    <t>Линейный стабилизатор напряжения</t>
  </si>
  <si>
    <t>SOT223</t>
  </si>
  <si>
    <t>CD4050B</t>
  </si>
  <si>
    <t>Шесть буферных элементов</t>
  </si>
  <si>
    <t>ADM2483BRWZ</t>
  </si>
  <si>
    <t>Прием передатчик RS485 с гальванической развязкой</t>
  </si>
  <si>
    <t>SOIC-16W</t>
  </si>
  <si>
    <t>LD1117S50CTR</t>
  </si>
  <si>
    <t>Inductance</t>
  </si>
  <si>
    <t>Катушка индуктивности</t>
  </si>
  <si>
    <t>Schematic\Inductance.SchLib</t>
  </si>
  <si>
    <t>0603L</t>
  </si>
  <si>
    <t>1210L</t>
  </si>
  <si>
    <t>1212L</t>
  </si>
  <si>
    <t>12.8x12.8</t>
  </si>
  <si>
    <t>PLS4</t>
  </si>
  <si>
    <t>Гребенка 4 пина</t>
  </si>
  <si>
    <t>CWF-5</t>
  </si>
  <si>
    <t>5-пиновый разъем с ключом</t>
  </si>
  <si>
    <t>Conn_10pin</t>
  </si>
  <si>
    <t>Conn_26pin</t>
  </si>
  <si>
    <t>Conn_4pin</t>
  </si>
  <si>
    <t>Conn_5pin</t>
  </si>
  <si>
    <t>CWF-3</t>
  </si>
  <si>
    <t>3-пиновый разъем с ключом</t>
  </si>
  <si>
    <t>Conn_3pin</t>
  </si>
  <si>
    <t>XT30</t>
  </si>
  <si>
    <t>2-пиновый разъем с ключом</t>
  </si>
  <si>
    <t>Conn_2pin</t>
  </si>
  <si>
    <t>0805D</t>
  </si>
  <si>
    <t>TC_A</t>
  </si>
  <si>
    <t>TC_B</t>
  </si>
  <si>
    <t>TC_C</t>
  </si>
  <si>
    <t>TC_D</t>
  </si>
  <si>
    <t>TC_E</t>
  </si>
  <si>
    <t>HC49SD</t>
  </si>
  <si>
    <t>SMAJ12CA</t>
  </si>
  <si>
    <t>SMA</t>
  </si>
  <si>
    <t>RADIAL-2_8mm</t>
  </si>
  <si>
    <t>RADIAL-2_10mm</t>
  </si>
  <si>
    <t>Resistor_1.0_1_0603</t>
  </si>
  <si>
    <t>Резистор номиналом 1,0Ом и точностью1%</t>
  </si>
  <si>
    <t>1,0</t>
  </si>
  <si>
    <t>Footprints/Resistors/0603R.PcbLib</t>
  </si>
  <si>
    <t>Resistor_1.1_1_0603</t>
  </si>
  <si>
    <t>Резистор номиналом 1,1Ом и точностью1%</t>
  </si>
  <si>
    <t>1,1</t>
  </si>
  <si>
    <t>Resistor_1.2_1_0603</t>
  </si>
  <si>
    <t>Резистор номиналом 1,2Ом и точностью1%</t>
  </si>
  <si>
    <t>1,2</t>
  </si>
  <si>
    <t>Resistor_1.3_1_0603</t>
  </si>
  <si>
    <t>Резистор номиналом 1,3Ом и точностью1%</t>
  </si>
  <si>
    <t>1,3</t>
  </si>
  <si>
    <t>Resistor_1.5_1_0603</t>
  </si>
  <si>
    <t>Резистор номиналом 1,5Ом и точностью1%</t>
  </si>
  <si>
    <t>1,5</t>
  </si>
  <si>
    <t>Resistor_1.6_1_0603</t>
  </si>
  <si>
    <t>Резистор номиналом 1,6Ом и точностью1%</t>
  </si>
  <si>
    <t>1,6</t>
  </si>
  <si>
    <t>Resistor_1.8_1_0603</t>
  </si>
  <si>
    <t>Резистор номиналом 1,8Ом и точностью1%</t>
  </si>
  <si>
    <t>1,8</t>
  </si>
  <si>
    <t>Resistor_2.0_1_0603</t>
  </si>
  <si>
    <t>Резистор номиналом 2,0Ом и точностью1%</t>
  </si>
  <si>
    <t>2,0</t>
  </si>
  <si>
    <t>Resistor_2.2_1_0603</t>
  </si>
  <si>
    <t>Резистор номиналом 2,2Ом и точностью1%</t>
  </si>
  <si>
    <t>2,2</t>
  </si>
  <si>
    <t>Resistor_2.4_1_0603</t>
  </si>
  <si>
    <t>Резистор номиналом 2,4Ом и точностью1%</t>
  </si>
  <si>
    <t>2,4</t>
  </si>
  <si>
    <t>Resistor_2.6_1_0603</t>
  </si>
  <si>
    <t>Резистор номиналом 2,6Ом и точностью1%</t>
  </si>
  <si>
    <t>Resistor_2.9_1_0603</t>
  </si>
  <si>
    <t>Резистор номиналом 2,9Ом и точностью1%</t>
  </si>
  <si>
    <t>Resistor_3.2_1_0603</t>
  </si>
  <si>
    <t>Резистор номиналом 3,2Ом и точностью1%</t>
  </si>
  <si>
    <t>Resistor_3.5_1_0603</t>
  </si>
  <si>
    <t>Резистор номиналом 3,5Ом и точностью1%</t>
  </si>
  <si>
    <t>Resistor_3.8_1_0603</t>
  </si>
  <si>
    <t>Резистор номиналом 3,8Ом и точностью1%</t>
  </si>
  <si>
    <t>Resistor_4.2_1_0603</t>
  </si>
  <si>
    <t>Резистор номиналом 4,2Ом и точностью1%</t>
  </si>
  <si>
    <t>Resistor_4.6_1_0603</t>
  </si>
  <si>
    <t>Резистор номиналом 4,6Ом и точностью1%</t>
  </si>
  <si>
    <t>Resistor_5.1_1_0603</t>
  </si>
  <si>
    <t>Резистор номиналом 5,1Ом и точностью1%</t>
  </si>
  <si>
    <t>5,1</t>
  </si>
  <si>
    <t>Resistor_5.6_1_0603</t>
  </si>
  <si>
    <t>Резистор номиналом 5,6Ом и точностью1%</t>
  </si>
  <si>
    <t>5,6</t>
  </si>
  <si>
    <t>Resistor_6.2_1_0603</t>
  </si>
  <si>
    <t>Резистор номиналом 6,2Ом и точностью1%</t>
  </si>
  <si>
    <t>6,2</t>
  </si>
  <si>
    <t>Resistor_6.8_1_0603</t>
  </si>
  <si>
    <t>Резистор номиналом 6,8Ом и точностью1%</t>
  </si>
  <si>
    <t>6,8</t>
  </si>
  <si>
    <t>Resistor_7.5_1_0603</t>
  </si>
  <si>
    <t>Резистор номиналом 7,5Ом и точностью1%</t>
  </si>
  <si>
    <t>7,5</t>
  </si>
  <si>
    <t>Resistor_8.3_1_0603</t>
  </si>
  <si>
    <t>Резистор номиналом 8,3Ом и точностью1%</t>
  </si>
  <si>
    <t>8,3</t>
  </si>
  <si>
    <t>Resistor_9.1_1_0603</t>
  </si>
  <si>
    <t>Резистор номиналом 9,1Ом и точностью1%</t>
  </si>
  <si>
    <t>9,1</t>
  </si>
  <si>
    <t>Resistor_10_1_0603</t>
  </si>
  <si>
    <t>Резистор номиналом 10Ом и точностью1%</t>
  </si>
  <si>
    <t>Resistor_11_1_0603</t>
  </si>
  <si>
    <t>Резистор номиналом 11Ом и точностью1%</t>
  </si>
  <si>
    <t>Resistor_12_1_0603</t>
  </si>
  <si>
    <t>Резистор номиналом 12Ом и точностью1%</t>
  </si>
  <si>
    <t>Resistor_13_1_0603</t>
  </si>
  <si>
    <t>Резистор номиналом 13Ом и точностью1%</t>
  </si>
  <si>
    <t>Resistor_15_1_0603</t>
  </si>
  <si>
    <t>Резистор номиналом 15Ом и точностью1%</t>
  </si>
  <si>
    <t>Resistor_16_1_0603</t>
  </si>
  <si>
    <t>Резистор номиналом 16Ом и точностью1%</t>
  </si>
  <si>
    <t>Resistor_18_1_0603</t>
  </si>
  <si>
    <t>Резистор номиналом 18Ом и точностью1%</t>
  </si>
  <si>
    <t>Resistor_20_1_0603</t>
  </si>
  <si>
    <t>Резистор номиналом 20Ом и точностью1%</t>
  </si>
  <si>
    <t>Resistor_22_1_0603</t>
  </si>
  <si>
    <t>Резистор номиналом 22Ом и точностью1%</t>
  </si>
  <si>
    <t>Resistor_24_1_0603</t>
  </si>
  <si>
    <t>Резистор номиналом 24Ом и точностью1%</t>
  </si>
  <si>
    <t>Resistor_26_1_0603</t>
  </si>
  <si>
    <t>Резистор номиналом 26Ом и точностью1%</t>
  </si>
  <si>
    <t>Resistor_29_1_0603</t>
  </si>
  <si>
    <t>Резистор номиналом 29Ом и точностью1%</t>
  </si>
  <si>
    <t>Resistor_32_1_0603</t>
  </si>
  <si>
    <t>Резистор номиналом 32Ом и точностью1%</t>
  </si>
  <si>
    <t>Resistor_35_1_0603</t>
  </si>
  <si>
    <t>Резистор номиналом 35Ом и точностью1%</t>
  </si>
  <si>
    <t>Resistor_38_1_0603</t>
  </si>
  <si>
    <t>Резистор номиналом 38Ом и точностью1%</t>
  </si>
  <si>
    <t>Resistor_42_1_0603</t>
  </si>
  <si>
    <t>Резистор номиналом 42Ом и точностью1%</t>
  </si>
  <si>
    <t>Resistor_46_1_0603</t>
  </si>
  <si>
    <t>Резистор номиналом 46Ом и точностью1%</t>
  </si>
  <si>
    <t>Resistor_51_1_0603</t>
  </si>
  <si>
    <t>Резистор номиналом 51Ом и точностью1%</t>
  </si>
  <si>
    <t>Resistor_56_1_0603</t>
  </si>
  <si>
    <t>Резистор номиналом 56Ом и точностью1%</t>
  </si>
  <si>
    <t>Resistor_62_1_0603</t>
  </si>
  <si>
    <t>Резистор номиналом 62Ом и точностью1%</t>
  </si>
  <si>
    <t>Resistor_68_1_0603</t>
  </si>
  <si>
    <t>Резистор номиналом 68Ом и точностью1%</t>
  </si>
  <si>
    <t>Resistor_75_1_0603</t>
  </si>
  <si>
    <t>Резистор номиналом 75Ом и точностью1%</t>
  </si>
  <si>
    <t>Resistor_83_1_0603</t>
  </si>
  <si>
    <t>Резистор номиналом 83Ом и точностью1%</t>
  </si>
  <si>
    <t>Resistor_91_1_0603</t>
  </si>
  <si>
    <t>Резистор номиналом 91Ом и точностью1%</t>
  </si>
  <si>
    <t>Resistor_100_1_0603</t>
  </si>
  <si>
    <t>Резистор номиналом 100Ом и точностью1%</t>
  </si>
  <si>
    <t>Resistor_110_1_0603</t>
  </si>
  <si>
    <t>Резистор номиналом 110Ом и точностью1%</t>
  </si>
  <si>
    <t>Resistor_120_1_0603</t>
  </si>
  <si>
    <t>Резистор номиналом 120Ом и точностью1%</t>
  </si>
  <si>
    <t>Resistor_130_1_0603</t>
  </si>
  <si>
    <t>Резистор номиналом 130Ом и точностью1%</t>
  </si>
  <si>
    <t>Resistor_150_1_0603</t>
  </si>
  <si>
    <t>Резистор номиналом 150Ом и точностью1%</t>
  </si>
  <si>
    <t>Resistor_160_1_0603</t>
  </si>
  <si>
    <t>Резистор номиналом 160Ом и точностью1%</t>
  </si>
  <si>
    <t>Resistor_180_1_0603</t>
  </si>
  <si>
    <t>Резистор номиналом 180Ом и точностью1%</t>
  </si>
  <si>
    <t>Resistor_200_1_0603</t>
  </si>
  <si>
    <t>Резистор номиналом 200Ом и точностью1%</t>
  </si>
  <si>
    <t>Resistor_220_1_0603</t>
  </si>
  <si>
    <t>Резистор номиналом 220Ом и точностью1%</t>
  </si>
  <si>
    <t>Resistor_240_1_0603</t>
  </si>
  <si>
    <t>Резистор номиналом 240Ом и точностью1%</t>
  </si>
  <si>
    <t>Resistor_260_1_0603</t>
  </si>
  <si>
    <t>Резистор номиналом 260Ом и точностью1%</t>
  </si>
  <si>
    <t>Resistor_290_1_0603</t>
  </si>
  <si>
    <t>Резистор номиналом 290Ом и точностью1%</t>
  </si>
  <si>
    <t>Resistor_320_1_0603</t>
  </si>
  <si>
    <t>Резистор номиналом 320Ом и точностью1%</t>
  </si>
  <si>
    <t>Resistor_350_1_0603</t>
  </si>
  <si>
    <t>Резистор номиналом 350Ом и точностью1%</t>
  </si>
  <si>
    <t>Resistor_380_1_0603</t>
  </si>
  <si>
    <t>Резистор номиналом 380Ом и точностью1%</t>
  </si>
  <si>
    <t>Resistor_420_1_0603</t>
  </si>
  <si>
    <t>Резистор номиналом 420Ом и точностью1%</t>
  </si>
  <si>
    <t>Resistor_460_1_0603</t>
  </si>
  <si>
    <t>Резистор номиналом 460Ом и точностью1%</t>
  </si>
  <si>
    <t>Resistor_510_1_0603</t>
  </si>
  <si>
    <t>Резистор номиналом 510Ом и точностью1%</t>
  </si>
  <si>
    <t>Resistor_560_1_0603</t>
  </si>
  <si>
    <t>Резистор номиналом 560Ом и точностью1%</t>
  </si>
  <si>
    <t>Resistor_620_1_0603</t>
  </si>
  <si>
    <t>Резистор номиналом 620Ом и точностью1%</t>
  </si>
  <si>
    <t>Resistor_680_1_0603</t>
  </si>
  <si>
    <t>Резистор номиналом 680Ом и точностью1%</t>
  </si>
  <si>
    <t>Resistor_750_1_0603</t>
  </si>
  <si>
    <t>Резистор номиналом 750Ом и точностью1%</t>
  </si>
  <si>
    <t>Resistor_830_1_0603</t>
  </si>
  <si>
    <t>Резистор номиналом 830Ом и точностью1%</t>
  </si>
  <si>
    <t>Resistor_910_1_0603</t>
  </si>
  <si>
    <t>Резистор номиналом 910Ом и точностью1%</t>
  </si>
  <si>
    <t>Resistor_1.0k _1_0603</t>
  </si>
  <si>
    <t>Резистор номиналом 1,0 к Ом и точностью1%</t>
  </si>
  <si>
    <t>Resistor_1.1k_1_0603</t>
  </si>
  <si>
    <t>Резистор номиналом 1,1 кОм и точностью1%</t>
  </si>
  <si>
    <t>Resistor_1.2k_1_0603</t>
  </si>
  <si>
    <t>Резистор номиналом 1,2 кОм и точностью1%</t>
  </si>
  <si>
    <t>Resistor_1.3k_1_0603</t>
  </si>
  <si>
    <t>Резистор номиналом 1,3 кОм и точностью1%</t>
  </si>
  <si>
    <t>Resistor_1.5k_1_0603</t>
  </si>
  <si>
    <t>Резистор номиналом 1,5 кОм и точностью1%</t>
  </si>
  <si>
    <t>Resistor_1.6k_1_0603</t>
  </si>
  <si>
    <t>Резистор номиналом 1,6 кОм и точностью1%</t>
  </si>
  <si>
    <t>Resistor_1.8k_1_0603</t>
  </si>
  <si>
    <t>Резистор номиналом 1,8 кОм и точностью1%</t>
  </si>
  <si>
    <t>Resistor_2k_1_0603</t>
  </si>
  <si>
    <t>Резистор номиналом 2 кОм и точностью1%</t>
  </si>
  <si>
    <t>Resistor_2.2k_1_0603</t>
  </si>
  <si>
    <t>Резистор номиналом 2,2 кОм и точностью1%</t>
  </si>
  <si>
    <t>Resistor_2.4k_1_0603</t>
  </si>
  <si>
    <t>Резистор номиналом 2,4 кОм и точностью1%</t>
  </si>
  <si>
    <t>Resistor_2.6k_1_0603</t>
  </si>
  <si>
    <t>Резистор номиналом 2,6 кОм и точностью1%</t>
  </si>
  <si>
    <t>Resistor_2.9k_1_0603</t>
  </si>
  <si>
    <t>Резистор номиналом 2,9 кОм и точностью1%</t>
  </si>
  <si>
    <t>Resistor_3.2k_1_0603</t>
  </si>
  <si>
    <t>Резистор номиналом 3,2 кОм и точностью1%</t>
  </si>
  <si>
    <t>Resistor_3.5k_1_0603</t>
  </si>
  <si>
    <t>Резистор номиналом 3,5 кОм и точностью1%</t>
  </si>
  <si>
    <t>Resistor_3.8k_1_0603</t>
  </si>
  <si>
    <t>Резистор номиналом 3,8 кОм и точностью1%</t>
  </si>
  <si>
    <t>Resistor_4.2k_1_0603</t>
  </si>
  <si>
    <t>Резистор номиналом 4,2 кОм и точностью1%</t>
  </si>
  <si>
    <t>Resistor_4.6k_1_0603</t>
  </si>
  <si>
    <t>Резистор номиналом 4,6 кОм и точностью1%</t>
  </si>
  <si>
    <t>Resistor_5.1k_1_0603</t>
  </si>
  <si>
    <t>Резистор номиналом 5,1 кОм и точностью1%</t>
  </si>
  <si>
    <t>Resistor_5.6k_1_0603</t>
  </si>
  <si>
    <t>Резистор номиналом 5,6 кОм и точностью1%</t>
  </si>
  <si>
    <t>Resistor_6.2k_1_0603</t>
  </si>
  <si>
    <t>Резистор номиналом 6,2 кОм и точностью1%</t>
  </si>
  <si>
    <t>Resistor_6.8k_1_0603</t>
  </si>
  <si>
    <t>Резистор номиналом 6,8 кОм и точностью1%</t>
  </si>
  <si>
    <t>Resistor_7.5k_1_0603</t>
  </si>
  <si>
    <t>Резистор номиналом 7,5 кОм и точностью1%</t>
  </si>
  <si>
    <t>Resistor_8.3k_1_0603</t>
  </si>
  <si>
    <t>Резистор номиналом 8,3 кОм и точностью1%</t>
  </si>
  <si>
    <t>Resistor_9.1k_1_0603</t>
  </si>
  <si>
    <t>Резистор номиналом 9,1 кОм и точностью1%</t>
  </si>
  <si>
    <t>Resistor_10k_1_0603</t>
  </si>
  <si>
    <t>Резистор номиналом 10 кОм и точностью1%</t>
  </si>
  <si>
    <t>Resistor_11k_1_0603</t>
  </si>
  <si>
    <t>Резистор номиналом 11 кОм и точностью1%</t>
  </si>
  <si>
    <t>Resistor_13k_1_0603</t>
  </si>
  <si>
    <t>Резистор номиналом 13 кОм и точностью1%</t>
  </si>
  <si>
    <t>Resistor_15k_1_0603</t>
  </si>
  <si>
    <t>Резистор номиналом 15 кОм и точностью1%</t>
  </si>
  <si>
    <t>Resistor_16k_1_0603</t>
  </si>
  <si>
    <t>Резистор номиналом 16 кОм и точностью1%</t>
  </si>
  <si>
    <t>Resistor_18k_1_0603</t>
  </si>
  <si>
    <t>Резистор номиналом 18 кОм и точностью1%</t>
  </si>
  <si>
    <t>Resistor_20k_1_0603</t>
  </si>
  <si>
    <t>Резистор номиналом 20 кОм и точностью1%</t>
  </si>
  <si>
    <t>Resistor_22k_1_0603</t>
  </si>
  <si>
    <t>Резистор номиналом 22 кОм и точностью1%</t>
  </si>
  <si>
    <t>Resistor_24k_1_0603</t>
  </si>
  <si>
    <t>Резистор номиналом 24 кОм и точностью1%</t>
  </si>
  <si>
    <t>Resistor_26k_1_0603</t>
  </si>
  <si>
    <t>Резистор номиналом 26 кОм и точностью1%</t>
  </si>
  <si>
    <t>Resistor_29k_1_0603</t>
  </si>
  <si>
    <t>Резистор номиналом 29 кОм и точностью1%</t>
  </si>
  <si>
    <t>Resistor_32k_1_0603</t>
  </si>
  <si>
    <t>Резистор номиналом 32 кОм и точностью1%</t>
  </si>
  <si>
    <t>Resistor_35k_1_0603</t>
  </si>
  <si>
    <t>Резистор номиналом 35 кОм и точностью1%</t>
  </si>
  <si>
    <t>Resistor_38k_1_0603</t>
  </si>
  <si>
    <t>Резистор номиналом 38 кОм и точностью1%</t>
  </si>
  <si>
    <t>Resistor_42k_1_0603</t>
  </si>
  <si>
    <t>Резистор номиналом 42 кОм и точностью1%</t>
  </si>
  <si>
    <t>Resistor_46k_1_0603</t>
  </si>
  <si>
    <t>Резистор номиналом 46 кОм и точностью1%</t>
  </si>
  <si>
    <t>Resistor_51k_1_0603</t>
  </si>
  <si>
    <t>Резистор номиналом 51 кОм и точностью1%</t>
  </si>
  <si>
    <t>Resistor_56k_1_0603</t>
  </si>
  <si>
    <t>Резистор номиналом 56 кОм и точностью1%</t>
  </si>
  <si>
    <t>Resistor_62k_1_0603</t>
  </si>
  <si>
    <t>Резистор номиналом 62 кОм и точностью1%</t>
  </si>
  <si>
    <t>Resistor_68k_1_0603</t>
  </si>
  <si>
    <t>Резистор номиналом 68 кОм и точностью1%</t>
  </si>
  <si>
    <t>Resistor_75k_1_0603</t>
  </si>
  <si>
    <t>Резистор номиналом 75 кОм и точностью1%</t>
  </si>
  <si>
    <t>Resistor_83k_1_0603</t>
  </si>
  <si>
    <t>Резистор номиналом 83 кОм и точностью1%</t>
  </si>
  <si>
    <t>Resistor_91k_1_0603</t>
  </si>
  <si>
    <t>Резистор номиналом 91 кОм и точностью1%</t>
  </si>
  <si>
    <t>Resistor_100k_1_0603</t>
  </si>
  <si>
    <t>Резистор номиналом 100 кОм и точностью1%</t>
  </si>
  <si>
    <t>Resistor_110k_1_0603</t>
  </si>
  <si>
    <t>Резистор номиналом 110 кОм и точностью1%</t>
  </si>
  <si>
    <t>Resistor_120k_1_0603</t>
  </si>
  <si>
    <t>Резистор номиналом 120 кОм и точностью1%</t>
  </si>
  <si>
    <t>Resistor_130k_1_0603</t>
  </si>
  <si>
    <t>Резистор номиналом 130 кОм и точностью1%</t>
  </si>
  <si>
    <t>Resistor_150k_1_0603</t>
  </si>
  <si>
    <t>Резистор номиналом 150 кОм и точностью1%</t>
  </si>
  <si>
    <t>Resistor_160k_1_0603</t>
  </si>
  <si>
    <t>Резистор номиналом 160 кОм и точностью1%</t>
  </si>
  <si>
    <t>Resistor_180k_1_0603</t>
  </si>
  <si>
    <t>Резистор номиналом 180 кОм и точностью1%</t>
  </si>
  <si>
    <t>Resistor_200k_1_0603</t>
  </si>
  <si>
    <t>Резистор номиналом 200 кОм и точностью1%</t>
  </si>
  <si>
    <t>Resistor_220k_1_0603</t>
  </si>
  <si>
    <t>Резистор номиналом 220 кОм и точностью1%</t>
  </si>
  <si>
    <t>Resistor_240k_1_0603</t>
  </si>
  <si>
    <t>Резистор номиналом 240 кОм и точностью1%</t>
  </si>
  <si>
    <t>Resistor_260k_1_0603</t>
  </si>
  <si>
    <t>Резистор номиналом 260 кОм и точностью1%</t>
  </si>
  <si>
    <t>Resistor_290k_1_0603</t>
  </si>
  <si>
    <t>Резистор номиналом 290 кОм и точностью1%</t>
  </si>
  <si>
    <t>Resistor_320k_1_0603</t>
  </si>
  <si>
    <t>Резистор номиналом 320 кОм и точностью1%</t>
  </si>
  <si>
    <t>Resistor_350k_1_0603</t>
  </si>
  <si>
    <t>Резистор номиналом 350 кОм и точностью1%</t>
  </si>
  <si>
    <t>Resistor_380k_1_0603</t>
  </si>
  <si>
    <t>Резистор номиналом 380 кОм и точностью1%</t>
  </si>
  <si>
    <t>Resistor_420k_1_0603</t>
  </si>
  <si>
    <t>Резистор номиналом 420 кОм и точностью1%</t>
  </si>
  <si>
    <t>Resistor_460k_1_0603</t>
  </si>
  <si>
    <t>Резистор номиналом 460 кОм и точностью1%</t>
  </si>
  <si>
    <t>Resistor_510k_1_0603</t>
  </si>
  <si>
    <t>Резистор номиналом 510 кОм и точностью1%</t>
  </si>
  <si>
    <t>Resistor_560k_1_0603</t>
  </si>
  <si>
    <t>Резистор номиналом 560 кОм и точностью1%</t>
  </si>
  <si>
    <t>Resistor_620k_1_0603</t>
  </si>
  <si>
    <t>Резистор номиналом 620 кОм и точностью1%</t>
  </si>
  <si>
    <t>Resistor_680k_1_0603</t>
  </si>
  <si>
    <t>Резистор номиналом 680 кОм и точностью1%</t>
  </si>
  <si>
    <t>Resistor_750k_1_0603</t>
  </si>
  <si>
    <t>Резистор номиналом 750 кОм и точностью1%</t>
  </si>
  <si>
    <t>Resistor_830k_1_0603</t>
  </si>
  <si>
    <t>Резистор номиналом 830 кОм и точностью1%</t>
  </si>
  <si>
    <t>Resistor_910k_1_0603</t>
  </si>
  <si>
    <t>Резистор номиналом 910 кОм и точностью1%</t>
  </si>
  <si>
    <t>Resistor_1.0M_1_0603</t>
  </si>
  <si>
    <t>Резистор номиналом 1,0 МОм и точностью1%</t>
  </si>
  <si>
    <t>Resistor_1.1M_1_0603</t>
  </si>
  <si>
    <t>Резистор номиналом 1,1 МОм и точностью1%</t>
  </si>
  <si>
    <t>Resistor_1.2M_1_0603</t>
  </si>
  <si>
    <t>Резистор номиналом 1,2 МОм и точностью1%</t>
  </si>
  <si>
    <t>Resistor_1.3M_1_0603</t>
  </si>
  <si>
    <t>Резистор номиналом 1,3 МОм и точностью1%</t>
  </si>
  <si>
    <t>Resistor_1.5M_1_0603</t>
  </si>
  <si>
    <t>Резистор номиналом 1,5 МОм и точностью1%</t>
  </si>
  <si>
    <t>Resistor_1.6M_1_0603</t>
  </si>
  <si>
    <t>Резистор номиналом 1,6 МОм и точностью1%</t>
  </si>
  <si>
    <t>Resistor_1.8M_1_0603</t>
  </si>
  <si>
    <t>Резистор номиналом 1,8 МОм и точностью1%</t>
  </si>
  <si>
    <t>Resistor_2M_1_0603</t>
  </si>
  <si>
    <t>Резистор номиналом 2 МОм и точностью1%</t>
  </si>
  <si>
    <t>Resistor_2.2M_1_0603</t>
  </si>
  <si>
    <t>Резистор номиналом 2,2 МОм и точностью1%</t>
  </si>
  <si>
    <t>Resistor_2.4M_1_0603</t>
  </si>
  <si>
    <t>Резистор номиналом 2,4 МОм и точностью1%</t>
  </si>
  <si>
    <t>Resistor_2.6M_1_0603</t>
  </si>
  <si>
    <t>Резистор номиналом 2,6 МОм и точностью1%</t>
  </si>
  <si>
    <t>Resistor_2.9M_1_0603</t>
  </si>
  <si>
    <t>Резистор номиналом 2,9 МОм и точностью1%</t>
  </si>
  <si>
    <t>Resistor_3.2M_1_0603</t>
  </si>
  <si>
    <t>Резистор номиналом 3,2 МОм и точностью1%</t>
  </si>
  <si>
    <t>Resistor_3.5M_1_0603</t>
  </si>
  <si>
    <t>Резистор номиналом 3,5 МОм и точностью1%</t>
  </si>
  <si>
    <t>Resistor_3.8M_1_0603</t>
  </si>
  <si>
    <t>Резистор номиналом 3,8 МОм и точностью1%</t>
  </si>
  <si>
    <t>Resistor_4.2M_1_0603</t>
  </si>
  <si>
    <t>Резистор номиналом 4,2 МОм и точностью1%</t>
  </si>
  <si>
    <t>Resistor_4.6M_1_0603</t>
  </si>
  <si>
    <t>Резистор номиналом 4,6 МОм и точностью1%</t>
  </si>
  <si>
    <t>Resistor_5.1M_1_0603</t>
  </si>
  <si>
    <t>Резистор номиналом 5,1 МОм и точностью1%</t>
  </si>
  <si>
    <t>Resistor_5.6M_1_0603</t>
  </si>
  <si>
    <t>Резистор номиналом 5,6 МОм и точностью1%</t>
  </si>
  <si>
    <t>Resistor_6.2M_1_0603</t>
  </si>
  <si>
    <t>Резистор номиналом 6,2 МОм и точностью1%</t>
  </si>
  <si>
    <t>Resistor_6.8M_1_0603</t>
  </si>
  <si>
    <t>Резистор номиналом 6,8 МОм и точностью1%</t>
  </si>
  <si>
    <t>Resistor_7.5M_1_0603</t>
  </si>
  <si>
    <t>Резистор номиналом 7,5 МОм и точностью1%</t>
  </si>
  <si>
    <t>Resistor_8.3M_1_0603</t>
  </si>
  <si>
    <t>Резистор номиналом 8,3 МОм и точностью1%</t>
  </si>
  <si>
    <t>Resistor_9.1M_1_0603</t>
  </si>
  <si>
    <t>Резистор номиналом 9,1 МОм и точностью1%</t>
  </si>
  <si>
    <t>Resistor_10M_1_0603</t>
  </si>
  <si>
    <t>Резистор номиналом 10 МОм и точностью1%</t>
  </si>
  <si>
    <t>Tolerance</t>
  </si>
  <si>
    <t>SOIC-16</t>
  </si>
  <si>
    <t>27</t>
  </si>
  <si>
    <t>30</t>
  </si>
  <si>
    <t>33</t>
  </si>
  <si>
    <t>36</t>
  </si>
  <si>
    <t>39</t>
  </si>
  <si>
    <t>43</t>
  </si>
  <si>
    <t>47</t>
  </si>
  <si>
    <t>2,7</t>
  </si>
  <si>
    <t>3,0</t>
  </si>
  <si>
    <t>3,3</t>
  </si>
  <si>
    <t>3,6</t>
  </si>
  <si>
    <t>3,9</t>
  </si>
  <si>
    <t>4,3</t>
  </si>
  <si>
    <t>4,7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</si>
</sst>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8"/>
      <name val="Calibri"/>
      <family val="2"/>
    </font>
    <font>
      <sz val="8"/>
      <name val="Calibri"/>
      <family val="2"/>
    </font>
    <font>
      <sz val="8"/>
      <name val="Calibri"/>
      <family val="2"/>
    </font>
    <font>
      <sz val="12"/>
      <color rgb="FF00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</fills>
  <borders count="2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4" fillId="0" borderId="0" xfId="0" applyFont="1"/>
    <xf numFmtId="49" fontId="0" fillId="0" borderId="0" xfId="0" applyNumberFormat="1"/>
    <xf numFmtId="49" fontId="4" fillId="0" borderId="0" xfId="0" applyNumberFormat="1" applyFont="1"/>
    <xf numFmtId="9" fontId="4" fillId="0" borderId="0" xfId="0" applyNumberFormat="1" applyFont="1"/>
    <xf numFmtId="49" fontId="4" fillId="2" borderId="1" xfId="0" applyNumberFormat="1" applyFont="1" applyFill="1" applyBorder="1"/>
    <xf numFmtId="49" fontId="4" fillId="0" borderId="1" xfId="0" applyNumberFormat="1" applyFont="1" applyBorder="1"/>
    <xf numFmtId="0" fontId="0" fillId="0" borderId="0" xfId="0" applyNumberFormat="1"/>
  </cellXfs>
  <cellStyles count="1">
    <cellStyle name="Обычный" xfId="0" builtinId="0"/>
  </cellStyles>
  <dxfs count="7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numFmt numFmtId="0" formatCode="General"/>
    </dxf>
    <dxf>
      <numFmt numFmtId="0" formatCode="General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4">
    <xsd:schema xmlns:xsd="http://www.w3.org/2001/XMLSchema" xmlns="">
      <xsd:element nillable="true" name="Chip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5">
    <xsd:schema xmlns:xsd="http://www.w3.org/2001/XMLSchema" xmlns="">
      <xsd:element nillable="true" name="Zener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" form="unqualified"/>
                  <xsd:element minOccurs="0" nillable="true" type="xsd:string" name="CurrentNominal" form="unqualified"/>
                  <xsd:element minOccurs="0" nillable="true" type="xsd:string" name="Power" form="unqualified"/>
                  <xsd:element minOccurs="0" nillable="true" type="xsd:string" name="Value" form="unqualified"/>
                </xsd:sequence>
              </xsd:complexType>
            </xsd:element>
          </xsd:sequence>
        </xsd:complexType>
      </xsd:element>
    </xsd:schema>
  </Schema>
  <Schema ID="Schema6">
    <xsd:schema xmlns:xsd="http://www.w3.org/2001/XMLSchema" xmlns="">
      <xsd:element nillable="true" name="TV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" form="unqualified"/>
                  <xsd:element minOccurs="0" nillable="true" type="xsd:string" name="Power" form="unqualified"/>
                  <xsd:element minOccurs="0" nillable="true" type="xsd:string" name="Value" form="unqualified"/>
                  <xsd:element minOccurs="0" nillable="true" type="xsd:string" name="Inteface" form="unqualified"/>
                </xsd:sequence>
              </xsd:complexType>
            </xsd:element>
          </xsd:sequence>
        </xsd:complexType>
      </xsd:element>
    </xsd:schema>
  </Schema>
  <Schema ID="Schema8">
    <xsd:schema xmlns:xsd="http://www.w3.org/2001/XMLSchema" xmlns="">
      <xsd:element nillable="true" name="Trans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</xsd:sequence>
              </xsd:complexType>
            </xsd:element>
          </xsd:sequence>
        </xsd:complexType>
      </xsd:element>
    </xsd:schema>
  </Schema>
  <Schema ID="Schema11">
    <xsd:schema xmlns:xsd="http://www.w3.org/2001/XMLSchema" xmlns="">
      <xsd:element nillable="true" name="Other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</xsd:sequence>
              </xsd:complexType>
            </xsd:element>
          </xsd:sequence>
        </xsd:complexType>
      </xsd:element>
    </xsd:schema>
  </Schema>
  <Schema ID="Schema12">
    <xsd:schema xmlns:xsd="http://www.w3.org/2001/XMLSchema" xmlns="">
      <xsd:element nillable="true" name="Connec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10">
    <xsd:schema xmlns:xsd="http://www.w3.org/2001/XMLSchema" xmlns="">
      <xsd:element nillable="true" name="Capaci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  <xsd:element minOccurs="0" nillable="true" type="xsd:string" name="FootprintPath4" form="unqualified"/>
                  <xsd:element minOccurs="0" nillable="true" type="xsd:string" name="FootprintRef4" form="unqualified"/>
                  <xsd:element minOccurs="0" nillable="true" type="xsd:string" name="FootprintPath5" form="unqualified"/>
                  <xsd:element minOccurs="0" nillable="true" type="xsd:string" name="FootprintRef5" form="unqualified"/>
                  <xsd:element minOccurs="0" nillable="true" type="xsd:string" name="FootprintPath6" form="unqualified"/>
                  <xsd:element minOccurs="0" nillable="true" type="xsd:string" name="FootprintRef6" form="unqualified"/>
                  <xsd:element minOccurs="0" nillable="true" type="xsd:string" name="FootprintPath7" form="unqualified"/>
                  <xsd:element minOccurs="0" nillable="true" type="xsd:string" name="FootprintRef7" form="unqualified"/>
                </xsd:sequence>
              </xsd:complexType>
            </xsd:element>
          </xsd:sequence>
        </xsd:complexType>
      </xsd:element>
    </xsd:schema>
  </Schema>
  <Schema ID="Schema13">
    <xsd:schema xmlns:xsd="http://www.w3.org/2001/XMLSchema" xmlns="">
      <xsd:element nillable="true" name="Schottky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_V" form="unqualified"/>
                  <xsd:element minOccurs="0" nillable="true" type="xsd:string" name="Current_A" form="unqualified"/>
                </xsd:sequence>
              </xsd:complexType>
            </xsd:element>
          </xsd:sequence>
        </xsd:complexType>
      </xsd:element>
    </xsd:schema>
  </Schema>
  <Schema ID="Schema14">
    <xsd:schema xmlns:xsd="http://www.w3.org/2001/XMLSchema" xmlns="">
      <xsd:element nillable="true" name="Inductance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  <xsd:element minOccurs="0" nillable="true" type="xsd:string" name="FootprintPath4" form="unqualified"/>
                  <xsd:element minOccurs="0" nillable="true" type="xsd:string" name="FootprintRef4" form="unqualified"/>
                </xsd:sequence>
              </xsd:complexType>
            </xsd:element>
          </xsd:sequence>
        </xsd:complexType>
      </xsd:element>
    </xsd:schema>
  </Schema>
  <Schema ID="Schema15">
    <xsd:schema xmlns:xsd="http://www.w3.org/2001/XMLSchema" xmlns="">
      <xsd:element nillable="true" name="Res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Map ID="18" Name="Capacitors" RootElement="Capacitors" SchemaID="Schema10" ShowImportExportValidationErrors="false" AutoFit="true" Append="false" PreserveSortAFLayout="true" PreserveFormat="true">
    <DataBinding FileBinding="true" ConnectionID="1" DataBindingLoadMode="1"/>
  </Map>
  <Map ID="4" Name="Chips" RootElement="Chips" SchemaID="Schema4" ShowImportExportValidationErrors="false" AutoFit="true" Append="false" PreserveSortAFLayout="true" PreserveFormat="true">
    <DataBinding FileBinding="true" ConnectionID="4" DataBindingLoadMode="1"/>
  </Map>
  <Map ID="12" Name="Connectors" RootElement="Connectors" SchemaID="Schema12" ShowImportExportValidationErrors="false" AutoFit="true" Append="false" PreserveSortAFLayout="true" PreserveFormat="true">
    <DataBinding FileBinding="true" ConnectionID="5" DataBindingLoadMode="1"/>
  </Map>
  <Map ID="31" Name="Inductance" RootElement="Inductance" SchemaID="Schema14" ShowImportExportValidationErrors="false" AutoFit="true" Append="false" PreserveSortAFLayout="true" PreserveFormat="true">
    <DataBinding FileBinding="true" ConnectionID="6" DataBindingLoadMode="1"/>
  </Map>
  <Map ID="11" Name="Other" RootElement="Other" SchemaID="Schema11" ShowImportExportValidationErrors="false" AutoFit="true" Append="false" PreserveSortAFLayout="true" PreserveFormat="true">
    <DataBinding FileBinding="true" ConnectionID="7" DataBindingLoadMode="1"/>
  </Map>
  <Map ID="38" Name="Resistors" RootElement="Resistors" SchemaID="Schema15" ShowImportExportValidationErrors="false" AutoFit="true" Append="false" PreserveSortAFLayout="true" PreserveFormat="true">
    <DataBinding FileBinding="true" ConnectionID="9" DataBindingLoadMode="1"/>
  </Map>
  <Map ID="30" Name="Schottky" RootElement="Schottky" SchemaID="Schema13" ShowImportExportValidationErrors="false" AutoFit="true" Append="false" PreserveSortAFLayout="true" PreserveFormat="true">
    <DataBinding FileBinding="true" ConnectionID="10" DataBindingLoadMode="1"/>
  </Map>
  <Map ID="8" Name="Transistors" RootElement="Transistors" SchemaID="Schema8" ShowImportExportValidationErrors="false" AutoFit="true" Append="false" PreserveSortAFLayout="true" PreserveFormat="true">
    <DataBinding FileBinding="true" ConnectionID="11" DataBindingLoadMode="1"/>
  </Map>
  <Map ID="6" Name="TVS" RootElement="TVS" SchemaID="Schema6" ShowImportExportValidationErrors="false" AutoFit="true" Append="false" PreserveSortAFLayout="true" PreserveFormat="true">
    <DataBinding FileBinding="true" ConnectionID="12" DataBindingLoadMode="1"/>
  </Map>
  <Map ID="5" Name="Zener" RootElement="Zener" SchemaID="Schema5" ShowImportExportValidationErrors="false" AutoFit="true" Append="false" PreserveSortAFLayout="true" PreserveFormat="true">
    <DataBinding FileBinding="true" ConnectionID="13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openxmlformats.org/officeDocument/2006/relationships/xmlMaps" Target="xmlMap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AFB31A0-B533-4A21-B77D-E415196B9369}" name="Таблица1" displayName="Таблица1" ref="A1:G10" tableType="xml" totalsRowShown="0" headerRowDxfId="69" connectionId="4">
  <autoFilter ref="A1:G10" xr:uid="{DAFB31A0-B533-4A21-B77D-E415196B9369}"/>
  <tableColumns count="7">
    <tableColumn id="1" xr3:uid="{FF514B54-D1F7-467B-A909-8FEBB2C334B2}" uniqueName="PartNumber" name="Part Number">
      <xmlColumnPr mapId="4" xpath="/Chips/Part/PartNumber" xmlDataType="string"/>
    </tableColumn>
    <tableColumn id="2" xr3:uid="{5DBF2FFB-4189-461F-B44D-A253C2A03E0E}" uniqueName="Description" name="Description">
      <xmlColumnPr mapId="4" xpath="/Chips/Part/Description" xmlDataType="string"/>
    </tableColumn>
    <tableColumn id="3" xr3:uid="{2DF6DD3A-9BCE-40C9-80D8-1FF39AD58EAC}" uniqueName="Comment" name="Comment" dataDxfId="68">
      <calculatedColumnFormula>A2</calculatedColumnFormula>
      <xmlColumnPr mapId="4" xpath="/Chips/Part/Comment" xmlDataType="string"/>
    </tableColumn>
    <tableColumn id="4" xr3:uid="{0F75ADCE-5DB1-4694-9079-4F92F37CD551}" uniqueName="LibraryPath" name="Library Path">
      <calculatedColumnFormula>CONCATENATE("Schematic\",A2,".SchLib")</calculatedColumnFormula>
      <xmlColumnPr mapId="4" xpath="/Chips/Part/LibraryPath" xmlDataType="string"/>
    </tableColumn>
    <tableColumn id="5" xr3:uid="{6BF9732B-3268-4329-ACB9-FC59FBD5B694}" uniqueName="LibraryRef" name="Library Ref">
      <calculatedColumnFormula>A2</calculatedColumnFormula>
      <xmlColumnPr mapId="4" xpath="/Chips/Part/LibraryRef" xmlDataType="string"/>
    </tableColumn>
    <tableColumn id="6" xr3:uid="{98C1629C-FFD0-4250-AD2B-871635469449}" uniqueName="FootprintPath1" name="Footprint Path 1">
      <calculatedColumnFormula>CONCATENATE("Footprints\",G2,".PcbLib")</calculatedColumnFormula>
      <xmlColumnPr mapId="4" xpath="/Chips/Part/FootprintPath1" xmlDataType="string"/>
    </tableColumn>
    <tableColumn id="7" xr3:uid="{8E623AA2-A6FC-4B2D-9E76-68BF47415D9D}" uniqueName="FootprintRef1" name="Footprint Ref 1">
      <xmlColumnPr mapId="4" xpath="/Chips/Part/FootprintRef1" xmlDataType="string"/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0AF4724-F3FA-4EC9-A9A8-6A4D71195C38}" name="Таблица4" displayName="Таблица4" ref="A1:I2" tableType="xml" totalsRowShown="0" connectionId="10">
  <autoFilter ref="A1:I2" xr:uid="{10AF4724-F3FA-4EC9-A9A8-6A4D71195C38}"/>
  <tableColumns count="9">
    <tableColumn id="1" xr3:uid="{7D13120A-3712-4674-B308-2AEA3E990A24}" uniqueName="PartNumber" name="Part Number">
      <xmlColumnPr mapId="30" xpath="/Schottky/Part/PartNumber" xmlDataType="string"/>
    </tableColumn>
    <tableColumn id="2" xr3:uid="{CADA28FD-43A2-47CB-9A36-0A4A2A891FB9}" uniqueName="Description" name="Description">
      <calculatedColumnFormula>CONCATENATE("Диод шоттки на ", H2," В, номинальный ток ", I2," А")</calculatedColumnFormula>
      <xmlColumnPr mapId="30" xpath="/Schottky/Part/Description" xmlDataType="string"/>
    </tableColumn>
    <tableColumn id="3" xr3:uid="{BE3CF0C9-327A-42F9-ACB4-407A1BC9970A}" uniqueName="Comment" name="Comment">
      <calculatedColumnFormula>A2</calculatedColumnFormula>
      <xmlColumnPr mapId="30" xpath="/Schottky/Part/Comment" xmlDataType="string"/>
    </tableColumn>
    <tableColumn id="4" xr3:uid="{3008B321-7083-456E-B42A-A53374F172FE}" uniqueName="LibraryPath" name="Library Path">
      <xmlColumnPr mapId="30" xpath="/Schottky/Part/LibraryPath" xmlDataType="string"/>
    </tableColumn>
    <tableColumn id="5" xr3:uid="{846CE11C-F91C-4596-8153-50317948BC6F}" uniqueName="LibraryRef" name="Library Ref">
      <xmlColumnPr mapId="30" xpath="/Schottky/Part/LibraryRef" xmlDataType="string"/>
    </tableColumn>
    <tableColumn id="6" xr3:uid="{BCD8A720-500C-483E-BAED-40F0E593D191}" uniqueName="FootprintPath1" name="Footprint Path 1">
      <calculatedColumnFormula>CONCATENATE("Footprints\",G2,".PcbLib")</calculatedColumnFormula>
      <xmlColumnPr mapId="30" xpath="/Schottky/Part/FootprintPath1" xmlDataType="string"/>
    </tableColumn>
    <tableColumn id="7" xr3:uid="{66DB4247-2A84-40E9-89F9-BA7F8535732B}" uniqueName="FootprintRef1" name="Footprint Ref 1">
      <xmlColumnPr mapId="30" xpath="/Schottky/Part/FootprintRef1" xmlDataType="string"/>
    </tableColumn>
    <tableColumn id="8" xr3:uid="{F3EDED53-D850-4EFD-AF14-D9C22E10E8B0}" uniqueName="VoltageNominal_V" name="Voltage nominal (V)">
      <xmlColumnPr mapId="30" xpath="/Schottky/Part/VoltageNominal_V" xmlDataType="string"/>
    </tableColumn>
    <tableColumn id="9" xr3:uid="{431126AD-34DC-40A1-9CB6-D627B7878BEA}" uniqueName="Current_A" name="Current (A)">
      <xmlColumnPr mapId="30" xpath="/Schottky/Part/Current_A" xmlDataType="string"/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CD13EE0-E53C-485B-863E-D7FAF9FE1DB1}" name="Таблица2" displayName="Таблица2" ref="A1:K2" tableType="xml" totalsRowShown="0" connectionId="13">
  <autoFilter ref="A1:K2" xr:uid="{9CD13EE0-E53C-485B-863E-D7FAF9FE1DB1}"/>
  <tableColumns count="11">
    <tableColumn id="1" xr3:uid="{CEDA0E99-369D-4D19-B546-9AAC32676B0B}" uniqueName="PartNumber" name="Part Number">
      <xmlColumnPr mapId="5" xpath="/Zener/Part/PartNumber" xmlDataType="string"/>
    </tableColumn>
    <tableColumn id="2" xr3:uid="{1A43BE7E-9AAC-4973-AC64-2F97612F4435}" uniqueName="Description" name="Description">
      <calculatedColumnFormula>CONCATENATE("Стабилитрон на ", H2," В, рассеиваемая мощность ", J2," Вт")</calculatedColumnFormula>
      <xmlColumnPr mapId="5" xpath="/Zener/Part/Description" xmlDataType="string"/>
    </tableColumn>
    <tableColumn id="3" xr3:uid="{49D3DAB1-6D79-4F4F-BB8D-79A17FF03917}" uniqueName="Comment" name="Comment">
      <calculatedColumnFormula>A2</calculatedColumnFormula>
      <xmlColumnPr mapId="5" xpath="/Zener/Part/Comment" xmlDataType="string"/>
    </tableColumn>
    <tableColumn id="4" xr3:uid="{182DACB5-F162-4398-9C74-66E180C5E23A}" uniqueName="LibraryPath" name="Library Path">
      <xmlColumnPr mapId="5" xpath="/Zener/Part/LibraryPath" xmlDataType="string"/>
    </tableColumn>
    <tableColumn id="5" xr3:uid="{B562CDC7-2EE1-4F91-883B-7B14555F14C0}" uniqueName="LibraryRef" name="Library Ref">
      <xmlColumnPr mapId="5" xpath="/Zener/Part/LibraryRef" xmlDataType="string"/>
    </tableColumn>
    <tableColumn id="6" xr3:uid="{84A33A6D-D3D8-4003-88F5-4726CE5AF957}" uniqueName="FootprintPath1" name="Footprint Path 1">
      <calculatedColumnFormula>CONCATENATE("Footprints\",G2,".PcbLib")</calculatedColumnFormula>
      <xmlColumnPr mapId="5" xpath="/Zener/Part/FootprintPath1" xmlDataType="string"/>
    </tableColumn>
    <tableColumn id="7" xr3:uid="{D543FD13-5C55-44FD-9EAE-AE7259E67BF1}" uniqueName="FootprintRef1" name="Footprint Ref 1">
      <xmlColumnPr mapId="5" xpath="/Zener/Part/FootprintRef1" xmlDataType="string"/>
    </tableColumn>
    <tableColumn id="8" xr3:uid="{4104DF45-8CF0-44D2-95F3-3425F94E79DA}" uniqueName="VoltageNominal" name="Voltage nominal (V)">
      <xmlColumnPr mapId="5" xpath="/Zener/Part/VoltageNominal" xmlDataType="string"/>
    </tableColumn>
    <tableColumn id="9" xr3:uid="{4B987DAD-1E1D-453A-A90A-FF65EAF2AE26}" uniqueName="CurrentNominal" name="Current nominal (mA)">
      <xmlColumnPr mapId="5" xpath="/Zener/Part/CurrentNominal" xmlDataType="string"/>
    </tableColumn>
    <tableColumn id="10" xr3:uid="{8128437B-5737-40AC-A22E-0586BC9F6EDD}" uniqueName="Power" name="Power (W)">
      <xmlColumnPr mapId="5" xpath="/Zener/Part/Power" xmlDataType="string"/>
    </tableColumn>
    <tableColumn id="11" xr3:uid="{C622244B-29E9-4E9E-873E-3F7443A151DA}" uniqueName="Value" name="Value">
      <calculatedColumnFormula>CONCATENATE(H2," В")</calculatedColumnFormula>
      <xmlColumnPr mapId="5" xpath="/Zener/Part/Value" xmlDataType="string"/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5EAFB53-5120-48E8-B7CF-F527619EF3EB}" name="Таблица3" displayName="Таблица3" ref="A1:K4" tableType="xml" totalsRowShown="0" dataDxfId="67" connectionId="12">
  <autoFilter ref="A1:K4" xr:uid="{35EAFB53-5120-48E8-B7CF-F527619EF3EB}"/>
  <tableColumns count="11">
    <tableColumn id="1" xr3:uid="{8FF51BCB-1CBC-41C4-B0E3-6994AEB249EF}" uniqueName="PartNumber" name="Part Number" dataDxfId="66">
      <xmlColumnPr mapId="6" xpath="/TVS/Part/PartNumber" xmlDataType="string"/>
    </tableColumn>
    <tableColumn id="2" xr3:uid="{254709FF-71DC-4C18-A11E-3F482A74905F}" uniqueName="Description" name="Description" dataDxfId="65">
      <calculatedColumnFormula xml:space="preserve"> IF(K2="RS-485","Защитный диод для линии RS-485",CONCATENATE("Защитный диод на ", H2," В, рассеиваемая мощность ", I2," Вт"))</calculatedColumnFormula>
      <xmlColumnPr mapId="6" xpath="/TVS/Part/Description" xmlDataType="string"/>
    </tableColumn>
    <tableColumn id="3" xr3:uid="{2C6333B7-5457-4608-BA0E-6E70CD858A2C}" uniqueName="Comment" name="Comment" dataDxfId="64">
      <calculatedColumnFormula>A2</calculatedColumnFormula>
      <xmlColumnPr mapId="6" xpath="/TVS/Part/Comment" xmlDataType="string"/>
    </tableColumn>
    <tableColumn id="4" xr3:uid="{83178ADA-1817-4EF5-A805-49E80CF47276}" uniqueName="LibraryPath" name="Library Path" dataDxfId="63">
      <calculatedColumnFormula>CONCATENATE("Schematic\TVS\",E2,".SchLib")</calculatedColumnFormula>
      <xmlColumnPr mapId="6" xpath="/TVS/Part/LibraryPath" xmlDataType="string"/>
    </tableColumn>
    <tableColumn id="5" xr3:uid="{B80EE288-DA51-4B26-9FFB-D0707D8FC628}" uniqueName="LibraryRef" name="Library Ref" dataDxfId="62">
      <xmlColumnPr mapId="6" xpath="/TVS/Part/LibraryRef" xmlDataType="string"/>
    </tableColumn>
    <tableColumn id="6" xr3:uid="{C5C7E783-B9B8-469C-B255-FC24F12E71DC}" uniqueName="FootprintPath1" name="Footprint Path 1" dataDxfId="61">
      <calculatedColumnFormula>CONCATENATE("Footprints\",G2,".PcbLib")</calculatedColumnFormula>
      <xmlColumnPr mapId="6" xpath="/TVS/Part/FootprintPath1" xmlDataType="string"/>
    </tableColumn>
    <tableColumn id="7" xr3:uid="{3A293D26-6880-4FA2-86FA-6BF6FC855D7F}" uniqueName="FootprintRef1" name="Footprint Ref 1" dataDxfId="60">
      <xmlColumnPr mapId="6" xpath="/TVS/Part/FootprintRef1" xmlDataType="string"/>
    </tableColumn>
    <tableColumn id="8" xr3:uid="{16B3AEE3-BEA7-4870-9494-F8A0EC5E9CCD}" uniqueName="VoltageNominal" name="Voltage nominal (V)" dataDxfId="59">
      <xmlColumnPr mapId="6" xpath="/TVS/Part/VoltageNominal" xmlDataType="string"/>
    </tableColumn>
    <tableColumn id="9" xr3:uid="{7DDE345A-D145-4A55-B781-91F88095B1FE}" uniqueName="Power" name="Power (W)" dataDxfId="58">
      <xmlColumnPr mapId="6" xpath="/TVS/Part/Power" xmlDataType="string"/>
    </tableColumn>
    <tableColumn id="10" xr3:uid="{EBB777BC-3BC6-4EF4-AC63-F94C7CFCFC0E}" uniqueName="Value" name="Value" dataDxfId="57">
      <calculatedColumnFormula xml:space="preserve"> CONCATENATE(H2," В")</calculatedColumnFormula>
      <xmlColumnPr mapId="6" xpath="/TVS/Part/Value" xmlDataType="string"/>
    </tableColumn>
    <tableColumn id="11" xr3:uid="{031238E8-E993-4BD3-9F1D-0FAC431BDD7F}" uniqueName="Inteface" name="Interface" dataDxfId="56">
      <xmlColumnPr mapId="6" xpath="/TVS/Part/Inteface" xmlDataType="string"/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1DAD5D3-6841-4BFD-8583-65DE6E00D680}" name="Таблица5" displayName="Таблица5" ref="A1:I6" tableType="xml" totalsRowShown="0" headerRowDxfId="55" connectionId="11">
  <autoFilter ref="A1:I6" xr:uid="{11DAD5D3-6841-4BFD-8583-65DE6E00D680}"/>
  <tableColumns count="9">
    <tableColumn id="1" xr3:uid="{59488B22-9EFD-4960-9418-72616CC8F6CC}" uniqueName="PartNumber" name="Part Number" dataDxfId="54">
      <xmlColumnPr mapId="8" xpath="/Transistors/Part/PartNumber" xmlDataType="string"/>
    </tableColumn>
    <tableColumn id="2" xr3:uid="{B6051881-2BC5-4D5F-9AEE-A86DF4412A4C}" uniqueName="Description" name="Description" dataDxfId="53">
      <xmlColumnPr mapId="8" xpath="/Transistors/Part/Description" xmlDataType="string"/>
    </tableColumn>
    <tableColumn id="3" xr3:uid="{377CEA9C-B3A1-4F57-920A-BA1AC9164370}" uniqueName="Comment" name="Comment" dataDxfId="52">
      <calculatedColumnFormula>A2</calculatedColumnFormula>
      <xmlColumnPr mapId="8" xpath="/Transistors/Part/Comment" xmlDataType="string"/>
    </tableColumn>
    <tableColumn id="4" xr3:uid="{31DE2397-F193-4851-8DCA-0C374AAAE178}" uniqueName="LibraryPath" name="Library Path" dataDxfId="51">
      <xmlColumnPr mapId="8" xpath="/Transistors/Part/LibraryPath" xmlDataType="string"/>
    </tableColumn>
    <tableColumn id="5" xr3:uid="{02693066-D721-4B47-BEE5-D678B96A10FB}" uniqueName="LibraryRef" name="Library Ref" dataDxfId="50">
      <xmlColumnPr mapId="8" xpath="/Transistors/Part/LibraryRef" xmlDataType="string"/>
    </tableColumn>
    <tableColumn id="6" xr3:uid="{F440944E-5EE7-4673-9D0E-B7FE3DF245DB}" uniqueName="FootprintPath1" name="Footprint Path 1">
      <calculatedColumnFormula>CONCATENATE("Footprints\",G2,".PcbLib")</calculatedColumnFormula>
      <xmlColumnPr mapId="8" xpath="/Transistors/Part/FootprintPath1" xmlDataType="string"/>
    </tableColumn>
    <tableColumn id="7" xr3:uid="{D511F7D2-DAB9-49F0-A15D-7C4724C5B288}" uniqueName="FootprintRef1" name="Footprint Ref 1" dataDxfId="49">
      <xmlColumnPr mapId="8" xpath="/Transistors/Part/FootprintRef1" xmlDataType="string"/>
    </tableColumn>
    <tableColumn id="8" xr3:uid="{E67B97DF-DA51-427C-AAA5-3EBF6C5C9757}" uniqueName="FootprintPath2" name="Footprint Path 2">
      <xmlColumnPr mapId="8" xpath="/Transistors/Part/FootprintPath2" xmlDataType="string"/>
    </tableColumn>
    <tableColumn id="9" xr3:uid="{7E70164B-198F-4AEC-A12A-6FAD2068DAF9}" uniqueName="FootprintRef2" name="Footprint Ref 2">
      <xmlColumnPr mapId="8" xpath="/Transistors/Part/FootprintRef2" xmlDataType="string"/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2061886-A591-4FD8-8C5B-3D1D2DB1F417}" name="Таблица6" displayName="Таблица6" ref="A1:I170" tableType="xml" totalsRowShown="0" headerRowDxfId="48" dataDxfId="47" connectionId="9">
  <autoFilter ref="A1:I170" xr:uid="{02061886-A591-4FD8-8C5B-3D1D2DB1F417}"/>
  <tableColumns count="9">
    <tableColumn id="1" xr3:uid="{1DE1C76C-B7F9-47FB-9EB0-156A2D87FD9E}" uniqueName="PartNumber" name="Part Number" dataDxfId="46">
      <xmlColumnPr mapId="38" xpath="/Resistors/Part/PartNumber" xmlDataType="string"/>
    </tableColumn>
    <tableColumn id="2" xr3:uid="{64E60790-EB9B-4A0D-B52C-7CB5A6F82DE8}" uniqueName="Description" name="Description" dataDxfId="45">
      <xmlColumnPr mapId="38" xpath="/Resistors/Part/Description" xmlDataType="string"/>
    </tableColumn>
    <tableColumn id="3" xr3:uid="{497E7478-3EE2-4F8D-A572-C738B7321387}" uniqueName="Comment" name="Comment" dataDxfId="44">
      <xmlColumnPr mapId="38" xpath="/Resistors/Part/Comment" xmlDataType="string"/>
    </tableColumn>
    <tableColumn id="4" xr3:uid="{255B034D-70D9-458C-8FA7-FEB8317A497F}" uniqueName="LibraryPath" name="Library Path" dataDxfId="43">
      <xmlColumnPr mapId="38" xpath="/Resistors/Part/LibraryPath" xmlDataType="string"/>
    </tableColumn>
    <tableColumn id="5" xr3:uid="{A3865419-9EA5-4AAA-B07F-FF52D437DC02}" uniqueName="LibraryRef" name="Library Ref" dataDxfId="42">
      <xmlColumnPr mapId="38" xpath="/Resistors/Part/LibraryRef" xmlDataType="string"/>
    </tableColumn>
    <tableColumn id="6" xr3:uid="{CE64E0F7-2F9E-477F-8D1B-040D90CB5685}" uniqueName="Value" name="Value" dataDxfId="0">
      <xmlColumnPr mapId="38" xpath="/Resistors/Part/Value" xmlDataType="string"/>
    </tableColumn>
    <tableColumn id="7" xr3:uid="{41F7703B-5A2D-47F6-B9C9-B9D386FC3CF8}" uniqueName="Tolerance" name="Tolerance" dataDxfId="41">
      <xmlColumnPr mapId="38" xpath="/Resistors/Part/Tolerance" xmlDataType="double"/>
    </tableColumn>
    <tableColumn id="8" xr3:uid="{429E7452-DB30-417B-B5E7-8F2AA238A5A4}" uniqueName="FootprintPath1" name="Footprint Path 1" dataDxfId="40">
      <xmlColumnPr mapId="38" xpath="/Resistors/Part/FootprintPath1" xmlDataType="string"/>
    </tableColumn>
    <tableColumn id="9" xr3:uid="{298A4272-57F5-45C2-AFCD-965909B2DD40}" uniqueName="FootprintRef1" name="Footprint Ref 1" dataDxfId="39">
      <xmlColumnPr mapId="38" xpath="/Resistors/Part/FootprintRef1" xmlDataType="string"/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041C5C1-00FD-47DC-8B7C-9DEBE212D9D4}" name="Таблица7" displayName="Таблица7" ref="A1:T3" tableType="xml" totalsRowShown="0" headerRowDxfId="38" dataDxfId="37" connectionId="1">
  <autoFilter ref="A1:T3" xr:uid="{1041C5C1-00FD-47DC-8B7C-9DEBE212D9D4}"/>
  <tableColumns count="20">
    <tableColumn id="1" xr3:uid="{55BDD111-6381-449E-BF2B-3FEC8107762D}" uniqueName="PartNumber" name="Part Number" dataDxfId="36">
      <xmlColumnPr mapId="18" xpath="/Capacitors/Part/PartNumber" xmlDataType="string"/>
    </tableColumn>
    <tableColumn id="2" xr3:uid="{0D3E1F2C-B0CC-4A36-A41B-2F2DAEC98E3B}" uniqueName="Description" name="Description" dataDxfId="35">
      <xmlColumnPr mapId="18" xpath="/Capacitors/Part/Description" xmlDataType="string"/>
    </tableColumn>
    <tableColumn id="3" xr3:uid="{16739D52-8082-4E8D-B1E1-B82F60766E2A}" uniqueName="Comment" name="Comment" dataDxfId="34">
      <xmlColumnPr mapId="18" xpath="/Capacitors/Part/Comment" xmlDataType="string"/>
    </tableColumn>
    <tableColumn id="4" xr3:uid="{AC1F3F2E-0C78-451D-9178-0A9D15C49726}" uniqueName="LibraryPath" name="Library Path" dataDxfId="33">
      <xmlColumnPr mapId="18" xpath="/Capacitors/Part/LibraryPath" xmlDataType="string"/>
    </tableColumn>
    <tableColumn id="5" xr3:uid="{9169ABA3-E41E-40E0-B785-3D3B749D70BB}" uniqueName="LibraryRef" name="Library Ref" dataDxfId="32">
      <xmlColumnPr mapId="18" xpath="/Capacitors/Part/LibraryRef" xmlDataType="string"/>
    </tableColumn>
    <tableColumn id="6" xr3:uid="{01EADD2D-36E6-41EE-B894-B537CCE6649E}" uniqueName="Value" name="Value" dataDxfId="31">
      <xmlColumnPr mapId="18" xpath="/Capacitors/Part/Value" xmlDataType="string"/>
    </tableColumn>
    <tableColumn id="7" xr3:uid="{EC779EF2-47DD-4E8F-A8D2-159E83C79180}" uniqueName="FootprintPath1" name="Footprint Path 1" dataDxfId="30">
      <calculatedColumnFormula>CONCATENATE("Footprints\Capacitors\",H2,".PcbLib")</calculatedColumnFormula>
      <xmlColumnPr mapId="18" xpath="/Capacitors/Part/FootprintPath1" xmlDataType="string"/>
    </tableColumn>
    <tableColumn id="8" xr3:uid="{C244A49A-3E6F-4B22-983D-FFA97DB3DFF6}" uniqueName="FootprintRef1" name="Footprint Ref 1" dataDxfId="29">
      <xmlColumnPr mapId="18" xpath="/Capacitors/Part/FootprintRef1" xmlDataType="string"/>
    </tableColumn>
    <tableColumn id="9" xr3:uid="{85136BD9-A68F-40E0-9A6F-E71ECA929F04}" uniqueName="FootprintPath2" name="Footprint Path 2" dataDxfId="28">
      <calculatedColumnFormula>CONCATENATE("Footprints\Capacitors\",J2,".PcbLib")</calculatedColumnFormula>
      <xmlColumnPr mapId="18" xpath="/Capacitors/Part/FootprintPath2" xmlDataType="string"/>
    </tableColumn>
    <tableColumn id="10" xr3:uid="{9FB3A5B2-04CB-44F8-A289-C2FB25F43941}" uniqueName="FootprintRef2" name="Footprint Ref 2" dataDxfId="27">
      <xmlColumnPr mapId="18" xpath="/Capacitors/Part/FootprintRef2" xmlDataType="string"/>
    </tableColumn>
    <tableColumn id="11" xr3:uid="{50FA7750-FC9E-444C-8D52-C6B51BBD63C1}" uniqueName="FootprintPath3" name="Footprint Path 3" dataDxfId="26">
      <calculatedColumnFormula>CONCATENATE("Footprints\Capacitors\",L2,".PcbLib")</calculatedColumnFormula>
      <xmlColumnPr mapId="18" xpath="/Capacitors/Part/FootprintPath3" xmlDataType="string"/>
    </tableColumn>
    <tableColumn id="12" xr3:uid="{CB4B7F73-4E19-42EF-9940-4C2907529981}" uniqueName="FootprintRef3" name="Footprint Ref 3" dataDxfId="25">
      <xmlColumnPr mapId="18" xpath="/Capacitors/Part/FootprintRef3" xmlDataType="string"/>
    </tableColumn>
    <tableColumn id="13" xr3:uid="{6B23463C-82AA-426D-ACBC-49A19C1D46FA}" uniqueName="FootprintPath4" name="Footprint Path 4" dataDxfId="24">
      <calculatedColumnFormula>CONCATENATE("Footprints\Capacitors\",N2,".PcbLib")</calculatedColumnFormula>
      <xmlColumnPr mapId="18" xpath="/Capacitors/Part/FootprintPath4" xmlDataType="string"/>
    </tableColumn>
    <tableColumn id="14" xr3:uid="{AD691620-AB1F-42E2-B1E4-053F5C2B80E9}" uniqueName="FootprintRef4" name="Footprint Ref 4" dataDxfId="23">
      <xmlColumnPr mapId="18" xpath="/Capacitors/Part/FootprintRef4" xmlDataType="string"/>
    </tableColumn>
    <tableColumn id="15" xr3:uid="{FD0F620C-73A8-49FB-B6E9-F06F81ED3185}" uniqueName="FootprintPath5" name="Footprint Path 5" dataDxfId="22">
      <calculatedColumnFormula>CONCATENATE("Footprints\Capacitors\",P2,".PcbLib")</calculatedColumnFormula>
      <xmlColumnPr mapId="18" xpath="/Capacitors/Part/FootprintPath5" xmlDataType="string"/>
    </tableColumn>
    <tableColumn id="16" xr3:uid="{F3B1D3FD-D16A-41B6-BA7D-FAFB3CCAEEC4}" uniqueName="FootprintRef5" name="Footprint Ref 5" dataDxfId="21">
      <xmlColumnPr mapId="18" xpath="/Capacitors/Part/FootprintRef5" xmlDataType="string"/>
    </tableColumn>
    <tableColumn id="17" xr3:uid="{130B1CD3-35EC-447E-93DF-ED8F8DC7A59A}" uniqueName="FootprintPath6" name="Footprint Path 6" dataDxfId="20">
      <calculatedColumnFormula>CONCATENATE("Footprints\Capacitors\",R2,".PcbLib")</calculatedColumnFormula>
      <xmlColumnPr mapId="18" xpath="/Capacitors/Part/FootprintPath6" xmlDataType="string"/>
    </tableColumn>
    <tableColumn id="18" xr3:uid="{77AF5D99-AE0B-40E5-8972-14E04BB93BB4}" uniqueName="FootprintRef6" name="Footprint Ref 6" dataDxfId="19">
      <xmlColumnPr mapId="18" xpath="/Capacitors/Part/FootprintRef6" xmlDataType="string"/>
    </tableColumn>
    <tableColumn id="19" xr3:uid="{6809872D-01AC-4EF6-B33F-6B8DA2D054C9}" uniqueName="FootprintPath7" name="Footprint Path 7" dataDxfId="18">
      <xmlColumnPr mapId="18" xpath="/Capacitors/Part/FootprintPath7" xmlDataType="string"/>
    </tableColumn>
    <tableColumn id="20" xr3:uid="{352E5BAE-89D3-4F1C-AA92-CDC22EDD2B11}" uniqueName="FootprintRef7" name="Footprint Ref 7" dataDxfId="17">
      <xmlColumnPr mapId="18" xpath="/Capacitors/Part/FootprintRef7" xmlDataType="string"/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95ACB2B-3C85-4F71-84FF-CAC97F2B3EF2}" name="Таблица10" displayName="Таблица10" ref="A1:M2" tableType="xml" totalsRowShown="0" headerRowDxfId="16" connectionId="6">
  <autoFilter ref="A1:M2" xr:uid="{495ACB2B-3C85-4F71-84FF-CAC97F2B3EF2}"/>
  <tableColumns count="13">
    <tableColumn id="1" xr3:uid="{4F8F63B8-3A4B-4AE4-B421-1BAE93F6BD1F}" uniqueName="PartNumber" name="Part Number">
      <xmlColumnPr mapId="31" xpath="/Inductance/Part/PartNumber" xmlDataType="string"/>
    </tableColumn>
    <tableColumn id="2" xr3:uid="{F21E8DDA-9A5D-4FAB-8B15-416C8B37F128}" uniqueName="Description" name="Description">
      <xmlColumnPr mapId="31" xpath="/Inductance/Part/Description" xmlDataType="string"/>
    </tableColumn>
    <tableColumn id="3" xr3:uid="{31E5D42E-C1C1-47D6-BF83-ADB5E383E42F}" uniqueName="Comment" name="Comment">
      <calculatedColumnFormula>A2</calculatedColumnFormula>
      <xmlColumnPr mapId="31" xpath="/Inductance/Part/Comment" xmlDataType="string"/>
    </tableColumn>
    <tableColumn id="4" xr3:uid="{7C7FE73A-35EF-44CB-A066-BD67518B756B}" uniqueName="LibraryPath" name="Library Path">
      <xmlColumnPr mapId="31" xpath="/Inductance/Part/LibraryPath" xmlDataType="string"/>
    </tableColumn>
    <tableColumn id="5" xr3:uid="{93EF5672-D820-4E85-A99E-63FC29E4B3E2}" uniqueName="LibraryRef" name="Library Ref">
      <xmlColumnPr mapId="31" xpath="/Inductance/Part/LibraryRef" xmlDataType="string"/>
    </tableColumn>
    <tableColumn id="6" xr3:uid="{B20A2C26-0A57-4D17-B1C4-AE6EEC65742A}" uniqueName="FootprintPath1" name="Footprint Path 1">
      <calculatedColumnFormula>CONCATENATE("Footprints\Inductance\",G2,".PcbLib")</calculatedColumnFormula>
      <xmlColumnPr mapId="31" xpath="/Inductance/Part/FootprintPath1" xmlDataType="string"/>
    </tableColumn>
    <tableColumn id="7" xr3:uid="{49B409CD-94AC-4F2C-BC5E-E8FF519C8D6F}" uniqueName="FootprintRef1" name="Footprint Ref 1">
      <xmlColumnPr mapId="31" xpath="/Inductance/Part/FootprintRef1" xmlDataType="string"/>
    </tableColumn>
    <tableColumn id="8" xr3:uid="{71017A8D-C83B-4D64-80AC-6C5EC84419D6}" uniqueName="FootprintPath2" name="Footprint Path 2">
      <calculatedColumnFormula>CONCATENATE("Footprints\Inductance\",I2,".PcbLib")</calculatedColumnFormula>
      <xmlColumnPr mapId="31" xpath="/Inductance/Part/FootprintPath2" xmlDataType="string"/>
    </tableColumn>
    <tableColumn id="9" xr3:uid="{C86E75F1-D335-4444-9B57-0EA51020BBA8}" uniqueName="FootprintRef2" name="Footprint Ref 2">
      <xmlColumnPr mapId="31" xpath="/Inductance/Part/FootprintRef2" xmlDataType="string"/>
    </tableColumn>
    <tableColumn id="10" xr3:uid="{14D45471-DB98-4B30-AE3F-A5F2151147AD}" uniqueName="FootprintPath3" name="Footprint Path 3">
      <calculatedColumnFormula>CONCATENATE("Footprints\Inductance\",K2,".PcbLib")</calculatedColumnFormula>
      <xmlColumnPr mapId="31" xpath="/Inductance/Part/FootprintPath3" xmlDataType="string"/>
    </tableColumn>
    <tableColumn id="11" xr3:uid="{09835F57-BCA9-49C7-8953-8937D96DD0F8}" uniqueName="FootprintRef3" name="Footprint Ref 3">
      <xmlColumnPr mapId="31" xpath="/Inductance/Part/FootprintRef3" xmlDataType="string"/>
    </tableColumn>
    <tableColumn id="12" xr3:uid="{32F2E3FF-9422-4CF5-B324-9B3A82F8F97B}" uniqueName="FootprintPath4" name="Footprint Path 4">
      <calculatedColumnFormula>CONCATENATE("Footprints\Inductance\",M2,".PcbLib")</calculatedColumnFormula>
      <xmlColumnPr mapId="31" xpath="/Inductance/Part/FootprintPath4" xmlDataType="string"/>
    </tableColumn>
    <tableColumn id="13" xr3:uid="{0F00A487-9BBA-425A-B854-C2436CFC7F37}" uniqueName="FootprintRef4" name="Footprint Ref 4">
      <xmlColumnPr mapId="31" xpath="/Inductance/Part/FootprintRef4" xmlDataType="string"/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71F457A-0F82-4CD6-80C4-65E86DBEF353}" name="Таблица8" displayName="Таблица8" ref="A1:I5" tableType="xml" totalsRowShown="0" headerRowDxfId="15" dataDxfId="14" connectionId="7">
  <autoFilter ref="A1:I5" xr:uid="{071F457A-0F82-4CD6-80C4-65E86DBEF353}"/>
  <tableColumns count="9">
    <tableColumn id="1" xr3:uid="{AE9DCB61-0A9B-41D9-AC76-56D9ED6F9D71}" uniqueName="PartNumber" name="Part Number" dataDxfId="13">
      <xmlColumnPr mapId="11" xpath="/Other/Part/PartNumber" xmlDataType="string"/>
    </tableColumn>
    <tableColumn id="2" xr3:uid="{8662C04B-9C7C-48A2-ACC7-0FAAF1F41588}" uniqueName="Description" name="Description" dataDxfId="12">
      <xmlColumnPr mapId="11" xpath="/Other/Part/Description" xmlDataType="string"/>
    </tableColumn>
    <tableColumn id="3" xr3:uid="{7CF3CA75-1923-4F19-999C-14E1807BD3F5}" uniqueName="Comment" name="Comment" dataDxfId="11">
      <calculatedColumnFormula>A2</calculatedColumnFormula>
      <xmlColumnPr mapId="11" xpath="/Other/Part/Comment" xmlDataType="string"/>
    </tableColumn>
    <tableColumn id="4" xr3:uid="{AE8575DE-9481-4BD2-8D67-971D478B86A8}" uniqueName="LibraryPath" name="Library Path" dataDxfId="10">
      <calculatedColumnFormula>CONCATENATE("Schematic\",A2,".SchLib")</calculatedColumnFormula>
      <xmlColumnPr mapId="11" xpath="/Other/Part/LibraryPath" xmlDataType="string"/>
    </tableColumn>
    <tableColumn id="5" xr3:uid="{DEAA0346-D720-43E0-9F6E-0E8FAE6BA472}" uniqueName="LibraryRef" name="Library Ref" dataDxfId="9">
      <calculatedColumnFormula>A2</calculatedColumnFormula>
      <xmlColumnPr mapId="11" xpath="/Other/Part/LibraryRef" xmlDataType="string"/>
    </tableColumn>
    <tableColumn id="6" xr3:uid="{CA687DBF-73CB-4644-B24C-5B51FA2C0FDE}" uniqueName="FootprintPath1" name="Footprint Path 1" dataDxfId="8">
      <xmlColumnPr mapId="11" xpath="/Other/Part/FootprintPath1" xmlDataType="string"/>
    </tableColumn>
    <tableColumn id="7" xr3:uid="{78484622-732C-4ACF-9F43-B1AC2CDD73FA}" uniqueName="FootprintRef1" name="Footprint Ref 1" dataDxfId="7">
      <xmlColumnPr mapId="11" xpath="/Other/Part/FootprintRef1" xmlDataType="string"/>
    </tableColumn>
    <tableColumn id="8" xr3:uid="{9B1D9BE1-3884-44C5-88CA-6A2CCE154C24}" uniqueName="FootprintPath2" name="Footprint Path 2" dataDxfId="6">
      <xmlColumnPr mapId="11" xpath="/Other/Part/FootprintPath2" xmlDataType="string"/>
    </tableColumn>
    <tableColumn id="9" xr3:uid="{41DD9B28-B52E-42E2-980C-18F4A1B9EC96}" uniqueName="FootprintRef2" name="Footprint Ref 2" dataDxfId="5">
      <xmlColumnPr mapId="11" xpath="/Other/Part/FootprintRef2" xmlDataType="string"/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1A41BD32-B698-4872-A86C-4CAC56B9AD83}" name="Таблица9" displayName="Таблица9" ref="A1:G7" tableType="xml" totalsRowShown="0" headerRowDxfId="4" connectionId="5">
  <autoFilter ref="A1:G7" xr:uid="{1A41BD32-B698-4872-A86C-4CAC56B9AD83}"/>
  <tableColumns count="7">
    <tableColumn id="1" xr3:uid="{5E853534-9C69-46FC-A2C5-4B246BD0992E}" uniqueName="PartNumber" name="Part Number">
      <xmlColumnPr mapId="12" xpath="/Connectors/Part/PartNumber" xmlDataType="string"/>
    </tableColumn>
    <tableColumn id="2" xr3:uid="{9FE885CC-1744-4C1C-A2CD-CD274044F84E}" uniqueName="Description" name="Description">
      <xmlColumnPr mapId="12" xpath="/Connectors/Part/Description" xmlDataType="string"/>
    </tableColumn>
    <tableColumn id="3" xr3:uid="{B62F7FA5-31CE-42B0-98F7-AB6EDEF1D975}" uniqueName="Comment" name="Comment" dataDxfId="3">
      <calculatedColumnFormula>A2</calculatedColumnFormula>
      <xmlColumnPr mapId="12" xpath="/Connectors/Part/Comment" xmlDataType="string"/>
    </tableColumn>
    <tableColumn id="4" xr3:uid="{380EC291-D984-459A-9EA9-43539735BE21}" uniqueName="LibraryPath" name="Library Path" dataDxfId="2">
      <calculatedColumnFormula>CONCATENATE("Schematic\Connectors\",E2,".SchLib")</calculatedColumnFormula>
      <xmlColumnPr mapId="12" xpath="/Connectors/Part/LibraryPath" xmlDataType="string"/>
    </tableColumn>
    <tableColumn id="5" xr3:uid="{43D9150A-4AEB-4A49-B4F9-D5A0C121AEE7}" uniqueName="LibraryRef" name="Library Ref">
      <xmlColumnPr mapId="12" xpath="/Connectors/Part/LibraryRef" xmlDataType="string"/>
    </tableColumn>
    <tableColumn id="6" xr3:uid="{AFA88BAC-F0F2-4C7E-9BD7-DEA8B99C1003}" uniqueName="FootprintPath1" name="Footprint Path 1" dataDxfId="1">
      <calculatedColumnFormula>CONCATENATE("Footprints\Connectors\",IF(ISNUMBER(FIND("PLS",A2)),"PLS\",),IF(ISNUMBER(FIND("CWF",A2)),"CWF\",),G2,".PcbLib")</calculatedColumnFormula>
      <xmlColumnPr mapId="12" xpath="/Connectors/Part/FootprintPath1" xmlDataType="string"/>
    </tableColumn>
    <tableColumn id="7" xr3:uid="{2C166BC8-6FB5-4C2F-BF98-47EA0AF5F6A2}" uniqueName="FootprintRef1" name="Footprint Ref 1">
      <calculatedColumnFormula>A2</calculatedColumnFormula>
      <xmlColumnPr mapId="12" xpath="/Connectors/Part/FootprintRef1" xmlDataType="string"/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T10"/>
  <sheetViews>
    <sheetView workbookViewId="0">
      <selection activeCell="E18" sqref="E18"/>
    </sheetView>
  </sheetViews>
  <sheetFormatPr defaultRowHeight="14.5" x14ac:dyDescent="0.35"/>
  <cols>
    <col min="1" max="1" width="17.1796875" customWidth="1"/>
    <col min="2" max="2" width="16.36328125" customWidth="1"/>
    <col min="3" max="3" width="15.81640625" customWidth="1"/>
    <col min="4" max="4" width="44.81640625" customWidth="1"/>
    <col min="5" max="5" width="13.36328125" customWidth="1"/>
    <col min="6" max="6" width="24.90625" customWidth="1"/>
    <col min="7" max="7" width="21.453125" customWidth="1"/>
    <col min="8" max="8" width="21.81640625" customWidth="1"/>
    <col min="9" max="9" width="23.453125" customWidth="1"/>
    <col min="10" max="10" width="16.36328125" customWidth="1"/>
    <col min="11" max="11" width="14.6328125" customWidth="1"/>
  </cols>
  <sheetData>
    <row r="1" spans="1:20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</row>
    <row r="2" spans="1:20" x14ac:dyDescent="0.35">
      <c r="A2" s="2" t="s">
        <v>49</v>
      </c>
      <c r="B2" s="2" t="s">
        <v>50</v>
      </c>
      <c r="C2" s="2" t="str">
        <f>A2</f>
        <v>STM32F407VGT6</v>
      </c>
      <c r="D2" s="2" t="str">
        <f>CONCATENATE("Schematic\",A2,".SchLib")</f>
        <v>Schematic\STM32F407VGT6.SchLib</v>
      </c>
      <c r="E2" s="2" t="str">
        <f>A2</f>
        <v>STM32F407VGT6</v>
      </c>
      <c r="F2" s="2" t="str">
        <f>CONCATENATE("Footprints\",G2,".PcbLib")</f>
        <v>Footprints\LQFP100.PcbLib</v>
      </c>
      <c r="G2" s="2" t="s">
        <v>54</v>
      </c>
    </row>
    <row r="3" spans="1:20" x14ac:dyDescent="0.35">
      <c r="A3" s="2" t="s">
        <v>51</v>
      </c>
      <c r="B3" s="2" t="s">
        <v>52</v>
      </c>
      <c r="C3" s="2" t="str">
        <f>A3</f>
        <v>USBLC6-4</v>
      </c>
      <c r="D3" s="2" t="str">
        <f>CONCATENATE("Schematic\",A3,".SchLib")</f>
        <v>Schematic\USBLC6-4.SchLib</v>
      </c>
      <c r="E3" s="2" t="str">
        <f>A3</f>
        <v>USBLC6-4</v>
      </c>
      <c r="F3" s="2" t="str">
        <f>CONCATENATE("Footprints\",G3,".PcbLib")</f>
        <v>Footprints\SOT23-6.PcbLib</v>
      </c>
      <c r="G3" s="2" t="s">
        <v>53</v>
      </c>
    </row>
    <row r="4" spans="1:20" x14ac:dyDescent="0.35">
      <c r="A4" s="2" t="s">
        <v>77</v>
      </c>
      <c r="B4" s="2" t="s">
        <v>78</v>
      </c>
      <c r="C4" s="2" t="str">
        <f>A4</f>
        <v>MAX485CSA</v>
      </c>
      <c r="D4" s="2" t="str">
        <f>CONCATENATE("Schematic\",A4,".SchLib")</f>
        <v>Schematic\MAX485CSA.SchLib</v>
      </c>
      <c r="E4" s="2" t="str">
        <f>A4</f>
        <v>MAX485CSA</v>
      </c>
      <c r="F4" s="2" t="str">
        <f>CONCATENATE("Footprints\",G4,".PcbLib")</f>
        <v>Footprints\SOIC-8.PcbLib</v>
      </c>
      <c r="G4" s="2" t="s">
        <v>79</v>
      </c>
    </row>
    <row r="5" spans="1:20" x14ac:dyDescent="0.35">
      <c r="A5" t="s">
        <v>90</v>
      </c>
      <c r="B5" t="s">
        <v>50</v>
      </c>
      <c r="C5" s="2" t="str">
        <f t="shared" ref="C5:C10" si="0">A5</f>
        <v>STM32F103C8T6</v>
      </c>
      <c r="D5" t="str">
        <f t="shared" ref="D5:D10" si="1">CONCATENATE("Schematic\",A5,".SchLib")</f>
        <v>Schematic\STM32F103C8T6.SchLib</v>
      </c>
      <c r="E5" t="str">
        <f t="shared" ref="E5:E10" si="2">A5</f>
        <v>STM32F103C8T6</v>
      </c>
      <c r="F5" t="str">
        <f t="shared" ref="F5:F10" si="3">CONCATENATE("Footprints\",G5,".PcbLib")</f>
        <v>Footprints\LQFP48.PcbLib</v>
      </c>
      <c r="G5" t="s">
        <v>91</v>
      </c>
    </row>
    <row r="6" spans="1:20" x14ac:dyDescent="0.35">
      <c r="A6" t="s">
        <v>92</v>
      </c>
      <c r="B6" t="s">
        <v>93</v>
      </c>
      <c r="C6" s="2" t="str">
        <f t="shared" si="0"/>
        <v>LM2594HVM-ADJ</v>
      </c>
      <c r="D6" t="str">
        <f t="shared" si="1"/>
        <v>Schematic\LM2594HVM-ADJ.SchLib</v>
      </c>
      <c r="E6" t="str">
        <f t="shared" si="2"/>
        <v>LM2594HVM-ADJ</v>
      </c>
      <c r="F6" t="str">
        <f t="shared" si="3"/>
        <v>Footprints\SOIC-8.PcbLib</v>
      </c>
      <c r="G6" t="s">
        <v>79</v>
      </c>
    </row>
    <row r="7" spans="1:20" x14ac:dyDescent="0.35">
      <c r="A7" t="s">
        <v>94</v>
      </c>
      <c r="B7" t="s">
        <v>95</v>
      </c>
      <c r="C7" s="2" t="str">
        <f t="shared" si="0"/>
        <v>LD1117S33CTR</v>
      </c>
      <c r="D7" t="str">
        <f t="shared" si="1"/>
        <v>Schematic\LD1117S33CTR.SchLib</v>
      </c>
      <c r="E7" t="str">
        <f t="shared" si="2"/>
        <v>LD1117S33CTR</v>
      </c>
      <c r="F7" t="str">
        <f t="shared" si="3"/>
        <v>Footprints\SOT223.PcbLib</v>
      </c>
      <c r="G7" t="s">
        <v>96</v>
      </c>
    </row>
    <row r="8" spans="1:20" x14ac:dyDescent="0.35">
      <c r="A8" t="s">
        <v>97</v>
      </c>
      <c r="B8" t="s">
        <v>98</v>
      </c>
      <c r="C8" s="2" t="str">
        <f t="shared" si="0"/>
        <v>CD4050B</v>
      </c>
      <c r="D8" t="str">
        <f t="shared" si="1"/>
        <v>Schematic\CD4050B.SchLib</v>
      </c>
      <c r="E8" t="str">
        <f t="shared" si="2"/>
        <v>CD4050B</v>
      </c>
      <c r="F8" t="str">
        <f>CONCATENATE("Footprints\",G8,".PcbLib")</f>
        <v>Footprints\SOIC-16.PcbLib</v>
      </c>
      <c r="G8" t="s">
        <v>490</v>
      </c>
    </row>
    <row r="9" spans="1:20" x14ac:dyDescent="0.35">
      <c r="A9" t="s">
        <v>99</v>
      </c>
      <c r="B9" t="s">
        <v>100</v>
      </c>
      <c r="C9" s="2" t="str">
        <f t="shared" si="0"/>
        <v>ADM2483BRWZ</v>
      </c>
      <c r="D9" t="str">
        <f t="shared" si="1"/>
        <v>Schematic\ADM2483BRWZ.SchLib</v>
      </c>
      <c r="E9" t="str">
        <f t="shared" si="2"/>
        <v>ADM2483BRWZ</v>
      </c>
      <c r="F9" t="str">
        <f t="shared" si="3"/>
        <v>Footprints\SOIC-16W.PcbLib</v>
      </c>
      <c r="G9" t="s">
        <v>101</v>
      </c>
    </row>
    <row r="10" spans="1:20" x14ac:dyDescent="0.35">
      <c r="A10" t="s">
        <v>102</v>
      </c>
      <c r="B10" t="s">
        <v>95</v>
      </c>
      <c r="C10" s="2" t="str">
        <f t="shared" si="0"/>
        <v>LD1117S50CTR</v>
      </c>
      <c r="D10" t="str">
        <f t="shared" si="1"/>
        <v>Schematic\LD1117S50CTR.SchLib</v>
      </c>
      <c r="E10" t="str">
        <f t="shared" si="2"/>
        <v>LD1117S50CTR</v>
      </c>
      <c r="F10" t="str">
        <f t="shared" si="3"/>
        <v>Footprints\SOT223.PcbLib</v>
      </c>
      <c r="G10" t="s">
        <v>96</v>
      </c>
    </row>
  </sheetData>
  <phoneticPr fontId="2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398C48-58C0-43FC-B9F7-EB6794AD5C45}">
  <dimension ref="A1:I2"/>
  <sheetViews>
    <sheetView workbookViewId="0">
      <selection activeCell="I5" sqref="I5"/>
    </sheetView>
  </sheetViews>
  <sheetFormatPr defaultRowHeight="14.5" x14ac:dyDescent="0.35"/>
  <cols>
    <col min="1" max="1" width="13.6328125" customWidth="1"/>
    <col min="2" max="2" width="12.36328125" customWidth="1"/>
    <col min="3" max="3" width="11.1796875" customWidth="1"/>
    <col min="4" max="4" width="13" customWidth="1"/>
    <col min="5" max="5" width="11.90625" customWidth="1"/>
    <col min="6" max="6" width="16.453125" customWidth="1"/>
    <col min="7" max="7" width="15.36328125" customWidth="1"/>
    <col min="8" max="8" width="19.6328125" customWidth="1"/>
    <col min="9" max="9" width="12.1796875" customWidth="1"/>
  </cols>
  <sheetData>
    <row r="1" spans="1:9" x14ac:dyDescent="0.35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69</v>
      </c>
      <c r="I1" t="s">
        <v>85</v>
      </c>
    </row>
    <row r="2" spans="1:9" x14ac:dyDescent="0.35">
      <c r="A2" s="2" t="s">
        <v>86</v>
      </c>
      <c r="B2" s="2" t="str">
        <f>CONCATENATE("Диод шоттки на ", H2," В, номинальный ток ", I2," А")</f>
        <v>Диод шоттки на 30 В, номинальный ток 3 А</v>
      </c>
      <c r="C2" s="2" t="str">
        <f>A2</f>
        <v>SK33</v>
      </c>
      <c r="D2" s="2" t="s">
        <v>87</v>
      </c>
      <c r="E2" s="2" t="s">
        <v>88</v>
      </c>
      <c r="F2" s="2" t="str">
        <f>CONCATENATE("Footprints\",G2,".PcbLib")</f>
        <v>Footprints\SMC.PcbLib</v>
      </c>
      <c r="G2" s="2" t="s">
        <v>89</v>
      </c>
      <c r="H2" s="2">
        <v>30</v>
      </c>
      <c r="I2" s="2">
        <v>3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:K2"/>
  <sheetViews>
    <sheetView workbookViewId="0">
      <selection activeCell="B19" sqref="B19"/>
    </sheetView>
  </sheetViews>
  <sheetFormatPr defaultRowHeight="14.5" x14ac:dyDescent="0.35"/>
  <cols>
    <col min="1" max="1" width="14.81640625" customWidth="1"/>
    <col min="2" max="2" width="45.90625" customWidth="1"/>
    <col min="3" max="3" width="11.1796875" customWidth="1"/>
    <col min="4" max="4" width="13" customWidth="1"/>
    <col min="5" max="5" width="11.90625" customWidth="1"/>
    <col min="6" max="6" width="23.54296875" customWidth="1"/>
    <col min="7" max="7" width="15.36328125" customWidth="1"/>
    <col min="8" max="8" width="19.6328125" customWidth="1"/>
    <col min="9" max="9" width="21.1796875" customWidth="1"/>
    <col min="10" max="10" width="11.81640625" customWidth="1"/>
    <col min="11" max="11" width="8" bestFit="1" customWidth="1"/>
  </cols>
  <sheetData>
    <row r="1" spans="1:11" x14ac:dyDescent="0.35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69</v>
      </c>
      <c r="I1" t="s">
        <v>70</v>
      </c>
      <c r="J1" t="s">
        <v>72</v>
      </c>
      <c r="K1" t="s">
        <v>25</v>
      </c>
    </row>
    <row r="2" spans="1:11" ht="13" customHeight="1" x14ac:dyDescent="0.35">
      <c r="A2" s="2" t="s">
        <v>71</v>
      </c>
      <c r="B2" s="2" t="str">
        <f>CONCATENATE("Стабилитрон на ", H2," В, рассеиваемая мощность ", J2," Вт")</f>
        <v>Стабилитрон на 12 В, рассеиваемая мощность 0.3 Вт</v>
      </c>
      <c r="C2" s="2" t="str">
        <f>A2</f>
        <v>BZX384-C12</v>
      </c>
      <c r="D2" s="2" t="s">
        <v>74</v>
      </c>
      <c r="E2" s="2" t="s">
        <v>75</v>
      </c>
      <c r="F2" s="2" t="str">
        <f>CONCATENATE("Footprints\",G2,".PcbLib")</f>
        <v>Footprints\SOD-323.PcbLib</v>
      </c>
      <c r="G2" s="2" t="s">
        <v>73</v>
      </c>
      <c r="H2" s="2">
        <v>12</v>
      </c>
      <c r="I2" s="2">
        <v>5</v>
      </c>
      <c r="J2" s="2">
        <v>0.3</v>
      </c>
      <c r="K2" s="2" t="str">
        <f>CONCATENATE(H2," В")</f>
        <v>12 В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A1:K4"/>
  <sheetViews>
    <sheetView workbookViewId="0">
      <selection activeCell="J3" sqref="J3"/>
    </sheetView>
  </sheetViews>
  <sheetFormatPr defaultRowHeight="14.5" x14ac:dyDescent="0.35"/>
  <cols>
    <col min="1" max="1" width="20.36328125" customWidth="1"/>
    <col min="2" max="2" width="24.81640625" customWidth="1"/>
    <col min="3" max="3" width="15.81640625" customWidth="1"/>
    <col min="4" max="4" width="26.36328125" customWidth="1"/>
    <col min="5" max="5" width="11.90625" customWidth="1"/>
    <col min="6" max="6" width="16.453125" customWidth="1"/>
    <col min="7" max="7" width="15.36328125" customWidth="1"/>
    <col min="8" max="8" width="19.6328125" customWidth="1"/>
    <col min="9" max="9" width="11.81640625" customWidth="1"/>
    <col min="10" max="10" width="8" bestFit="1" customWidth="1"/>
    <col min="11" max="11" width="10.453125" customWidth="1"/>
  </cols>
  <sheetData>
    <row r="1" spans="1:11" x14ac:dyDescent="0.35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69</v>
      </c>
      <c r="I1" t="s">
        <v>72</v>
      </c>
      <c r="J1" t="s">
        <v>25</v>
      </c>
      <c r="K1" t="s">
        <v>83</v>
      </c>
    </row>
    <row r="2" spans="1:11" x14ac:dyDescent="0.35">
      <c r="A2" t="s">
        <v>76</v>
      </c>
      <c r="B2" t="str">
        <f xml:space="preserve"> IF(K2="RS-485","Защитный диод для линии RS-485",CONCATENATE("Защитный диод на ", H2," В, рассеиваемая мощность ", I2," Вт"))</f>
        <v>Защитный диод на 24 В, рассеиваемая мощность 600 Вт</v>
      </c>
      <c r="C2" t="str">
        <f>A2</f>
        <v>SMBJ24A</v>
      </c>
      <c r="D2" t="str">
        <f>CONCATENATE("Schematic\TVS\",E2,".SchLib")</f>
        <v>Schematic\TVS\TVS_1_1dir.SchLib</v>
      </c>
      <c r="E2" t="s">
        <v>81</v>
      </c>
      <c r="F2" t="str">
        <f>CONCATENATE("Footprints\",G2,".PcbLib")</f>
        <v>Footprints\SOT23-3.PcbLib</v>
      </c>
      <c r="G2" t="s">
        <v>18</v>
      </c>
      <c r="H2">
        <v>24</v>
      </c>
      <c r="I2">
        <v>600</v>
      </c>
      <c r="J2" t="str">
        <f t="shared" ref="J2:J4" si="0" xml:space="preserve"> CONCATENATE(H2," В")</f>
        <v>24 В</v>
      </c>
    </row>
    <row r="3" spans="1:11" x14ac:dyDescent="0.35">
      <c r="A3" t="s">
        <v>80</v>
      </c>
      <c r="B3" t="str">
        <f xml:space="preserve"> IF(K3="RS-485","Защитный диод для линии RS-485",CONCATENATE("Защитный диод на ", H3," В, рассеиваемая мощность ", I3," Вт"))</f>
        <v>Защитный диод для линии RS-485</v>
      </c>
      <c r="C3" t="str">
        <f>A3</f>
        <v>PSM712</v>
      </c>
      <c r="D3" t="str">
        <f>CONCATENATE("Schematic\TVS\",E3,".SchLib")</f>
        <v>Schematic\TVS\TVS_2_2dir.SchLib</v>
      </c>
      <c r="E3" t="s">
        <v>82</v>
      </c>
      <c r="F3" t="str">
        <f>CONCATENATE("Footprints\",G3,".PcbLib")</f>
        <v>Footprints\SOT23-3.PcbLib</v>
      </c>
      <c r="G3" t="s">
        <v>18</v>
      </c>
      <c r="K3" t="s">
        <v>84</v>
      </c>
    </row>
    <row r="4" spans="1:11" x14ac:dyDescent="0.35">
      <c r="A4" t="s">
        <v>131</v>
      </c>
      <c r="B4" t="str">
        <f xml:space="preserve"> IF(K4="RS-485","Защитный диод для линии RS-485",CONCATENATE("Защитный диод на ", H4," В, рассеиваемая мощность ", I4," Вт"))</f>
        <v>Защитный диод на 12 В, рассеиваемая мощность 400 Вт</v>
      </c>
      <c r="C4" t="str">
        <f>A4</f>
        <v>SMAJ12CA</v>
      </c>
      <c r="D4" t="str">
        <f>CONCATENATE("Schematic\TVS\",E4,".SchLib")</f>
        <v>Schematic\TVS\TVS_1_1dir.SchLib</v>
      </c>
      <c r="E4" t="s">
        <v>81</v>
      </c>
      <c r="F4" t="str">
        <f>CONCATENATE("Footprints\",G4,".PcbLib")</f>
        <v>Footprints\SMA.PcbLib</v>
      </c>
      <c r="G4" t="s">
        <v>132</v>
      </c>
      <c r="H4">
        <v>12</v>
      </c>
      <c r="I4">
        <v>400</v>
      </c>
      <c r="J4" t="str">
        <f t="shared" si="0"/>
        <v>12 В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/>
  <dimension ref="A1:S6"/>
  <sheetViews>
    <sheetView workbookViewId="0">
      <selection activeCell="F2" sqref="F2"/>
    </sheetView>
  </sheetViews>
  <sheetFormatPr defaultRowHeight="14.5" x14ac:dyDescent="0.35"/>
  <cols>
    <col min="1" max="1" width="14.90625" customWidth="1"/>
    <col min="2" max="2" width="22" bestFit="1" customWidth="1"/>
    <col min="3" max="3" width="12.36328125" bestFit="1" customWidth="1"/>
    <col min="4" max="4" width="35.81640625" bestFit="1" customWidth="1"/>
    <col min="5" max="5" width="20.453125" bestFit="1" customWidth="1"/>
    <col min="6" max="6" width="23.08984375" bestFit="1" customWidth="1"/>
    <col min="7" max="7" width="16.90625" customWidth="1"/>
    <col min="8" max="8" width="29.81640625" bestFit="1" customWidth="1"/>
    <col min="9" max="9" width="16.90625" customWidth="1"/>
  </cols>
  <sheetData>
    <row r="1" spans="1:19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/>
      <c r="K1" s="1"/>
      <c r="L1" s="1"/>
      <c r="M1" s="1"/>
      <c r="N1" s="1"/>
      <c r="O1" s="1"/>
      <c r="P1" s="1"/>
      <c r="Q1" s="1"/>
      <c r="R1" s="1"/>
      <c r="S1" s="1"/>
    </row>
    <row r="2" spans="1:19" ht="15.5" x14ac:dyDescent="0.35">
      <c r="A2" s="3" t="s">
        <v>4</v>
      </c>
      <c r="B2" s="3" t="s">
        <v>5</v>
      </c>
      <c r="C2" s="2" t="str">
        <f>A2</f>
        <v>50N06</v>
      </c>
      <c r="D2" s="3" t="s">
        <v>10</v>
      </c>
      <c r="E2" s="3" t="s">
        <v>11</v>
      </c>
      <c r="F2" s="2" t="str">
        <f>CONCATENATE("Footprints\",G2,".PcbLib")</f>
        <v>Footprints\DPAK.PcbLib</v>
      </c>
      <c r="G2" s="3" t="s">
        <v>6</v>
      </c>
      <c r="H2" s="2" t="str">
        <f>CONCATENATE("Footprints\",I2,".PcbLib")</f>
        <v>Footprints\DPAK_termopad.PcbLib</v>
      </c>
      <c r="I2" s="2" t="s">
        <v>7</v>
      </c>
    </row>
    <row r="3" spans="1:19" ht="15.5" x14ac:dyDescent="0.35">
      <c r="A3" s="3" t="s">
        <v>15</v>
      </c>
      <c r="B3" s="3" t="s">
        <v>5</v>
      </c>
      <c r="C3" s="2" t="str">
        <f>A3</f>
        <v>100N03A</v>
      </c>
      <c r="D3" s="3" t="s">
        <v>10</v>
      </c>
      <c r="E3" s="3" t="s">
        <v>11</v>
      </c>
      <c r="F3" s="2" t="str">
        <f>CONCATENATE("Footprints\",G3,".PcbLib")</f>
        <v>Footprints\DPAK.PcbLib</v>
      </c>
      <c r="G3" s="3" t="s">
        <v>6</v>
      </c>
      <c r="H3" s="2" t="str">
        <f>CONCATENATE("Footprints\",I3,".PcbLib")</f>
        <v>Footprints\DPAK_termopad.PcbLib</v>
      </c>
      <c r="I3" s="2" t="s">
        <v>7</v>
      </c>
    </row>
    <row r="4" spans="1:19" ht="15.5" x14ac:dyDescent="0.35">
      <c r="A4" s="3" t="s">
        <v>16</v>
      </c>
      <c r="B4" s="3" t="s">
        <v>5</v>
      </c>
      <c r="C4" s="2" t="str">
        <f>A4</f>
        <v>AO3400A</v>
      </c>
      <c r="D4" s="3" t="s">
        <v>10</v>
      </c>
      <c r="E4" s="3" t="s">
        <v>17</v>
      </c>
      <c r="F4" s="2" t="str">
        <f>CONCATENATE("Footprints\",G4,".PcbLib")</f>
        <v>Footprints\SOT23-3.PcbLib</v>
      </c>
      <c r="G4" s="3" t="s">
        <v>18</v>
      </c>
      <c r="H4" s="3"/>
      <c r="I4" s="2"/>
    </row>
    <row r="5" spans="1:19" ht="15.5" x14ac:dyDescent="0.35">
      <c r="A5" s="3" t="s">
        <v>19</v>
      </c>
      <c r="B5" s="3" t="s">
        <v>21</v>
      </c>
      <c r="C5" s="2" t="str">
        <f>A5</f>
        <v>AO3401A</v>
      </c>
      <c r="D5" s="3" t="s">
        <v>20</v>
      </c>
      <c r="E5" s="3" t="s">
        <v>22</v>
      </c>
      <c r="F5" s="2" t="str">
        <f>CONCATENATE("Footprints\",G5,".PcbLib")</f>
        <v>Footprints\SOT23-3.PcbLib</v>
      </c>
      <c r="G5" s="3" t="s">
        <v>18</v>
      </c>
      <c r="H5" s="2"/>
      <c r="I5" s="2"/>
    </row>
    <row r="6" spans="1:19" ht="15.5" x14ac:dyDescent="0.35">
      <c r="A6" s="3" t="s">
        <v>23</v>
      </c>
      <c r="B6" s="3" t="s">
        <v>21</v>
      </c>
      <c r="C6" s="2" t="str">
        <f>A6</f>
        <v>SUD50P06-15</v>
      </c>
      <c r="D6" s="3" t="s">
        <v>20</v>
      </c>
      <c r="E6" s="3" t="s">
        <v>24</v>
      </c>
      <c r="F6" s="2" t="str">
        <f>CONCATENATE("Footprints\",G6,".PcbLib")</f>
        <v>Footprints\DPAK.PcbLib</v>
      </c>
      <c r="G6" s="3" t="s">
        <v>6</v>
      </c>
      <c r="H6" s="2" t="str">
        <f>CONCATENATE("Footprints\",I6,".PcbLib")</f>
        <v>Footprints\DPAK_termopad.PcbLib</v>
      </c>
      <c r="I6" s="2" t="s">
        <v>7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5"/>
  <dimension ref="A1:N170"/>
  <sheetViews>
    <sheetView tabSelected="1" topLeftCell="D1" workbookViewId="0">
      <selection activeCell="K9" sqref="K9"/>
    </sheetView>
  </sheetViews>
  <sheetFormatPr defaultRowHeight="14.5" x14ac:dyDescent="0.35"/>
  <cols>
    <col min="1" max="1" width="25.1796875" customWidth="1"/>
    <col min="2" max="2" width="13.54296875" customWidth="1"/>
    <col min="3" max="3" width="12" customWidth="1"/>
    <col min="4" max="4" width="14.08984375" customWidth="1"/>
    <col min="5" max="5" width="12.81640625" customWidth="1"/>
    <col min="6" max="6" width="8.26953125" bestFit="1" customWidth="1"/>
    <col min="7" max="7" width="12.81640625" customWidth="1"/>
    <col min="8" max="8" width="16.90625" customWidth="1"/>
    <col min="9" max="9" width="18.1796875" customWidth="1"/>
    <col min="10" max="10" width="16.90625" customWidth="1"/>
    <col min="11" max="11" width="18.1796875" customWidth="1"/>
    <col min="12" max="12" width="16.90625" customWidth="1"/>
    <col min="13" max="13" width="18.1796875" customWidth="1"/>
    <col min="14" max="14" width="16.90625" customWidth="1"/>
  </cols>
  <sheetData>
    <row r="1" spans="1:14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25</v>
      </c>
      <c r="G1" s="1" t="s">
        <v>489</v>
      </c>
      <c r="H1" s="1" t="s">
        <v>12</v>
      </c>
      <c r="I1" s="1" t="s">
        <v>8</v>
      </c>
      <c r="J1" s="1"/>
      <c r="K1" s="1"/>
      <c r="L1" s="1"/>
      <c r="M1" s="1"/>
      <c r="N1" s="1"/>
    </row>
    <row r="2" spans="1:14" ht="15.5" x14ac:dyDescent="0.35">
      <c r="A2" s="3" t="s">
        <v>135</v>
      </c>
      <c r="B2" s="3" t="s">
        <v>136</v>
      </c>
      <c r="C2" s="3" t="s">
        <v>26</v>
      </c>
      <c r="D2" s="3" t="s">
        <v>29</v>
      </c>
      <c r="E2" s="3" t="s">
        <v>26</v>
      </c>
      <c r="F2" s="5" t="s">
        <v>137</v>
      </c>
      <c r="G2" s="4">
        <v>0.01</v>
      </c>
      <c r="H2" s="3" t="s">
        <v>138</v>
      </c>
      <c r="I2" s="3" t="s">
        <v>32</v>
      </c>
      <c r="K2" s="2"/>
    </row>
    <row r="3" spans="1:14" ht="15.5" x14ac:dyDescent="0.35">
      <c r="A3" s="3" t="s">
        <v>139</v>
      </c>
      <c r="B3" s="3" t="s">
        <v>140</v>
      </c>
      <c r="C3" s="3" t="s">
        <v>26</v>
      </c>
      <c r="D3" s="3" t="s">
        <v>29</v>
      </c>
      <c r="E3" s="3" t="s">
        <v>26</v>
      </c>
      <c r="F3" s="6" t="s">
        <v>141</v>
      </c>
      <c r="G3" s="4">
        <v>0.01</v>
      </c>
      <c r="H3" s="3" t="s">
        <v>138</v>
      </c>
      <c r="I3" s="3" t="s">
        <v>32</v>
      </c>
      <c r="K3" s="2"/>
    </row>
    <row r="4" spans="1:14" ht="15.5" x14ac:dyDescent="0.35">
      <c r="A4" s="3" t="s">
        <v>142</v>
      </c>
      <c r="B4" s="3" t="s">
        <v>143</v>
      </c>
      <c r="C4" s="3" t="s">
        <v>26</v>
      </c>
      <c r="D4" s="3" t="s">
        <v>29</v>
      </c>
      <c r="E4" s="3" t="s">
        <v>26</v>
      </c>
      <c r="F4" s="5" t="s">
        <v>144</v>
      </c>
      <c r="G4" s="4">
        <v>0.01</v>
      </c>
      <c r="H4" s="3" t="s">
        <v>138</v>
      </c>
      <c r="I4" s="3" t="s">
        <v>32</v>
      </c>
      <c r="K4" s="2"/>
    </row>
    <row r="5" spans="1:14" ht="15.5" x14ac:dyDescent="0.35">
      <c r="A5" s="3" t="s">
        <v>145</v>
      </c>
      <c r="B5" s="3" t="s">
        <v>146</v>
      </c>
      <c r="C5" s="3" t="s">
        <v>26</v>
      </c>
      <c r="D5" s="3" t="s">
        <v>29</v>
      </c>
      <c r="E5" s="3" t="s">
        <v>26</v>
      </c>
      <c r="F5" s="6" t="s">
        <v>147</v>
      </c>
      <c r="G5" s="4">
        <v>0.01</v>
      </c>
      <c r="H5" s="3" t="s">
        <v>138</v>
      </c>
      <c r="I5" s="3" t="s">
        <v>32</v>
      </c>
      <c r="K5" s="2"/>
    </row>
    <row r="6" spans="1:14" ht="15.5" x14ac:dyDescent="0.35">
      <c r="A6" s="3" t="s">
        <v>148</v>
      </c>
      <c r="B6" s="3" t="s">
        <v>149</v>
      </c>
      <c r="C6" s="3" t="s">
        <v>26</v>
      </c>
      <c r="D6" s="3" t="s">
        <v>29</v>
      </c>
      <c r="E6" s="3" t="s">
        <v>26</v>
      </c>
      <c r="F6" s="5" t="s">
        <v>150</v>
      </c>
      <c r="G6" s="4">
        <v>0.01</v>
      </c>
      <c r="H6" s="3" t="s">
        <v>138</v>
      </c>
      <c r="I6" s="3" t="s">
        <v>32</v>
      </c>
      <c r="K6" s="2"/>
    </row>
    <row r="7" spans="1:14" ht="15.5" x14ac:dyDescent="0.35">
      <c r="A7" s="3" t="s">
        <v>151</v>
      </c>
      <c r="B7" s="3" t="s">
        <v>152</v>
      </c>
      <c r="C7" s="3" t="s">
        <v>26</v>
      </c>
      <c r="D7" s="3" t="s">
        <v>29</v>
      </c>
      <c r="E7" s="3" t="s">
        <v>26</v>
      </c>
      <c r="F7" s="6" t="s">
        <v>153</v>
      </c>
      <c r="G7" s="4">
        <v>0.01</v>
      </c>
      <c r="H7" s="3" t="s">
        <v>138</v>
      </c>
      <c r="I7" s="3" t="s">
        <v>32</v>
      </c>
      <c r="K7" s="2"/>
    </row>
    <row r="8" spans="1:14" ht="15.5" x14ac:dyDescent="0.35">
      <c r="A8" s="3" t="s">
        <v>154</v>
      </c>
      <c r="B8" s="3" t="s">
        <v>155</v>
      </c>
      <c r="C8" s="3" t="s">
        <v>26</v>
      </c>
      <c r="D8" s="3" t="s">
        <v>29</v>
      </c>
      <c r="E8" s="3" t="s">
        <v>26</v>
      </c>
      <c r="F8" s="5" t="s">
        <v>156</v>
      </c>
      <c r="G8" s="4">
        <v>0.01</v>
      </c>
      <c r="H8" s="3" t="s">
        <v>138</v>
      </c>
      <c r="I8" s="3" t="s">
        <v>32</v>
      </c>
      <c r="K8" s="2"/>
    </row>
    <row r="9" spans="1:14" ht="15.5" x14ac:dyDescent="0.35">
      <c r="A9" s="3" t="s">
        <v>157</v>
      </c>
      <c r="B9" s="3" t="s">
        <v>158</v>
      </c>
      <c r="C9" s="3" t="s">
        <v>26</v>
      </c>
      <c r="D9" s="3" t="s">
        <v>29</v>
      </c>
      <c r="E9" s="3" t="s">
        <v>26</v>
      </c>
      <c r="F9" s="6" t="s">
        <v>159</v>
      </c>
      <c r="G9" s="4">
        <v>0.01</v>
      </c>
      <c r="H9" s="3" t="s">
        <v>138</v>
      </c>
      <c r="I9" s="3" t="s">
        <v>32</v>
      </c>
      <c r="K9" s="2"/>
    </row>
    <row r="10" spans="1:14" ht="15.5" x14ac:dyDescent="0.35">
      <c r="A10" s="3" t="s">
        <v>160</v>
      </c>
      <c r="B10" s="3" t="s">
        <v>161</v>
      </c>
      <c r="C10" s="3" t="s">
        <v>26</v>
      </c>
      <c r="D10" s="3" t="s">
        <v>29</v>
      </c>
      <c r="E10" s="3" t="s">
        <v>26</v>
      </c>
      <c r="F10" s="5" t="s">
        <v>162</v>
      </c>
      <c r="G10" s="4">
        <v>0.01</v>
      </c>
      <c r="H10" s="3" t="s">
        <v>138</v>
      </c>
      <c r="I10" s="3" t="s">
        <v>32</v>
      </c>
      <c r="K10" s="2"/>
    </row>
    <row r="11" spans="1:14" ht="15.5" x14ac:dyDescent="0.35">
      <c r="A11" s="3" t="s">
        <v>163</v>
      </c>
      <c r="B11" s="3" t="s">
        <v>164</v>
      </c>
      <c r="C11" s="3" t="s">
        <v>26</v>
      </c>
      <c r="D11" s="3" t="s">
        <v>29</v>
      </c>
      <c r="E11" s="3" t="s">
        <v>26</v>
      </c>
      <c r="F11" s="6" t="s">
        <v>165</v>
      </c>
      <c r="G11" s="4">
        <v>0.01</v>
      </c>
      <c r="H11" s="3" t="s">
        <v>138</v>
      </c>
      <c r="I11" s="3" t="s">
        <v>32</v>
      </c>
      <c r="K11" s="2"/>
    </row>
    <row r="12" spans="1:14" ht="15.5" x14ac:dyDescent="0.35">
      <c r="A12" s="3" t="s">
        <v>166</v>
      </c>
      <c r="B12" s="3" t="s">
        <v>167</v>
      </c>
      <c r="C12" s="3" t="s">
        <v>26</v>
      </c>
      <c r="D12" s="3" t="s">
        <v>29</v>
      </c>
      <c r="E12" s="3" t="s">
        <v>26</v>
      </c>
      <c r="F12" s="5" t="s">
        <v>498</v>
      </c>
      <c r="G12" s="4">
        <v>0.01</v>
      </c>
      <c r="H12" s="3" t="s">
        <v>138</v>
      </c>
      <c r="I12" s="3" t="s">
        <v>32</v>
      </c>
      <c r="K12" s="2"/>
    </row>
    <row r="13" spans="1:14" ht="15.5" x14ac:dyDescent="0.35">
      <c r="A13" s="3" t="s">
        <v>168</v>
      </c>
      <c r="B13" s="3" t="s">
        <v>169</v>
      </c>
      <c r="C13" s="3" t="s">
        <v>26</v>
      </c>
      <c r="D13" s="3" t="s">
        <v>29</v>
      </c>
      <c r="E13" s="3" t="s">
        <v>26</v>
      </c>
      <c r="F13" s="6" t="s">
        <v>499</v>
      </c>
      <c r="G13" s="4">
        <v>0.01</v>
      </c>
      <c r="H13" s="3" t="s">
        <v>138</v>
      </c>
      <c r="I13" s="3" t="s">
        <v>32</v>
      </c>
      <c r="K13" s="2"/>
    </row>
    <row r="14" spans="1:14" ht="15.5" x14ac:dyDescent="0.35">
      <c r="A14" s="3" t="s">
        <v>170</v>
      </c>
      <c r="B14" s="3" t="s">
        <v>171</v>
      </c>
      <c r="C14" s="3" t="s">
        <v>26</v>
      </c>
      <c r="D14" s="3" t="s">
        <v>29</v>
      </c>
      <c r="E14" s="3" t="s">
        <v>26</v>
      </c>
      <c r="F14" s="5" t="s">
        <v>500</v>
      </c>
      <c r="G14" s="4">
        <v>0.01</v>
      </c>
      <c r="H14" s="3" t="s">
        <v>138</v>
      </c>
      <c r="I14" s="3" t="s">
        <v>32</v>
      </c>
      <c r="K14" s="2"/>
    </row>
    <row r="15" spans="1:14" ht="15.5" x14ac:dyDescent="0.35">
      <c r="A15" s="3" t="s">
        <v>172</v>
      </c>
      <c r="B15" s="3" t="s">
        <v>173</v>
      </c>
      <c r="C15" s="3" t="s">
        <v>26</v>
      </c>
      <c r="D15" s="3" t="s">
        <v>29</v>
      </c>
      <c r="E15" s="3" t="s">
        <v>26</v>
      </c>
      <c r="F15" s="6" t="s">
        <v>501</v>
      </c>
      <c r="G15" s="4">
        <v>0.01</v>
      </c>
      <c r="H15" s="3" t="s">
        <v>138</v>
      </c>
      <c r="I15" s="3" t="s">
        <v>32</v>
      </c>
      <c r="K15" s="2"/>
    </row>
    <row r="16" spans="1:14" ht="15.5" x14ac:dyDescent="0.35">
      <c r="A16" s="3" t="s">
        <v>174</v>
      </c>
      <c r="B16" s="3" t="s">
        <v>175</v>
      </c>
      <c r="C16" s="3" t="s">
        <v>26</v>
      </c>
      <c r="D16" s="3" t="s">
        <v>29</v>
      </c>
      <c r="E16" s="3" t="s">
        <v>26</v>
      </c>
      <c r="F16" s="5" t="s">
        <v>502</v>
      </c>
      <c r="G16" s="4">
        <v>0.01</v>
      </c>
      <c r="H16" s="3" t="s">
        <v>138</v>
      </c>
      <c r="I16" s="3" t="s">
        <v>32</v>
      </c>
      <c r="K16" s="2"/>
    </row>
    <row r="17" spans="1:11" ht="15.5" x14ac:dyDescent="0.35">
      <c r="A17" s="3" t="s">
        <v>176</v>
      </c>
      <c r="B17" s="3" t="s">
        <v>177</v>
      </c>
      <c r="C17" s="3" t="s">
        <v>26</v>
      </c>
      <c r="D17" s="3" t="s">
        <v>29</v>
      </c>
      <c r="E17" s="3" t="s">
        <v>26</v>
      </c>
      <c r="F17" s="6" t="s">
        <v>503</v>
      </c>
      <c r="G17" s="4">
        <v>0.01</v>
      </c>
      <c r="H17" s="3" t="s">
        <v>138</v>
      </c>
      <c r="I17" s="3" t="s">
        <v>32</v>
      </c>
      <c r="K17" s="2"/>
    </row>
    <row r="18" spans="1:11" ht="15.5" x14ac:dyDescent="0.35">
      <c r="A18" s="3" t="s">
        <v>178</v>
      </c>
      <c r="B18" s="3" t="s">
        <v>179</v>
      </c>
      <c r="C18" s="3" t="s">
        <v>26</v>
      </c>
      <c r="D18" s="3" t="s">
        <v>29</v>
      </c>
      <c r="E18" s="3" t="s">
        <v>26</v>
      </c>
      <c r="F18" s="5" t="s">
        <v>504</v>
      </c>
      <c r="G18" s="4">
        <v>0.01</v>
      </c>
      <c r="H18" s="3" t="s">
        <v>138</v>
      </c>
      <c r="I18" s="3" t="s">
        <v>32</v>
      </c>
      <c r="K18" s="2"/>
    </row>
    <row r="19" spans="1:11" ht="15.5" x14ac:dyDescent="0.35">
      <c r="A19" s="3" t="s">
        <v>180</v>
      </c>
      <c r="B19" s="3" t="s">
        <v>181</v>
      </c>
      <c r="C19" s="3" t="s">
        <v>26</v>
      </c>
      <c r="D19" s="3" t="s">
        <v>29</v>
      </c>
      <c r="E19" s="3" t="s">
        <v>26</v>
      </c>
      <c r="F19" s="6" t="s">
        <v>182</v>
      </c>
      <c r="G19" s="4">
        <v>0.01</v>
      </c>
      <c r="H19" s="3" t="s">
        <v>138</v>
      </c>
      <c r="I19" s="3" t="s">
        <v>32</v>
      </c>
      <c r="K19" s="2"/>
    </row>
    <row r="20" spans="1:11" ht="15.5" x14ac:dyDescent="0.35">
      <c r="A20" s="3" t="s">
        <v>183</v>
      </c>
      <c r="B20" s="3" t="s">
        <v>184</v>
      </c>
      <c r="C20" s="3" t="s">
        <v>26</v>
      </c>
      <c r="D20" s="3" t="s">
        <v>29</v>
      </c>
      <c r="E20" s="3" t="s">
        <v>26</v>
      </c>
      <c r="F20" s="5" t="s">
        <v>185</v>
      </c>
      <c r="G20" s="4">
        <v>0.01</v>
      </c>
      <c r="H20" s="3" t="s">
        <v>138</v>
      </c>
      <c r="I20" s="3" t="s">
        <v>32</v>
      </c>
      <c r="K20" s="2"/>
    </row>
    <row r="21" spans="1:11" ht="15.5" x14ac:dyDescent="0.35">
      <c r="A21" s="3" t="s">
        <v>186</v>
      </c>
      <c r="B21" s="3" t="s">
        <v>187</v>
      </c>
      <c r="C21" s="3" t="s">
        <v>26</v>
      </c>
      <c r="D21" s="3" t="s">
        <v>29</v>
      </c>
      <c r="E21" s="3" t="s">
        <v>26</v>
      </c>
      <c r="F21" s="6" t="s">
        <v>188</v>
      </c>
      <c r="G21" s="4">
        <v>0.01</v>
      </c>
      <c r="H21" s="3" t="s">
        <v>138</v>
      </c>
      <c r="I21" s="3" t="s">
        <v>32</v>
      </c>
      <c r="K21" s="2"/>
    </row>
    <row r="22" spans="1:11" ht="15.5" x14ac:dyDescent="0.35">
      <c r="A22" s="3" t="s">
        <v>189</v>
      </c>
      <c r="B22" s="3" t="s">
        <v>190</v>
      </c>
      <c r="C22" s="3" t="s">
        <v>26</v>
      </c>
      <c r="D22" s="3" t="s">
        <v>29</v>
      </c>
      <c r="E22" s="3" t="s">
        <v>26</v>
      </c>
      <c r="F22" s="5" t="s">
        <v>191</v>
      </c>
      <c r="G22" s="4">
        <v>0.01</v>
      </c>
      <c r="H22" s="3" t="s">
        <v>138</v>
      </c>
      <c r="I22" s="3" t="s">
        <v>32</v>
      </c>
      <c r="K22" s="2"/>
    </row>
    <row r="23" spans="1:11" ht="15.5" x14ac:dyDescent="0.35">
      <c r="A23" s="3" t="s">
        <v>192</v>
      </c>
      <c r="B23" s="3" t="s">
        <v>193</v>
      </c>
      <c r="C23" s="3" t="s">
        <v>26</v>
      </c>
      <c r="D23" s="3" t="s">
        <v>29</v>
      </c>
      <c r="E23" s="3" t="s">
        <v>26</v>
      </c>
      <c r="F23" s="6" t="s">
        <v>194</v>
      </c>
      <c r="G23" s="4">
        <v>0.01</v>
      </c>
      <c r="H23" s="3" t="s">
        <v>138</v>
      </c>
      <c r="I23" s="3" t="s">
        <v>32</v>
      </c>
      <c r="K23" s="2"/>
    </row>
    <row r="24" spans="1:11" ht="15.5" x14ac:dyDescent="0.35">
      <c r="A24" s="3" t="s">
        <v>195</v>
      </c>
      <c r="B24" s="3" t="s">
        <v>196</v>
      </c>
      <c r="C24" s="3" t="s">
        <v>26</v>
      </c>
      <c r="D24" s="3" t="s">
        <v>29</v>
      </c>
      <c r="E24" s="3" t="s">
        <v>26</v>
      </c>
      <c r="F24" s="5" t="s">
        <v>197</v>
      </c>
      <c r="G24" s="4">
        <v>0.01</v>
      </c>
      <c r="H24" s="3" t="s">
        <v>138</v>
      </c>
      <c r="I24" s="3" t="s">
        <v>32</v>
      </c>
      <c r="K24" s="2"/>
    </row>
    <row r="25" spans="1:11" ht="15.5" x14ac:dyDescent="0.35">
      <c r="A25" s="3" t="s">
        <v>198</v>
      </c>
      <c r="B25" s="3" t="s">
        <v>199</v>
      </c>
      <c r="C25" s="3" t="s">
        <v>26</v>
      </c>
      <c r="D25" s="3" t="s">
        <v>29</v>
      </c>
      <c r="E25" s="3" t="s">
        <v>26</v>
      </c>
      <c r="F25" s="6" t="s">
        <v>200</v>
      </c>
      <c r="G25" s="4">
        <v>0.01</v>
      </c>
      <c r="H25" s="3" t="s">
        <v>138</v>
      </c>
      <c r="I25" s="3" t="s">
        <v>32</v>
      </c>
      <c r="K25" s="2"/>
    </row>
    <row r="26" spans="1:11" ht="15.5" x14ac:dyDescent="0.35">
      <c r="A26" s="3" t="s">
        <v>201</v>
      </c>
      <c r="B26" s="3" t="s">
        <v>202</v>
      </c>
      <c r="C26" s="3" t="s">
        <v>26</v>
      </c>
      <c r="D26" s="3" t="s">
        <v>29</v>
      </c>
      <c r="E26" s="3" t="s">
        <v>26</v>
      </c>
      <c r="F26" s="5">
        <v>10</v>
      </c>
      <c r="G26" s="4">
        <v>0.01</v>
      </c>
      <c r="H26" s="3" t="s">
        <v>138</v>
      </c>
      <c r="I26" s="3" t="s">
        <v>32</v>
      </c>
      <c r="K26" s="2"/>
    </row>
    <row r="27" spans="1:11" ht="15.5" x14ac:dyDescent="0.35">
      <c r="A27" s="3" t="s">
        <v>203</v>
      </c>
      <c r="B27" s="3" t="s">
        <v>204</v>
      </c>
      <c r="C27" s="3" t="s">
        <v>26</v>
      </c>
      <c r="D27" s="3" t="s">
        <v>29</v>
      </c>
      <c r="E27" s="3" t="s">
        <v>26</v>
      </c>
      <c r="F27" s="6">
        <v>11</v>
      </c>
      <c r="G27" s="4">
        <v>0.01</v>
      </c>
      <c r="H27" s="3" t="s">
        <v>138</v>
      </c>
      <c r="I27" s="3" t="s">
        <v>32</v>
      </c>
      <c r="K27" s="2"/>
    </row>
    <row r="28" spans="1:11" ht="15.5" x14ac:dyDescent="0.35">
      <c r="A28" s="3" t="s">
        <v>205</v>
      </c>
      <c r="B28" s="3" t="s">
        <v>206</v>
      </c>
      <c r="C28" s="3" t="s">
        <v>26</v>
      </c>
      <c r="D28" s="3" t="s">
        <v>29</v>
      </c>
      <c r="E28" s="3" t="s">
        <v>26</v>
      </c>
      <c r="F28" s="5">
        <v>12</v>
      </c>
      <c r="G28" s="4">
        <v>0.01</v>
      </c>
      <c r="H28" s="3" t="s">
        <v>138</v>
      </c>
      <c r="I28" s="3" t="s">
        <v>32</v>
      </c>
      <c r="K28" s="2"/>
    </row>
    <row r="29" spans="1:11" ht="15.5" x14ac:dyDescent="0.35">
      <c r="A29" s="3" t="s">
        <v>207</v>
      </c>
      <c r="B29" s="3" t="s">
        <v>208</v>
      </c>
      <c r="C29" s="3" t="s">
        <v>26</v>
      </c>
      <c r="D29" s="3" t="s">
        <v>29</v>
      </c>
      <c r="E29" s="3" t="s">
        <v>26</v>
      </c>
      <c r="F29" s="6">
        <v>13</v>
      </c>
      <c r="G29" s="4">
        <v>0.01</v>
      </c>
      <c r="H29" s="3" t="s">
        <v>138</v>
      </c>
      <c r="I29" s="3" t="s">
        <v>32</v>
      </c>
      <c r="K29" s="2"/>
    </row>
    <row r="30" spans="1:11" ht="15.5" x14ac:dyDescent="0.35">
      <c r="A30" s="3" t="s">
        <v>209</v>
      </c>
      <c r="B30" s="3" t="s">
        <v>210</v>
      </c>
      <c r="C30" s="3" t="s">
        <v>26</v>
      </c>
      <c r="D30" s="3" t="s">
        <v>29</v>
      </c>
      <c r="E30" s="3" t="s">
        <v>26</v>
      </c>
      <c r="F30" s="5">
        <v>15</v>
      </c>
      <c r="G30" s="4">
        <v>0.01</v>
      </c>
      <c r="H30" s="3" t="s">
        <v>138</v>
      </c>
      <c r="I30" s="3" t="s">
        <v>32</v>
      </c>
      <c r="K30" s="2"/>
    </row>
    <row r="31" spans="1:11" ht="15.5" x14ac:dyDescent="0.35">
      <c r="A31" s="3" t="s">
        <v>211</v>
      </c>
      <c r="B31" s="3" t="s">
        <v>212</v>
      </c>
      <c r="C31" s="3" t="s">
        <v>26</v>
      </c>
      <c r="D31" s="3" t="s">
        <v>29</v>
      </c>
      <c r="E31" s="3" t="s">
        <v>26</v>
      </c>
      <c r="F31" s="6">
        <v>16</v>
      </c>
      <c r="G31" s="4">
        <v>0.01</v>
      </c>
      <c r="H31" s="3" t="s">
        <v>138</v>
      </c>
      <c r="I31" s="3" t="s">
        <v>32</v>
      </c>
      <c r="K31" s="2"/>
    </row>
    <row r="32" spans="1:11" ht="15.5" x14ac:dyDescent="0.35">
      <c r="A32" s="3" t="s">
        <v>213</v>
      </c>
      <c r="B32" s="3" t="s">
        <v>214</v>
      </c>
      <c r="C32" s="3" t="s">
        <v>26</v>
      </c>
      <c r="D32" s="3" t="s">
        <v>29</v>
      </c>
      <c r="E32" s="3" t="s">
        <v>26</v>
      </c>
      <c r="F32" s="5">
        <v>18</v>
      </c>
      <c r="G32" s="4">
        <v>0.01</v>
      </c>
      <c r="H32" s="3" t="s">
        <v>138</v>
      </c>
      <c r="I32" s="3" t="s">
        <v>32</v>
      </c>
      <c r="K32" s="2"/>
    </row>
    <row r="33" spans="1:11" ht="15.5" x14ac:dyDescent="0.35">
      <c r="A33" s="3" t="s">
        <v>215</v>
      </c>
      <c r="B33" s="3" t="s">
        <v>216</v>
      </c>
      <c r="C33" s="3" t="s">
        <v>26</v>
      </c>
      <c r="D33" s="3" t="s">
        <v>29</v>
      </c>
      <c r="E33" s="3" t="s">
        <v>26</v>
      </c>
      <c r="F33" s="6">
        <v>20</v>
      </c>
      <c r="G33" s="4">
        <v>0.01</v>
      </c>
      <c r="H33" s="3" t="s">
        <v>138</v>
      </c>
      <c r="I33" s="3" t="s">
        <v>32</v>
      </c>
      <c r="K33" s="2"/>
    </row>
    <row r="34" spans="1:11" ht="15.5" x14ac:dyDescent="0.35">
      <c r="A34" s="3" t="s">
        <v>217</v>
      </c>
      <c r="B34" s="3" t="s">
        <v>218</v>
      </c>
      <c r="C34" s="3" t="s">
        <v>26</v>
      </c>
      <c r="D34" s="3" t="s">
        <v>29</v>
      </c>
      <c r="E34" s="3" t="s">
        <v>26</v>
      </c>
      <c r="F34" s="5">
        <v>22</v>
      </c>
      <c r="G34" s="4">
        <v>0.01</v>
      </c>
      <c r="H34" s="3" t="s">
        <v>138</v>
      </c>
      <c r="I34" s="3" t="s">
        <v>32</v>
      </c>
      <c r="K34" s="2"/>
    </row>
    <row r="35" spans="1:11" ht="15.5" x14ac:dyDescent="0.35">
      <c r="A35" s="3" t="s">
        <v>219</v>
      </c>
      <c r="B35" s="3" t="s">
        <v>220</v>
      </c>
      <c r="C35" s="3" t="s">
        <v>26</v>
      </c>
      <c r="D35" s="3" t="s">
        <v>29</v>
      </c>
      <c r="E35" s="3" t="s">
        <v>26</v>
      </c>
      <c r="F35" s="6">
        <v>24</v>
      </c>
      <c r="G35" s="4">
        <v>0.01</v>
      </c>
      <c r="H35" s="3" t="s">
        <v>138</v>
      </c>
      <c r="I35" s="3" t="s">
        <v>32</v>
      </c>
      <c r="K35" s="2"/>
    </row>
    <row r="36" spans="1:11" ht="15.5" x14ac:dyDescent="0.35">
      <c r="A36" s="3" t="s">
        <v>221</v>
      </c>
      <c r="B36" s="3" t="s">
        <v>222</v>
      </c>
      <c r="C36" s="3" t="s">
        <v>26</v>
      </c>
      <c r="D36" s="3" t="s">
        <v>29</v>
      </c>
      <c r="E36" s="3" t="s">
        <v>26</v>
      </c>
      <c r="F36" s="5" t="s">
        <v>491</v>
      </c>
      <c r="G36" s="4">
        <v>0.01</v>
      </c>
      <c r="H36" s="3" t="s">
        <v>138</v>
      </c>
      <c r="I36" s="3" t="s">
        <v>32</v>
      </c>
      <c r="K36" s="2"/>
    </row>
    <row r="37" spans="1:11" ht="15.5" x14ac:dyDescent="0.35">
      <c r="A37" s="3" t="s">
        <v>223</v>
      </c>
      <c r="B37" s="3" t="s">
        <v>224</v>
      </c>
      <c r="C37" s="3" t="s">
        <v>26</v>
      </c>
      <c r="D37" s="3" t="s">
        <v>29</v>
      </c>
      <c r="E37" s="3" t="s">
        <v>26</v>
      </c>
      <c r="F37" s="6" t="s">
        <v>492</v>
      </c>
      <c r="G37" s="4">
        <v>0.01</v>
      </c>
      <c r="H37" s="3" t="s">
        <v>138</v>
      </c>
      <c r="I37" s="3" t="s">
        <v>32</v>
      </c>
      <c r="K37" s="2"/>
    </row>
    <row r="38" spans="1:11" ht="15.5" x14ac:dyDescent="0.35">
      <c r="A38" s="3" t="s">
        <v>225</v>
      </c>
      <c r="B38" s="3" t="s">
        <v>226</v>
      </c>
      <c r="C38" s="3" t="s">
        <v>26</v>
      </c>
      <c r="D38" s="3" t="s">
        <v>29</v>
      </c>
      <c r="E38" s="3" t="s">
        <v>26</v>
      </c>
      <c r="F38" s="5" t="s">
        <v>493</v>
      </c>
      <c r="G38" s="4">
        <v>0.01</v>
      </c>
      <c r="H38" s="3" t="s">
        <v>138</v>
      </c>
      <c r="I38" s="3" t="s">
        <v>32</v>
      </c>
      <c r="K38" s="2"/>
    </row>
    <row r="39" spans="1:11" ht="15.5" x14ac:dyDescent="0.35">
      <c r="A39" s="3" t="s">
        <v>227</v>
      </c>
      <c r="B39" s="3" t="s">
        <v>228</v>
      </c>
      <c r="C39" s="3" t="s">
        <v>26</v>
      </c>
      <c r="D39" s="3" t="s">
        <v>29</v>
      </c>
      <c r="E39" s="3" t="s">
        <v>26</v>
      </c>
      <c r="F39" s="6" t="s">
        <v>494</v>
      </c>
      <c r="G39" s="4">
        <v>0.01</v>
      </c>
      <c r="H39" s="3" t="s">
        <v>138</v>
      </c>
      <c r="I39" s="3" t="s">
        <v>32</v>
      </c>
      <c r="K39" s="2"/>
    </row>
    <row r="40" spans="1:11" ht="15.5" x14ac:dyDescent="0.35">
      <c r="A40" s="3" t="s">
        <v>229</v>
      </c>
      <c r="B40" s="3" t="s">
        <v>230</v>
      </c>
      <c r="C40" s="3" t="s">
        <v>26</v>
      </c>
      <c r="D40" s="3" t="s">
        <v>29</v>
      </c>
      <c r="E40" s="3" t="s">
        <v>26</v>
      </c>
      <c r="F40" s="5" t="s">
        <v>495</v>
      </c>
      <c r="G40" s="4">
        <v>0.01</v>
      </c>
      <c r="H40" s="3" t="s">
        <v>138</v>
      </c>
      <c r="I40" s="3" t="s">
        <v>32</v>
      </c>
      <c r="K40" s="2"/>
    </row>
    <row r="41" spans="1:11" ht="15.5" x14ac:dyDescent="0.35">
      <c r="A41" s="3" t="s">
        <v>231</v>
      </c>
      <c r="B41" s="3" t="s">
        <v>232</v>
      </c>
      <c r="C41" s="3" t="s">
        <v>26</v>
      </c>
      <c r="D41" s="3" t="s">
        <v>29</v>
      </c>
      <c r="E41" s="3" t="s">
        <v>26</v>
      </c>
      <c r="F41" s="6" t="s">
        <v>496</v>
      </c>
      <c r="G41" s="4">
        <v>0.01</v>
      </c>
      <c r="H41" s="3" t="s">
        <v>138</v>
      </c>
      <c r="I41" s="3" t="s">
        <v>32</v>
      </c>
      <c r="K41" s="2"/>
    </row>
    <row r="42" spans="1:11" ht="15.5" x14ac:dyDescent="0.35">
      <c r="A42" s="3" t="s">
        <v>233</v>
      </c>
      <c r="B42" s="3" t="s">
        <v>234</v>
      </c>
      <c r="C42" s="3" t="s">
        <v>26</v>
      </c>
      <c r="D42" s="3" t="s">
        <v>29</v>
      </c>
      <c r="E42" s="3" t="s">
        <v>26</v>
      </c>
      <c r="F42" s="5" t="s">
        <v>497</v>
      </c>
      <c r="G42" s="4">
        <v>0.01</v>
      </c>
      <c r="H42" s="3" t="s">
        <v>138</v>
      </c>
      <c r="I42" s="3" t="s">
        <v>32</v>
      </c>
      <c r="K42" s="2"/>
    </row>
    <row r="43" spans="1:11" ht="15.5" x14ac:dyDescent="0.35">
      <c r="A43" s="3" t="s">
        <v>235</v>
      </c>
      <c r="B43" s="3" t="s">
        <v>236</v>
      </c>
      <c r="C43" s="3" t="s">
        <v>26</v>
      </c>
      <c r="D43" s="3" t="s">
        <v>29</v>
      </c>
      <c r="E43" s="3" t="s">
        <v>26</v>
      </c>
      <c r="F43" s="6">
        <v>51</v>
      </c>
      <c r="G43" s="4">
        <v>0.01</v>
      </c>
      <c r="H43" s="3" t="s">
        <v>138</v>
      </c>
      <c r="I43" s="3" t="s">
        <v>32</v>
      </c>
      <c r="K43" s="2"/>
    </row>
    <row r="44" spans="1:11" ht="15.5" x14ac:dyDescent="0.35">
      <c r="A44" s="3" t="s">
        <v>237</v>
      </c>
      <c r="B44" s="3" t="s">
        <v>238</v>
      </c>
      <c r="C44" s="3" t="s">
        <v>26</v>
      </c>
      <c r="D44" s="3" t="s">
        <v>29</v>
      </c>
      <c r="E44" s="3" t="s">
        <v>26</v>
      </c>
      <c r="F44" s="5">
        <v>56</v>
      </c>
      <c r="G44" s="4">
        <v>0.01</v>
      </c>
      <c r="H44" s="3" t="s">
        <v>138</v>
      </c>
      <c r="I44" s="3" t="s">
        <v>32</v>
      </c>
      <c r="K44" s="2"/>
    </row>
    <row r="45" spans="1:11" ht="15.5" x14ac:dyDescent="0.35">
      <c r="A45" s="3" t="s">
        <v>239</v>
      </c>
      <c r="B45" s="3" t="s">
        <v>240</v>
      </c>
      <c r="C45" s="3" t="s">
        <v>26</v>
      </c>
      <c r="D45" s="3" t="s">
        <v>29</v>
      </c>
      <c r="E45" s="3" t="s">
        <v>26</v>
      </c>
      <c r="F45" s="6">
        <v>62</v>
      </c>
      <c r="G45" s="4">
        <v>0.01</v>
      </c>
      <c r="H45" s="3" t="s">
        <v>138</v>
      </c>
      <c r="I45" s="3" t="s">
        <v>32</v>
      </c>
      <c r="K45" s="2"/>
    </row>
    <row r="46" spans="1:11" ht="15.5" x14ac:dyDescent="0.35">
      <c r="A46" s="3" t="s">
        <v>241</v>
      </c>
      <c r="B46" s="3" t="s">
        <v>242</v>
      </c>
      <c r="C46" s="3" t="s">
        <v>26</v>
      </c>
      <c r="D46" s="3" t="s">
        <v>29</v>
      </c>
      <c r="E46" s="3" t="s">
        <v>26</v>
      </c>
      <c r="F46" s="5">
        <v>68</v>
      </c>
      <c r="G46" s="4">
        <v>0.01</v>
      </c>
      <c r="H46" s="3" t="s">
        <v>138</v>
      </c>
      <c r="I46" s="3" t="s">
        <v>32</v>
      </c>
      <c r="K46" s="2"/>
    </row>
    <row r="47" spans="1:11" ht="15.5" x14ac:dyDescent="0.35">
      <c r="A47" s="3" t="s">
        <v>243</v>
      </c>
      <c r="B47" s="3" t="s">
        <v>244</v>
      </c>
      <c r="C47" s="3" t="s">
        <v>26</v>
      </c>
      <c r="D47" s="3" t="s">
        <v>29</v>
      </c>
      <c r="E47" s="3" t="s">
        <v>26</v>
      </c>
      <c r="F47" s="6">
        <v>75</v>
      </c>
      <c r="G47" s="4">
        <v>0.01</v>
      </c>
      <c r="H47" s="3" t="s">
        <v>138</v>
      </c>
      <c r="I47" s="3" t="s">
        <v>32</v>
      </c>
      <c r="K47" s="2"/>
    </row>
    <row r="48" spans="1:11" ht="15.5" x14ac:dyDescent="0.35">
      <c r="A48" s="3" t="s">
        <v>245</v>
      </c>
      <c r="B48" s="3" t="s">
        <v>246</v>
      </c>
      <c r="C48" s="3" t="s">
        <v>26</v>
      </c>
      <c r="D48" s="3" t="s">
        <v>29</v>
      </c>
      <c r="E48" s="3" t="s">
        <v>26</v>
      </c>
      <c r="F48" s="5">
        <v>83</v>
      </c>
      <c r="G48" s="4">
        <v>0.01</v>
      </c>
      <c r="H48" s="3" t="s">
        <v>138</v>
      </c>
      <c r="I48" s="3" t="s">
        <v>32</v>
      </c>
      <c r="K48" s="2"/>
    </row>
    <row r="49" spans="1:11" ht="15.5" x14ac:dyDescent="0.35">
      <c r="A49" s="3" t="s">
        <v>247</v>
      </c>
      <c r="B49" s="3" t="s">
        <v>248</v>
      </c>
      <c r="C49" s="3" t="s">
        <v>26</v>
      </c>
      <c r="D49" s="3" t="s">
        <v>29</v>
      </c>
      <c r="E49" s="3" t="s">
        <v>26</v>
      </c>
      <c r="F49" s="6">
        <v>91</v>
      </c>
      <c r="G49" s="4">
        <v>0.01</v>
      </c>
      <c r="H49" s="3" t="s">
        <v>138</v>
      </c>
      <c r="I49" s="3" t="s">
        <v>32</v>
      </c>
      <c r="K49" s="2"/>
    </row>
    <row r="50" spans="1:11" ht="15.5" x14ac:dyDescent="0.35">
      <c r="A50" s="3" t="s">
        <v>249</v>
      </c>
      <c r="B50" s="3" t="s">
        <v>250</v>
      </c>
      <c r="C50" s="3" t="s">
        <v>26</v>
      </c>
      <c r="D50" s="3" t="s">
        <v>29</v>
      </c>
      <c r="E50" s="3" t="s">
        <v>26</v>
      </c>
      <c r="F50" s="2">
        <f>F26*10</f>
        <v>100</v>
      </c>
      <c r="G50" s="4">
        <v>0.01</v>
      </c>
      <c r="H50" s="3" t="s">
        <v>138</v>
      </c>
      <c r="I50" s="3" t="s">
        <v>32</v>
      </c>
      <c r="K50" s="2"/>
    </row>
    <row r="51" spans="1:11" ht="15.5" x14ac:dyDescent="0.35">
      <c r="A51" s="3" t="s">
        <v>251</v>
      </c>
      <c r="B51" s="3" t="s">
        <v>252</v>
      </c>
      <c r="C51" s="3" t="s">
        <v>26</v>
      </c>
      <c r="D51" s="3" t="s">
        <v>29</v>
      </c>
      <c r="E51" s="3" t="s">
        <v>26</v>
      </c>
      <c r="F51" s="2">
        <f t="shared" ref="F51:F72" si="0">F27*10</f>
        <v>110</v>
      </c>
      <c r="G51" s="4">
        <v>0.01</v>
      </c>
      <c r="H51" s="3" t="s">
        <v>138</v>
      </c>
      <c r="I51" s="3" t="s">
        <v>32</v>
      </c>
      <c r="K51" s="2"/>
    </row>
    <row r="52" spans="1:11" ht="15.5" x14ac:dyDescent="0.35">
      <c r="A52" s="3" t="s">
        <v>253</v>
      </c>
      <c r="B52" s="3" t="s">
        <v>254</v>
      </c>
      <c r="C52" s="3" t="s">
        <v>26</v>
      </c>
      <c r="D52" s="3" t="s">
        <v>29</v>
      </c>
      <c r="E52" s="3" t="s">
        <v>26</v>
      </c>
      <c r="F52" s="2">
        <f t="shared" si="0"/>
        <v>120</v>
      </c>
      <c r="G52" s="4">
        <v>0.01</v>
      </c>
      <c r="H52" s="3" t="s">
        <v>138</v>
      </c>
      <c r="I52" s="3" t="s">
        <v>32</v>
      </c>
      <c r="K52" s="2"/>
    </row>
    <row r="53" spans="1:11" ht="15.5" x14ac:dyDescent="0.35">
      <c r="A53" s="3" t="s">
        <v>255</v>
      </c>
      <c r="B53" s="3" t="s">
        <v>256</v>
      </c>
      <c r="C53" s="3" t="s">
        <v>26</v>
      </c>
      <c r="D53" s="3" t="s">
        <v>29</v>
      </c>
      <c r="E53" s="3" t="s">
        <v>26</v>
      </c>
      <c r="F53" s="2">
        <f t="shared" si="0"/>
        <v>130</v>
      </c>
      <c r="G53" s="4">
        <v>0.01</v>
      </c>
      <c r="H53" s="3" t="s">
        <v>138</v>
      </c>
      <c r="I53" s="3" t="s">
        <v>32</v>
      </c>
      <c r="K53" s="2"/>
    </row>
    <row r="54" spans="1:11" ht="15.5" x14ac:dyDescent="0.35">
      <c r="A54" s="3" t="s">
        <v>257</v>
      </c>
      <c r="B54" s="3" t="s">
        <v>258</v>
      </c>
      <c r="C54" s="3" t="s">
        <v>26</v>
      </c>
      <c r="D54" s="3" t="s">
        <v>29</v>
      </c>
      <c r="E54" s="3" t="s">
        <v>26</v>
      </c>
      <c r="F54" s="2">
        <f t="shared" si="0"/>
        <v>150</v>
      </c>
      <c r="G54" s="4">
        <v>0.01</v>
      </c>
      <c r="H54" s="3" t="s">
        <v>138</v>
      </c>
      <c r="I54" s="3" t="s">
        <v>32</v>
      </c>
      <c r="K54" s="2"/>
    </row>
    <row r="55" spans="1:11" ht="15.5" x14ac:dyDescent="0.35">
      <c r="A55" s="3" t="s">
        <v>259</v>
      </c>
      <c r="B55" s="3" t="s">
        <v>260</v>
      </c>
      <c r="C55" s="3" t="s">
        <v>26</v>
      </c>
      <c r="D55" s="3" t="s">
        <v>29</v>
      </c>
      <c r="E55" s="3" t="s">
        <v>26</v>
      </c>
      <c r="F55" s="2">
        <f t="shared" si="0"/>
        <v>160</v>
      </c>
      <c r="G55" s="4">
        <v>0.01</v>
      </c>
      <c r="H55" s="3" t="s">
        <v>138</v>
      </c>
      <c r="I55" s="3" t="s">
        <v>32</v>
      </c>
      <c r="K55" s="2"/>
    </row>
    <row r="56" spans="1:11" ht="15.5" x14ac:dyDescent="0.35">
      <c r="A56" s="3" t="s">
        <v>261</v>
      </c>
      <c r="B56" s="3" t="s">
        <v>262</v>
      </c>
      <c r="C56" s="3" t="s">
        <v>26</v>
      </c>
      <c r="D56" s="3" t="s">
        <v>29</v>
      </c>
      <c r="E56" s="3" t="s">
        <v>26</v>
      </c>
      <c r="F56" s="2">
        <f t="shared" si="0"/>
        <v>180</v>
      </c>
      <c r="G56" s="4">
        <v>0.01</v>
      </c>
      <c r="H56" s="3" t="s">
        <v>138</v>
      </c>
      <c r="I56" s="3" t="s">
        <v>32</v>
      </c>
      <c r="K56" s="2"/>
    </row>
    <row r="57" spans="1:11" ht="15.5" x14ac:dyDescent="0.35">
      <c r="A57" s="3" t="s">
        <v>263</v>
      </c>
      <c r="B57" s="3" t="s">
        <v>264</v>
      </c>
      <c r="C57" s="3" t="s">
        <v>26</v>
      </c>
      <c r="D57" s="3" t="s">
        <v>29</v>
      </c>
      <c r="E57" s="3" t="s">
        <v>26</v>
      </c>
      <c r="F57" s="2">
        <f>F33*10</f>
        <v>200</v>
      </c>
      <c r="G57" s="4">
        <v>0.01</v>
      </c>
      <c r="H57" s="3" t="s">
        <v>138</v>
      </c>
      <c r="I57" s="3" t="s">
        <v>32</v>
      </c>
      <c r="K57" s="2"/>
    </row>
    <row r="58" spans="1:11" ht="15.5" x14ac:dyDescent="0.35">
      <c r="A58" s="3" t="s">
        <v>265</v>
      </c>
      <c r="B58" s="3" t="s">
        <v>266</v>
      </c>
      <c r="C58" s="3" t="s">
        <v>26</v>
      </c>
      <c r="D58" s="3" t="s">
        <v>29</v>
      </c>
      <c r="E58" s="3" t="s">
        <v>26</v>
      </c>
      <c r="F58" s="2">
        <f t="shared" si="0"/>
        <v>220</v>
      </c>
      <c r="G58" s="4">
        <v>0.01</v>
      </c>
      <c r="H58" s="3" t="s">
        <v>138</v>
      </c>
      <c r="I58" s="3" t="s">
        <v>32</v>
      </c>
      <c r="K58" s="2"/>
    </row>
    <row r="59" spans="1:11" ht="15.5" x14ac:dyDescent="0.35">
      <c r="A59" s="3" t="s">
        <v>267</v>
      </c>
      <c r="B59" s="3" t="s">
        <v>268</v>
      </c>
      <c r="C59" s="3" t="s">
        <v>26</v>
      </c>
      <c r="D59" s="3" t="s">
        <v>29</v>
      </c>
      <c r="E59" s="3" t="s">
        <v>26</v>
      </c>
      <c r="F59" s="2">
        <f t="shared" si="0"/>
        <v>240</v>
      </c>
      <c r="G59" s="4">
        <v>0.01</v>
      </c>
      <c r="H59" s="3" t="s">
        <v>138</v>
      </c>
      <c r="I59" s="3" t="s">
        <v>32</v>
      </c>
      <c r="K59" s="2"/>
    </row>
    <row r="60" spans="1:11" ht="15.5" x14ac:dyDescent="0.35">
      <c r="A60" s="3" t="s">
        <v>269</v>
      </c>
      <c r="B60" s="3" t="s">
        <v>270</v>
      </c>
      <c r="C60" s="3" t="s">
        <v>26</v>
      </c>
      <c r="D60" s="3" t="s">
        <v>29</v>
      </c>
      <c r="E60" s="3" t="s">
        <v>26</v>
      </c>
      <c r="F60" s="2">
        <f t="shared" si="0"/>
        <v>270</v>
      </c>
      <c r="G60" s="4">
        <v>0.01</v>
      </c>
      <c r="H60" s="3" t="s">
        <v>138</v>
      </c>
      <c r="I60" s="3" t="s">
        <v>32</v>
      </c>
      <c r="K60" s="2"/>
    </row>
    <row r="61" spans="1:11" ht="15.5" x14ac:dyDescent="0.35">
      <c r="A61" s="3" t="s">
        <v>271</v>
      </c>
      <c r="B61" s="3" t="s">
        <v>272</v>
      </c>
      <c r="C61" s="3" t="s">
        <v>26</v>
      </c>
      <c r="D61" s="3" t="s">
        <v>29</v>
      </c>
      <c r="E61" s="3" t="s">
        <v>26</v>
      </c>
      <c r="F61" s="2">
        <f t="shared" si="0"/>
        <v>300</v>
      </c>
      <c r="G61" s="4">
        <v>0.01</v>
      </c>
      <c r="H61" s="3" t="s">
        <v>138</v>
      </c>
      <c r="I61" s="3" t="s">
        <v>32</v>
      </c>
      <c r="K61" s="2"/>
    </row>
    <row r="62" spans="1:11" ht="15.5" x14ac:dyDescent="0.35">
      <c r="A62" s="3" t="s">
        <v>273</v>
      </c>
      <c r="B62" s="3" t="s">
        <v>274</v>
      </c>
      <c r="C62" s="3" t="s">
        <v>26</v>
      </c>
      <c r="D62" s="3" t="s">
        <v>29</v>
      </c>
      <c r="E62" s="3" t="s">
        <v>26</v>
      </c>
      <c r="F62" s="2">
        <f t="shared" si="0"/>
        <v>330</v>
      </c>
      <c r="G62" s="4">
        <v>0.01</v>
      </c>
      <c r="H62" s="3" t="s">
        <v>138</v>
      </c>
      <c r="I62" s="3" t="s">
        <v>32</v>
      </c>
      <c r="K62" s="2"/>
    </row>
    <row r="63" spans="1:11" ht="15.5" x14ac:dyDescent="0.35">
      <c r="A63" s="3" t="s">
        <v>275</v>
      </c>
      <c r="B63" s="3" t="s">
        <v>276</v>
      </c>
      <c r="C63" s="3" t="s">
        <v>26</v>
      </c>
      <c r="D63" s="3" t="s">
        <v>29</v>
      </c>
      <c r="E63" s="3" t="s">
        <v>26</v>
      </c>
      <c r="F63" s="2">
        <f>F39*10</f>
        <v>360</v>
      </c>
      <c r="G63" s="4">
        <v>0.01</v>
      </c>
      <c r="H63" s="3" t="s">
        <v>138</v>
      </c>
      <c r="I63" s="3" t="s">
        <v>32</v>
      </c>
      <c r="K63" s="2"/>
    </row>
    <row r="64" spans="1:11" ht="15.5" x14ac:dyDescent="0.35">
      <c r="A64" s="3" t="s">
        <v>277</v>
      </c>
      <c r="B64" s="3" t="s">
        <v>278</v>
      </c>
      <c r="C64" s="3" t="s">
        <v>26</v>
      </c>
      <c r="D64" s="3" t="s">
        <v>29</v>
      </c>
      <c r="E64" s="3" t="s">
        <v>26</v>
      </c>
      <c r="F64" s="2">
        <f t="shared" si="0"/>
        <v>390</v>
      </c>
      <c r="G64" s="4">
        <v>0.01</v>
      </c>
      <c r="H64" s="3" t="s">
        <v>138</v>
      </c>
      <c r="I64" s="3" t="s">
        <v>32</v>
      </c>
      <c r="K64" s="2"/>
    </row>
    <row r="65" spans="1:11" ht="15.5" x14ac:dyDescent="0.35">
      <c r="A65" s="3" t="s">
        <v>279</v>
      </c>
      <c r="B65" s="3" t="s">
        <v>280</v>
      </c>
      <c r="C65" s="3" t="s">
        <v>26</v>
      </c>
      <c r="D65" s="3" t="s">
        <v>29</v>
      </c>
      <c r="E65" s="3" t="s">
        <v>26</v>
      </c>
      <c r="F65" s="2">
        <f t="shared" si="0"/>
        <v>430</v>
      </c>
      <c r="G65" s="4">
        <v>0.01</v>
      </c>
      <c r="H65" s="3" t="s">
        <v>138</v>
      </c>
      <c r="I65" s="3" t="s">
        <v>32</v>
      </c>
      <c r="K65" s="2"/>
    </row>
    <row r="66" spans="1:11" ht="15.5" x14ac:dyDescent="0.35">
      <c r="A66" s="3" t="s">
        <v>281</v>
      </c>
      <c r="B66" s="3" t="s">
        <v>282</v>
      </c>
      <c r="C66" s="3" t="s">
        <v>26</v>
      </c>
      <c r="D66" s="3" t="s">
        <v>29</v>
      </c>
      <c r="E66" s="3" t="s">
        <v>26</v>
      </c>
      <c r="F66" s="2">
        <f t="shared" si="0"/>
        <v>470</v>
      </c>
      <c r="G66" s="4">
        <v>0.01</v>
      </c>
      <c r="H66" s="3" t="s">
        <v>138</v>
      </c>
      <c r="I66" s="3" t="s">
        <v>32</v>
      </c>
      <c r="K66" s="2"/>
    </row>
    <row r="67" spans="1:11" ht="15.5" x14ac:dyDescent="0.35">
      <c r="A67" s="3" t="s">
        <v>283</v>
      </c>
      <c r="B67" s="3" t="s">
        <v>284</v>
      </c>
      <c r="C67" s="3" t="s">
        <v>26</v>
      </c>
      <c r="D67" s="3" t="s">
        <v>29</v>
      </c>
      <c r="E67" s="3" t="s">
        <v>26</v>
      </c>
      <c r="F67" s="2">
        <f t="shared" si="0"/>
        <v>510</v>
      </c>
      <c r="G67" s="4">
        <v>0.01</v>
      </c>
      <c r="H67" s="3" t="s">
        <v>138</v>
      </c>
      <c r="I67" s="3" t="s">
        <v>32</v>
      </c>
      <c r="K67" s="2"/>
    </row>
    <row r="68" spans="1:11" ht="15.5" x14ac:dyDescent="0.35">
      <c r="A68" s="3" t="s">
        <v>285</v>
      </c>
      <c r="B68" s="3" t="s">
        <v>286</v>
      </c>
      <c r="C68" s="3" t="s">
        <v>26</v>
      </c>
      <c r="D68" s="3" t="s">
        <v>29</v>
      </c>
      <c r="E68" s="3" t="s">
        <v>26</v>
      </c>
      <c r="F68" s="2">
        <f t="shared" si="0"/>
        <v>560</v>
      </c>
      <c r="G68" s="4">
        <v>0.01</v>
      </c>
      <c r="H68" s="3" t="s">
        <v>138</v>
      </c>
      <c r="I68" s="3" t="s">
        <v>32</v>
      </c>
      <c r="K68" s="2"/>
    </row>
    <row r="69" spans="1:11" ht="15.5" x14ac:dyDescent="0.35">
      <c r="A69" s="3" t="s">
        <v>287</v>
      </c>
      <c r="B69" s="3" t="s">
        <v>288</v>
      </c>
      <c r="C69" s="3" t="s">
        <v>26</v>
      </c>
      <c r="D69" s="3" t="s">
        <v>29</v>
      </c>
      <c r="E69" s="3" t="s">
        <v>26</v>
      </c>
      <c r="F69" s="2">
        <f t="shared" si="0"/>
        <v>620</v>
      </c>
      <c r="G69" s="4">
        <v>0.01</v>
      </c>
      <c r="H69" s="3" t="s">
        <v>138</v>
      </c>
      <c r="I69" s="3" t="s">
        <v>32</v>
      </c>
      <c r="K69" s="2"/>
    </row>
    <row r="70" spans="1:11" ht="15.5" x14ac:dyDescent="0.35">
      <c r="A70" s="3" t="s">
        <v>289</v>
      </c>
      <c r="B70" s="3" t="s">
        <v>290</v>
      </c>
      <c r="C70" s="3" t="s">
        <v>26</v>
      </c>
      <c r="D70" s="3" t="s">
        <v>29</v>
      </c>
      <c r="E70" s="3" t="s">
        <v>26</v>
      </c>
      <c r="F70" s="2">
        <f>F46*10</f>
        <v>680</v>
      </c>
      <c r="G70" s="4">
        <v>0.01</v>
      </c>
      <c r="H70" s="3" t="s">
        <v>138</v>
      </c>
      <c r="I70" s="3" t="s">
        <v>32</v>
      </c>
      <c r="K70" s="2"/>
    </row>
    <row r="71" spans="1:11" ht="15.5" x14ac:dyDescent="0.35">
      <c r="A71" s="3" t="s">
        <v>291</v>
      </c>
      <c r="B71" s="3" t="s">
        <v>292</v>
      </c>
      <c r="C71" s="3" t="s">
        <v>26</v>
      </c>
      <c r="D71" s="3" t="s">
        <v>29</v>
      </c>
      <c r="E71" s="3" t="s">
        <v>26</v>
      </c>
      <c r="F71" s="2">
        <f t="shared" si="0"/>
        <v>750</v>
      </c>
      <c r="G71" s="4">
        <v>0.01</v>
      </c>
      <c r="H71" s="3" t="s">
        <v>138</v>
      </c>
      <c r="I71" s="3" t="s">
        <v>32</v>
      </c>
      <c r="K71" s="2"/>
    </row>
    <row r="72" spans="1:11" ht="15.5" x14ac:dyDescent="0.35">
      <c r="A72" s="3" t="s">
        <v>293</v>
      </c>
      <c r="B72" s="3" t="s">
        <v>294</v>
      </c>
      <c r="C72" s="3" t="s">
        <v>26</v>
      </c>
      <c r="D72" s="3" t="s">
        <v>29</v>
      </c>
      <c r="E72" s="3" t="s">
        <v>26</v>
      </c>
      <c r="F72" s="2">
        <f t="shared" si="0"/>
        <v>830</v>
      </c>
      <c r="G72" s="4">
        <v>0.01</v>
      </c>
      <c r="H72" s="3" t="s">
        <v>138</v>
      </c>
      <c r="I72" s="3" t="s">
        <v>32</v>
      </c>
      <c r="K72" s="2"/>
    </row>
    <row r="73" spans="1:11" ht="15.5" x14ac:dyDescent="0.35">
      <c r="A73" s="3" t="s">
        <v>295</v>
      </c>
      <c r="B73" s="3" t="s">
        <v>296</v>
      </c>
      <c r="C73" s="3" t="s">
        <v>26</v>
      </c>
      <c r="D73" s="3" t="s">
        <v>29</v>
      </c>
      <c r="E73" s="3" t="s">
        <v>26</v>
      </c>
      <c r="F73" s="2">
        <f>F49*10</f>
        <v>910</v>
      </c>
      <c r="G73" s="4">
        <v>0.01</v>
      </c>
      <c r="H73" s="3" t="s">
        <v>138</v>
      </c>
      <c r="I73" s="3" t="s">
        <v>32</v>
      </c>
      <c r="K73" s="2"/>
    </row>
    <row r="74" spans="1:11" ht="15.5" x14ac:dyDescent="0.35">
      <c r="A74" s="3" t="s">
        <v>297</v>
      </c>
      <c r="B74" s="3" t="s">
        <v>298</v>
      </c>
      <c r="C74" s="3" t="s">
        <v>26</v>
      </c>
      <c r="D74" s="3" t="s">
        <v>29</v>
      </c>
      <c r="E74" s="3" t="s">
        <v>26</v>
      </c>
      <c r="F74" s="2" t="str">
        <f>CONCATENATE(F2," к")</f>
        <v>1,0 к</v>
      </c>
      <c r="G74" s="4">
        <v>0.01</v>
      </c>
      <c r="H74" s="3" t="s">
        <v>138</v>
      </c>
      <c r="I74" s="3" t="s">
        <v>32</v>
      </c>
      <c r="K74" s="2"/>
    </row>
    <row r="75" spans="1:11" ht="15.5" x14ac:dyDescent="0.35">
      <c r="A75" s="3" t="s">
        <v>299</v>
      </c>
      <c r="B75" s="3" t="s">
        <v>300</v>
      </c>
      <c r="C75" s="3" t="s">
        <v>26</v>
      </c>
      <c r="D75" s="3" t="s">
        <v>29</v>
      </c>
      <c r="E75" s="3" t="s">
        <v>26</v>
      </c>
      <c r="F75" s="2" t="str">
        <f t="shared" ref="F75:F138" si="1">CONCATENATE(F3," к")</f>
        <v>1,1 к</v>
      </c>
      <c r="G75" s="4">
        <v>0.01</v>
      </c>
      <c r="H75" s="3" t="s">
        <v>138</v>
      </c>
      <c r="I75" s="3" t="s">
        <v>32</v>
      </c>
      <c r="K75" s="2"/>
    </row>
    <row r="76" spans="1:11" ht="15.5" x14ac:dyDescent="0.35">
      <c r="A76" s="3" t="s">
        <v>301</v>
      </c>
      <c r="B76" s="3" t="s">
        <v>302</v>
      </c>
      <c r="C76" s="3" t="s">
        <v>26</v>
      </c>
      <c r="D76" s="3" t="s">
        <v>29</v>
      </c>
      <c r="E76" s="3" t="s">
        <v>26</v>
      </c>
      <c r="F76" s="2" t="str">
        <f t="shared" si="1"/>
        <v>1,2 к</v>
      </c>
      <c r="G76" s="4">
        <v>0.01</v>
      </c>
      <c r="H76" s="3" t="s">
        <v>138</v>
      </c>
      <c r="I76" s="3" t="s">
        <v>32</v>
      </c>
      <c r="K76" s="2"/>
    </row>
    <row r="77" spans="1:11" ht="15.5" x14ac:dyDescent="0.35">
      <c r="A77" s="3" t="s">
        <v>303</v>
      </c>
      <c r="B77" s="3" t="s">
        <v>304</v>
      </c>
      <c r="C77" s="3" t="s">
        <v>26</v>
      </c>
      <c r="D77" s="3" t="s">
        <v>29</v>
      </c>
      <c r="E77" s="3" t="s">
        <v>26</v>
      </c>
      <c r="F77" s="2" t="str">
        <f t="shared" si="1"/>
        <v>1,3 к</v>
      </c>
      <c r="G77" s="4">
        <v>0.01</v>
      </c>
      <c r="H77" s="3" t="s">
        <v>138</v>
      </c>
      <c r="I77" s="3" t="s">
        <v>32</v>
      </c>
      <c r="K77" s="2"/>
    </row>
    <row r="78" spans="1:11" ht="15.5" x14ac:dyDescent="0.35">
      <c r="A78" s="3" t="s">
        <v>305</v>
      </c>
      <c r="B78" s="3" t="s">
        <v>306</v>
      </c>
      <c r="C78" s="3" t="s">
        <v>26</v>
      </c>
      <c r="D78" s="3" t="s">
        <v>29</v>
      </c>
      <c r="E78" s="3" t="s">
        <v>26</v>
      </c>
      <c r="F78" s="2" t="str">
        <f t="shared" si="1"/>
        <v>1,5 к</v>
      </c>
      <c r="G78" s="4">
        <v>0.01</v>
      </c>
      <c r="H78" s="3" t="s">
        <v>138</v>
      </c>
      <c r="I78" s="3" t="s">
        <v>32</v>
      </c>
      <c r="K78" s="2"/>
    </row>
    <row r="79" spans="1:11" ht="15.5" x14ac:dyDescent="0.35">
      <c r="A79" s="3" t="s">
        <v>307</v>
      </c>
      <c r="B79" s="3" t="s">
        <v>308</v>
      </c>
      <c r="C79" s="3" t="s">
        <v>26</v>
      </c>
      <c r="D79" s="3" t="s">
        <v>29</v>
      </c>
      <c r="E79" s="3" t="s">
        <v>26</v>
      </c>
      <c r="F79" s="2" t="str">
        <f t="shared" si="1"/>
        <v>1,6 к</v>
      </c>
      <c r="G79" s="4">
        <v>0.01</v>
      </c>
      <c r="H79" s="3" t="s">
        <v>138</v>
      </c>
      <c r="I79" s="3" t="s">
        <v>32</v>
      </c>
      <c r="K79" s="2"/>
    </row>
    <row r="80" spans="1:11" ht="15.5" x14ac:dyDescent="0.35">
      <c r="A80" s="3" t="s">
        <v>309</v>
      </c>
      <c r="B80" s="3" t="s">
        <v>310</v>
      </c>
      <c r="C80" s="3" t="s">
        <v>26</v>
      </c>
      <c r="D80" s="3" t="s">
        <v>29</v>
      </c>
      <c r="E80" s="3" t="s">
        <v>26</v>
      </c>
      <c r="F80" s="2" t="str">
        <f t="shared" si="1"/>
        <v>1,8 к</v>
      </c>
      <c r="G80" s="4">
        <v>0.01</v>
      </c>
      <c r="H80" s="3" t="s">
        <v>138</v>
      </c>
      <c r="I80" s="3" t="s">
        <v>32</v>
      </c>
      <c r="K80" s="2"/>
    </row>
    <row r="81" spans="1:11" ht="15.5" x14ac:dyDescent="0.35">
      <c r="A81" s="3" t="s">
        <v>311</v>
      </c>
      <c r="B81" s="3" t="s">
        <v>312</v>
      </c>
      <c r="C81" s="3" t="s">
        <v>26</v>
      </c>
      <c r="D81" s="3" t="s">
        <v>29</v>
      </c>
      <c r="E81" s="3" t="s">
        <v>26</v>
      </c>
      <c r="F81" s="2" t="str">
        <f t="shared" si="1"/>
        <v>2,0 к</v>
      </c>
      <c r="G81" s="4">
        <v>0.01</v>
      </c>
      <c r="H81" s="3" t="s">
        <v>138</v>
      </c>
      <c r="I81" s="3" t="s">
        <v>32</v>
      </c>
      <c r="K81" s="2"/>
    </row>
    <row r="82" spans="1:11" ht="15.5" x14ac:dyDescent="0.35">
      <c r="A82" s="3" t="s">
        <v>313</v>
      </c>
      <c r="B82" s="3" t="s">
        <v>314</v>
      </c>
      <c r="C82" s="3" t="s">
        <v>26</v>
      </c>
      <c r="D82" s="3" t="s">
        <v>29</v>
      </c>
      <c r="E82" s="3" t="s">
        <v>26</v>
      </c>
      <c r="F82" s="2" t="str">
        <f t="shared" si="1"/>
        <v>2,2 к</v>
      </c>
      <c r="G82" s="4">
        <v>0.01</v>
      </c>
      <c r="H82" s="3" t="s">
        <v>138</v>
      </c>
      <c r="I82" s="3" t="s">
        <v>32</v>
      </c>
      <c r="K82" s="2"/>
    </row>
    <row r="83" spans="1:11" ht="15.5" x14ac:dyDescent="0.35">
      <c r="A83" s="3" t="s">
        <v>315</v>
      </c>
      <c r="B83" s="3" t="s">
        <v>316</v>
      </c>
      <c r="C83" s="3" t="s">
        <v>26</v>
      </c>
      <c r="D83" s="3" t="s">
        <v>29</v>
      </c>
      <c r="E83" s="3" t="s">
        <v>26</v>
      </c>
      <c r="F83" s="2" t="str">
        <f t="shared" si="1"/>
        <v>2,4 к</v>
      </c>
      <c r="G83" s="4">
        <v>0.01</v>
      </c>
      <c r="H83" s="3" t="s">
        <v>138</v>
      </c>
      <c r="I83" s="3" t="s">
        <v>32</v>
      </c>
      <c r="K83" s="2"/>
    </row>
    <row r="84" spans="1:11" ht="15.5" x14ac:dyDescent="0.35">
      <c r="A84" s="3" t="s">
        <v>317</v>
      </c>
      <c r="B84" s="3" t="s">
        <v>318</v>
      </c>
      <c r="C84" s="3" t="s">
        <v>26</v>
      </c>
      <c r="D84" s="3" t="s">
        <v>29</v>
      </c>
      <c r="E84" s="3" t="s">
        <v>26</v>
      </c>
      <c r="F84" s="2" t="str">
        <f t="shared" si="1"/>
        <v>2,7 к</v>
      </c>
      <c r="G84" s="4">
        <v>0.01</v>
      </c>
      <c r="H84" s="3" t="s">
        <v>138</v>
      </c>
      <c r="I84" s="3" t="s">
        <v>32</v>
      </c>
      <c r="K84" s="2"/>
    </row>
    <row r="85" spans="1:11" ht="15.5" x14ac:dyDescent="0.35">
      <c r="A85" s="3" t="s">
        <v>319</v>
      </c>
      <c r="B85" s="3" t="s">
        <v>320</v>
      </c>
      <c r="C85" s="3" t="s">
        <v>26</v>
      </c>
      <c r="D85" s="3" t="s">
        <v>29</v>
      </c>
      <c r="E85" s="3" t="s">
        <v>26</v>
      </c>
      <c r="F85" s="2" t="str">
        <f t="shared" si="1"/>
        <v>3,0 к</v>
      </c>
      <c r="G85" s="4">
        <v>0.01</v>
      </c>
      <c r="H85" s="3" t="s">
        <v>138</v>
      </c>
      <c r="I85" s="3" t="s">
        <v>32</v>
      </c>
      <c r="K85" s="2"/>
    </row>
    <row r="86" spans="1:11" ht="15.5" x14ac:dyDescent="0.35">
      <c r="A86" s="3" t="s">
        <v>321</v>
      </c>
      <c r="B86" s="3" t="s">
        <v>322</v>
      </c>
      <c r="C86" s="3" t="s">
        <v>26</v>
      </c>
      <c r="D86" s="3" t="s">
        <v>29</v>
      </c>
      <c r="E86" s="3" t="s">
        <v>26</v>
      </c>
      <c r="F86" s="2" t="str">
        <f t="shared" si="1"/>
        <v>3,3 к</v>
      </c>
      <c r="G86" s="4">
        <v>0.01</v>
      </c>
      <c r="H86" s="3" t="s">
        <v>138</v>
      </c>
      <c r="I86" s="3" t="s">
        <v>32</v>
      </c>
      <c r="K86" s="2"/>
    </row>
    <row r="87" spans="1:11" ht="15.5" x14ac:dyDescent="0.35">
      <c r="A87" s="3" t="s">
        <v>323</v>
      </c>
      <c r="B87" s="3" t="s">
        <v>324</v>
      </c>
      <c r="C87" s="3" t="s">
        <v>26</v>
      </c>
      <c r="D87" s="3" t="s">
        <v>29</v>
      </c>
      <c r="E87" s="3" t="s">
        <v>26</v>
      </c>
      <c r="F87" s="2" t="str">
        <f t="shared" si="1"/>
        <v>3,6 к</v>
      </c>
      <c r="G87" s="4">
        <v>0.01</v>
      </c>
      <c r="H87" s="3" t="s">
        <v>138</v>
      </c>
      <c r="I87" s="3" t="s">
        <v>32</v>
      </c>
      <c r="K87" s="2"/>
    </row>
    <row r="88" spans="1:11" ht="15.5" x14ac:dyDescent="0.35">
      <c r="A88" s="3" t="s">
        <v>325</v>
      </c>
      <c r="B88" s="3" t="s">
        <v>326</v>
      </c>
      <c r="C88" s="3" t="s">
        <v>26</v>
      </c>
      <c r="D88" s="3" t="s">
        <v>29</v>
      </c>
      <c r="E88" s="3" t="s">
        <v>26</v>
      </c>
      <c r="F88" s="2" t="str">
        <f t="shared" si="1"/>
        <v>3,9 к</v>
      </c>
      <c r="G88" s="4">
        <v>0.01</v>
      </c>
      <c r="H88" s="3" t="s">
        <v>138</v>
      </c>
      <c r="I88" s="3" t="s">
        <v>32</v>
      </c>
      <c r="K88" s="2"/>
    </row>
    <row r="89" spans="1:11" ht="15.5" x14ac:dyDescent="0.35">
      <c r="A89" s="3" t="s">
        <v>327</v>
      </c>
      <c r="B89" s="3" t="s">
        <v>328</v>
      </c>
      <c r="C89" s="3" t="s">
        <v>26</v>
      </c>
      <c r="D89" s="3" t="s">
        <v>29</v>
      </c>
      <c r="E89" s="3" t="s">
        <v>26</v>
      </c>
      <c r="F89" s="2" t="str">
        <f t="shared" si="1"/>
        <v>4,3 к</v>
      </c>
      <c r="G89" s="4">
        <v>0.01</v>
      </c>
      <c r="H89" s="3" t="s">
        <v>138</v>
      </c>
      <c r="I89" s="3" t="s">
        <v>32</v>
      </c>
      <c r="K89" s="2"/>
    </row>
    <row r="90" spans="1:11" ht="15.5" x14ac:dyDescent="0.35">
      <c r="A90" s="3" t="s">
        <v>329</v>
      </c>
      <c r="B90" s="3" t="s">
        <v>330</v>
      </c>
      <c r="C90" s="3" t="s">
        <v>26</v>
      </c>
      <c r="D90" s="3" t="s">
        <v>29</v>
      </c>
      <c r="E90" s="3" t="s">
        <v>26</v>
      </c>
      <c r="F90" s="2" t="str">
        <f t="shared" si="1"/>
        <v>4,7 к</v>
      </c>
      <c r="G90" s="4">
        <v>0.01</v>
      </c>
      <c r="H90" s="3" t="s">
        <v>138</v>
      </c>
      <c r="I90" s="3" t="s">
        <v>32</v>
      </c>
      <c r="K90" s="2"/>
    </row>
    <row r="91" spans="1:11" ht="15.5" x14ac:dyDescent="0.35">
      <c r="A91" s="3" t="s">
        <v>331</v>
      </c>
      <c r="B91" s="3" t="s">
        <v>332</v>
      </c>
      <c r="C91" s="3" t="s">
        <v>26</v>
      </c>
      <c r="D91" s="3" t="s">
        <v>29</v>
      </c>
      <c r="E91" s="3" t="s">
        <v>26</v>
      </c>
      <c r="F91" s="2" t="str">
        <f t="shared" si="1"/>
        <v>5,1 к</v>
      </c>
      <c r="G91" s="4">
        <v>0.01</v>
      </c>
      <c r="H91" s="3" t="s">
        <v>138</v>
      </c>
      <c r="I91" s="3" t="s">
        <v>32</v>
      </c>
      <c r="K91" s="2"/>
    </row>
    <row r="92" spans="1:11" ht="15.5" x14ac:dyDescent="0.35">
      <c r="A92" s="3" t="s">
        <v>333</v>
      </c>
      <c r="B92" s="3" t="s">
        <v>334</v>
      </c>
      <c r="C92" s="3" t="s">
        <v>26</v>
      </c>
      <c r="D92" s="3" t="s">
        <v>29</v>
      </c>
      <c r="E92" s="3" t="s">
        <v>26</v>
      </c>
      <c r="F92" s="2" t="str">
        <f t="shared" si="1"/>
        <v>5,6 к</v>
      </c>
      <c r="G92" s="4">
        <v>0.01</v>
      </c>
      <c r="H92" s="3" t="s">
        <v>138</v>
      </c>
      <c r="I92" s="3" t="s">
        <v>32</v>
      </c>
      <c r="K92" s="2"/>
    </row>
    <row r="93" spans="1:11" ht="15.5" x14ac:dyDescent="0.35">
      <c r="A93" s="3" t="s">
        <v>335</v>
      </c>
      <c r="B93" s="3" t="s">
        <v>336</v>
      </c>
      <c r="C93" s="3" t="s">
        <v>26</v>
      </c>
      <c r="D93" s="3" t="s">
        <v>29</v>
      </c>
      <c r="E93" s="3" t="s">
        <v>26</v>
      </c>
      <c r="F93" s="2" t="str">
        <f t="shared" si="1"/>
        <v>6,2 к</v>
      </c>
      <c r="G93" s="4">
        <v>0.01</v>
      </c>
      <c r="H93" s="3" t="s">
        <v>138</v>
      </c>
      <c r="I93" s="3" t="s">
        <v>32</v>
      </c>
      <c r="K93" s="2"/>
    </row>
    <row r="94" spans="1:11" ht="15.5" x14ac:dyDescent="0.35">
      <c r="A94" s="3" t="s">
        <v>337</v>
      </c>
      <c r="B94" s="3" t="s">
        <v>338</v>
      </c>
      <c r="C94" s="3" t="s">
        <v>26</v>
      </c>
      <c r="D94" s="3" t="s">
        <v>29</v>
      </c>
      <c r="E94" s="3" t="s">
        <v>26</v>
      </c>
      <c r="F94" s="2" t="str">
        <f t="shared" si="1"/>
        <v>6,8 к</v>
      </c>
      <c r="G94" s="4">
        <v>0.01</v>
      </c>
      <c r="H94" s="3" t="s">
        <v>138</v>
      </c>
      <c r="I94" s="3" t="s">
        <v>32</v>
      </c>
      <c r="K94" s="2"/>
    </row>
    <row r="95" spans="1:11" ht="15.5" x14ac:dyDescent="0.35">
      <c r="A95" s="3" t="s">
        <v>339</v>
      </c>
      <c r="B95" s="3" t="s">
        <v>340</v>
      </c>
      <c r="C95" s="3" t="s">
        <v>26</v>
      </c>
      <c r="D95" s="3" t="s">
        <v>29</v>
      </c>
      <c r="E95" s="3" t="s">
        <v>26</v>
      </c>
      <c r="F95" s="2" t="str">
        <f t="shared" si="1"/>
        <v>7,5 к</v>
      </c>
      <c r="G95" s="4">
        <v>0.01</v>
      </c>
      <c r="H95" s="3" t="s">
        <v>138</v>
      </c>
      <c r="I95" s="3" t="s">
        <v>32</v>
      </c>
      <c r="K95" s="2"/>
    </row>
    <row r="96" spans="1:11" ht="15.5" x14ac:dyDescent="0.35">
      <c r="A96" s="3" t="s">
        <v>341</v>
      </c>
      <c r="B96" s="3" t="s">
        <v>342</v>
      </c>
      <c r="C96" s="3" t="s">
        <v>26</v>
      </c>
      <c r="D96" s="3" t="s">
        <v>29</v>
      </c>
      <c r="E96" s="3" t="s">
        <v>26</v>
      </c>
      <c r="F96" s="2" t="str">
        <f t="shared" si="1"/>
        <v>8,3 к</v>
      </c>
      <c r="G96" s="4">
        <v>0.01</v>
      </c>
      <c r="H96" s="3" t="s">
        <v>138</v>
      </c>
      <c r="I96" s="3" t="s">
        <v>32</v>
      </c>
      <c r="K96" s="2"/>
    </row>
    <row r="97" spans="1:11" ht="15.5" x14ac:dyDescent="0.35">
      <c r="A97" s="3" t="s">
        <v>343</v>
      </c>
      <c r="B97" s="3" t="s">
        <v>344</v>
      </c>
      <c r="C97" s="3" t="s">
        <v>26</v>
      </c>
      <c r="D97" s="3" t="s">
        <v>29</v>
      </c>
      <c r="E97" s="3" t="s">
        <v>26</v>
      </c>
      <c r="F97" s="2" t="str">
        <f t="shared" si="1"/>
        <v>9,1 к</v>
      </c>
      <c r="G97" s="4">
        <v>0.01</v>
      </c>
      <c r="H97" s="3" t="s">
        <v>138</v>
      </c>
      <c r="I97" s="3" t="s">
        <v>32</v>
      </c>
      <c r="K97" s="2"/>
    </row>
    <row r="98" spans="1:11" ht="15.5" x14ac:dyDescent="0.35">
      <c r="A98" s="3" t="s">
        <v>345</v>
      </c>
      <c r="B98" s="3" t="s">
        <v>346</v>
      </c>
      <c r="C98" s="3" t="s">
        <v>26</v>
      </c>
      <c r="D98" s="3" t="s">
        <v>29</v>
      </c>
      <c r="E98" s="3" t="s">
        <v>26</v>
      </c>
      <c r="F98" s="2" t="str">
        <f t="shared" si="1"/>
        <v>10 к</v>
      </c>
      <c r="G98" s="4">
        <v>0.01</v>
      </c>
      <c r="H98" s="3" t="s">
        <v>138</v>
      </c>
      <c r="I98" s="3" t="s">
        <v>32</v>
      </c>
      <c r="K98" s="7"/>
    </row>
    <row r="99" spans="1:11" ht="15.5" x14ac:dyDescent="0.35">
      <c r="A99" s="3" t="s">
        <v>347</v>
      </c>
      <c r="B99" s="3" t="s">
        <v>348</v>
      </c>
      <c r="C99" s="3" t="s">
        <v>26</v>
      </c>
      <c r="D99" s="3" t="s">
        <v>29</v>
      </c>
      <c r="E99" s="3" t="s">
        <v>26</v>
      </c>
      <c r="F99" s="2" t="str">
        <f t="shared" si="1"/>
        <v>11 к</v>
      </c>
      <c r="G99" s="4">
        <v>0.01</v>
      </c>
      <c r="H99" s="3" t="s">
        <v>138</v>
      </c>
      <c r="I99" s="3" t="s">
        <v>32</v>
      </c>
      <c r="K99" s="7"/>
    </row>
    <row r="100" spans="1:11" ht="15.5" x14ac:dyDescent="0.35">
      <c r="A100" s="3" t="s">
        <v>297</v>
      </c>
      <c r="B100" s="3" t="s">
        <v>298</v>
      </c>
      <c r="C100" s="3" t="s">
        <v>26</v>
      </c>
      <c r="D100" s="3" t="s">
        <v>29</v>
      </c>
      <c r="E100" s="3" t="s">
        <v>26</v>
      </c>
      <c r="F100" s="2" t="str">
        <f t="shared" si="1"/>
        <v>12 к</v>
      </c>
      <c r="G100" s="4">
        <v>0.01</v>
      </c>
      <c r="H100" s="3" t="s">
        <v>138</v>
      </c>
      <c r="I100" s="3" t="s">
        <v>32</v>
      </c>
      <c r="K100" s="7"/>
    </row>
    <row r="101" spans="1:11" ht="15.5" x14ac:dyDescent="0.35">
      <c r="A101" s="3" t="s">
        <v>349</v>
      </c>
      <c r="B101" s="3" t="s">
        <v>350</v>
      </c>
      <c r="C101" s="3" t="s">
        <v>26</v>
      </c>
      <c r="D101" s="3" t="s">
        <v>29</v>
      </c>
      <c r="E101" s="3" t="s">
        <v>26</v>
      </c>
      <c r="F101" s="2" t="str">
        <f t="shared" si="1"/>
        <v>13 к</v>
      </c>
      <c r="G101" s="4">
        <v>0.01</v>
      </c>
      <c r="H101" s="3" t="s">
        <v>138</v>
      </c>
      <c r="I101" s="3" t="s">
        <v>32</v>
      </c>
      <c r="K101" s="7"/>
    </row>
    <row r="102" spans="1:11" ht="15.5" x14ac:dyDescent="0.35">
      <c r="A102" s="3" t="s">
        <v>351</v>
      </c>
      <c r="B102" s="3" t="s">
        <v>352</v>
      </c>
      <c r="C102" s="3" t="s">
        <v>26</v>
      </c>
      <c r="D102" s="3" t="s">
        <v>29</v>
      </c>
      <c r="E102" s="3" t="s">
        <v>26</v>
      </c>
      <c r="F102" s="2" t="str">
        <f t="shared" si="1"/>
        <v>15 к</v>
      </c>
      <c r="G102" s="4">
        <v>0.01</v>
      </c>
      <c r="H102" s="3" t="s">
        <v>138</v>
      </c>
      <c r="I102" s="3" t="s">
        <v>32</v>
      </c>
      <c r="K102" s="7"/>
    </row>
    <row r="103" spans="1:11" ht="15.5" x14ac:dyDescent="0.35">
      <c r="A103" s="3" t="s">
        <v>353</v>
      </c>
      <c r="B103" s="3" t="s">
        <v>354</v>
      </c>
      <c r="C103" s="3" t="s">
        <v>26</v>
      </c>
      <c r="D103" s="3" t="s">
        <v>29</v>
      </c>
      <c r="E103" s="3" t="s">
        <v>26</v>
      </c>
      <c r="F103" s="2" t="str">
        <f t="shared" si="1"/>
        <v>16 к</v>
      </c>
      <c r="G103" s="4">
        <v>0.01</v>
      </c>
      <c r="H103" s="3" t="s">
        <v>138</v>
      </c>
      <c r="I103" s="3" t="s">
        <v>32</v>
      </c>
      <c r="K103" s="7"/>
    </row>
    <row r="104" spans="1:11" ht="15.5" x14ac:dyDescent="0.35">
      <c r="A104" s="3" t="s">
        <v>355</v>
      </c>
      <c r="B104" s="3" t="s">
        <v>356</v>
      </c>
      <c r="C104" s="3" t="s">
        <v>26</v>
      </c>
      <c r="D104" s="3" t="s">
        <v>29</v>
      </c>
      <c r="E104" s="3" t="s">
        <v>26</v>
      </c>
      <c r="F104" s="2" t="str">
        <f t="shared" si="1"/>
        <v>18 к</v>
      </c>
      <c r="G104" s="4">
        <v>0.01</v>
      </c>
      <c r="H104" s="3" t="s">
        <v>138</v>
      </c>
      <c r="I104" s="3" t="s">
        <v>32</v>
      </c>
      <c r="K104" s="7"/>
    </row>
    <row r="105" spans="1:11" ht="15.5" x14ac:dyDescent="0.35">
      <c r="A105" s="3" t="s">
        <v>357</v>
      </c>
      <c r="B105" s="3" t="s">
        <v>358</v>
      </c>
      <c r="C105" s="3" t="s">
        <v>26</v>
      </c>
      <c r="D105" s="3" t="s">
        <v>29</v>
      </c>
      <c r="E105" s="3" t="s">
        <v>26</v>
      </c>
      <c r="F105" s="2" t="str">
        <f t="shared" si="1"/>
        <v>20 к</v>
      </c>
      <c r="G105" s="4">
        <v>0.01</v>
      </c>
      <c r="H105" s="3" t="s">
        <v>138</v>
      </c>
      <c r="I105" s="3" t="s">
        <v>32</v>
      </c>
      <c r="K105" s="7"/>
    </row>
    <row r="106" spans="1:11" ht="15.5" x14ac:dyDescent="0.35">
      <c r="A106" s="3" t="s">
        <v>359</v>
      </c>
      <c r="B106" s="3" t="s">
        <v>360</v>
      </c>
      <c r="C106" s="3" t="s">
        <v>26</v>
      </c>
      <c r="D106" s="3" t="s">
        <v>29</v>
      </c>
      <c r="E106" s="3" t="s">
        <v>26</v>
      </c>
      <c r="F106" s="2" t="str">
        <f t="shared" si="1"/>
        <v>22 к</v>
      </c>
      <c r="G106" s="4">
        <v>0.01</v>
      </c>
      <c r="H106" s="3" t="s">
        <v>138</v>
      </c>
      <c r="I106" s="3" t="s">
        <v>32</v>
      </c>
      <c r="K106" s="7"/>
    </row>
    <row r="107" spans="1:11" ht="15.5" x14ac:dyDescent="0.35">
      <c r="A107" s="3" t="s">
        <v>361</v>
      </c>
      <c r="B107" s="3" t="s">
        <v>362</v>
      </c>
      <c r="C107" s="3" t="s">
        <v>26</v>
      </c>
      <c r="D107" s="3" t="s">
        <v>29</v>
      </c>
      <c r="E107" s="3" t="s">
        <v>26</v>
      </c>
      <c r="F107" s="2" t="str">
        <f t="shared" si="1"/>
        <v>24 к</v>
      </c>
      <c r="G107" s="4">
        <v>0.01</v>
      </c>
      <c r="H107" s="3" t="s">
        <v>138</v>
      </c>
      <c r="I107" s="3" t="s">
        <v>32</v>
      </c>
      <c r="K107" s="7"/>
    </row>
    <row r="108" spans="1:11" ht="15.5" x14ac:dyDescent="0.35">
      <c r="A108" s="3" t="s">
        <v>363</v>
      </c>
      <c r="B108" s="3" t="s">
        <v>364</v>
      </c>
      <c r="C108" s="3" t="s">
        <v>26</v>
      </c>
      <c r="D108" s="3" t="s">
        <v>29</v>
      </c>
      <c r="E108" s="3" t="s">
        <v>26</v>
      </c>
      <c r="F108" s="2" t="str">
        <f t="shared" si="1"/>
        <v>27 к</v>
      </c>
      <c r="G108" s="4">
        <v>0.01</v>
      </c>
      <c r="H108" s="3" t="s">
        <v>138</v>
      </c>
      <c r="I108" s="3" t="s">
        <v>32</v>
      </c>
      <c r="K108" s="7"/>
    </row>
    <row r="109" spans="1:11" ht="15.5" x14ac:dyDescent="0.35">
      <c r="A109" s="3" t="s">
        <v>365</v>
      </c>
      <c r="B109" s="3" t="s">
        <v>366</v>
      </c>
      <c r="C109" s="3" t="s">
        <v>26</v>
      </c>
      <c r="D109" s="3" t="s">
        <v>29</v>
      </c>
      <c r="E109" s="3" t="s">
        <v>26</v>
      </c>
      <c r="F109" s="2" t="str">
        <f t="shared" si="1"/>
        <v>30 к</v>
      </c>
      <c r="G109" s="4">
        <v>0.01</v>
      </c>
      <c r="H109" s="3" t="s">
        <v>138</v>
      </c>
      <c r="I109" s="3" t="s">
        <v>32</v>
      </c>
      <c r="K109" s="7"/>
    </row>
    <row r="110" spans="1:11" ht="15.5" x14ac:dyDescent="0.35">
      <c r="A110" s="3" t="s">
        <v>367</v>
      </c>
      <c r="B110" s="3" t="s">
        <v>368</v>
      </c>
      <c r="C110" s="3" t="s">
        <v>26</v>
      </c>
      <c r="D110" s="3" t="s">
        <v>29</v>
      </c>
      <c r="E110" s="3" t="s">
        <v>26</v>
      </c>
      <c r="F110" s="2" t="str">
        <f t="shared" si="1"/>
        <v>33 к</v>
      </c>
      <c r="G110" s="4">
        <v>0.01</v>
      </c>
      <c r="H110" s="3" t="s">
        <v>138</v>
      </c>
      <c r="I110" s="3" t="s">
        <v>32</v>
      </c>
      <c r="K110" s="7"/>
    </row>
    <row r="111" spans="1:11" ht="15.5" x14ac:dyDescent="0.35">
      <c r="A111" s="3" t="s">
        <v>369</v>
      </c>
      <c r="B111" s="3" t="s">
        <v>370</v>
      </c>
      <c r="C111" s="3" t="s">
        <v>26</v>
      </c>
      <c r="D111" s="3" t="s">
        <v>29</v>
      </c>
      <c r="E111" s="3" t="s">
        <v>26</v>
      </c>
      <c r="F111" s="2" t="str">
        <f t="shared" si="1"/>
        <v>36 к</v>
      </c>
      <c r="G111" s="4">
        <v>0.01</v>
      </c>
      <c r="H111" s="3" t="s">
        <v>138</v>
      </c>
      <c r="I111" s="3" t="s">
        <v>32</v>
      </c>
      <c r="K111" s="7"/>
    </row>
    <row r="112" spans="1:11" ht="15.5" x14ac:dyDescent="0.35">
      <c r="A112" s="3" t="s">
        <v>371</v>
      </c>
      <c r="B112" s="3" t="s">
        <v>372</v>
      </c>
      <c r="C112" s="3" t="s">
        <v>26</v>
      </c>
      <c r="D112" s="3" t="s">
        <v>29</v>
      </c>
      <c r="E112" s="3" t="s">
        <v>26</v>
      </c>
      <c r="F112" s="2" t="str">
        <f t="shared" si="1"/>
        <v>39 к</v>
      </c>
      <c r="G112" s="4">
        <v>0.01</v>
      </c>
      <c r="H112" s="3" t="s">
        <v>138</v>
      </c>
      <c r="I112" s="3" t="s">
        <v>32</v>
      </c>
      <c r="K112" s="7"/>
    </row>
    <row r="113" spans="1:11" ht="15.5" x14ac:dyDescent="0.35">
      <c r="A113" s="3" t="s">
        <v>373</v>
      </c>
      <c r="B113" s="3" t="s">
        <v>374</v>
      </c>
      <c r="C113" s="3" t="s">
        <v>26</v>
      </c>
      <c r="D113" s="3" t="s">
        <v>29</v>
      </c>
      <c r="E113" s="3" t="s">
        <v>26</v>
      </c>
      <c r="F113" s="2" t="str">
        <f t="shared" si="1"/>
        <v>43 к</v>
      </c>
      <c r="G113" s="4">
        <v>0.01</v>
      </c>
      <c r="H113" s="3" t="s">
        <v>138</v>
      </c>
      <c r="I113" s="3" t="s">
        <v>32</v>
      </c>
      <c r="K113" s="7"/>
    </row>
    <row r="114" spans="1:11" ht="15.5" x14ac:dyDescent="0.35">
      <c r="A114" s="3" t="s">
        <v>375</v>
      </c>
      <c r="B114" s="3" t="s">
        <v>376</v>
      </c>
      <c r="C114" s="3" t="s">
        <v>26</v>
      </c>
      <c r="D114" s="3" t="s">
        <v>29</v>
      </c>
      <c r="E114" s="3" t="s">
        <v>26</v>
      </c>
      <c r="F114" s="2" t="str">
        <f t="shared" si="1"/>
        <v>47 к</v>
      </c>
      <c r="G114" s="4">
        <v>0.01</v>
      </c>
      <c r="H114" s="3" t="s">
        <v>138</v>
      </c>
      <c r="I114" s="3" t="s">
        <v>32</v>
      </c>
      <c r="K114" s="7"/>
    </row>
    <row r="115" spans="1:11" ht="15.5" x14ac:dyDescent="0.35">
      <c r="A115" s="3" t="s">
        <v>377</v>
      </c>
      <c r="B115" s="3" t="s">
        <v>378</v>
      </c>
      <c r="C115" s="3" t="s">
        <v>26</v>
      </c>
      <c r="D115" s="3" t="s">
        <v>29</v>
      </c>
      <c r="E115" s="3" t="s">
        <v>26</v>
      </c>
      <c r="F115" s="2" t="str">
        <f t="shared" si="1"/>
        <v>51 к</v>
      </c>
      <c r="G115" s="4">
        <v>0.01</v>
      </c>
      <c r="H115" s="3" t="s">
        <v>138</v>
      </c>
      <c r="I115" s="3" t="s">
        <v>32</v>
      </c>
      <c r="K115" s="7"/>
    </row>
    <row r="116" spans="1:11" ht="15.5" x14ac:dyDescent="0.35">
      <c r="A116" s="3" t="s">
        <v>379</v>
      </c>
      <c r="B116" s="3" t="s">
        <v>380</v>
      </c>
      <c r="C116" s="3" t="s">
        <v>26</v>
      </c>
      <c r="D116" s="3" t="s">
        <v>29</v>
      </c>
      <c r="E116" s="3" t="s">
        <v>26</v>
      </c>
      <c r="F116" s="2" t="str">
        <f t="shared" si="1"/>
        <v>56 к</v>
      </c>
      <c r="G116" s="4">
        <v>0.01</v>
      </c>
      <c r="H116" s="3" t="s">
        <v>138</v>
      </c>
      <c r="I116" s="3" t="s">
        <v>32</v>
      </c>
      <c r="K116" s="7"/>
    </row>
    <row r="117" spans="1:11" ht="15.5" x14ac:dyDescent="0.35">
      <c r="A117" s="3" t="s">
        <v>381</v>
      </c>
      <c r="B117" s="3" t="s">
        <v>382</v>
      </c>
      <c r="C117" s="3" t="s">
        <v>26</v>
      </c>
      <c r="D117" s="3" t="s">
        <v>29</v>
      </c>
      <c r="E117" s="3" t="s">
        <v>26</v>
      </c>
      <c r="F117" s="2" t="str">
        <f t="shared" si="1"/>
        <v>62 к</v>
      </c>
      <c r="G117" s="4">
        <v>0.01</v>
      </c>
      <c r="H117" s="3" t="s">
        <v>138</v>
      </c>
      <c r="I117" s="3" t="s">
        <v>32</v>
      </c>
      <c r="K117" s="7"/>
    </row>
    <row r="118" spans="1:11" ht="15.5" x14ac:dyDescent="0.35">
      <c r="A118" s="3" t="s">
        <v>383</v>
      </c>
      <c r="B118" s="3" t="s">
        <v>384</v>
      </c>
      <c r="C118" s="3" t="s">
        <v>26</v>
      </c>
      <c r="D118" s="3" t="s">
        <v>29</v>
      </c>
      <c r="E118" s="3" t="s">
        <v>26</v>
      </c>
      <c r="F118" s="2" t="str">
        <f t="shared" si="1"/>
        <v>68 к</v>
      </c>
      <c r="G118" s="4">
        <v>0.01</v>
      </c>
      <c r="H118" s="3" t="s">
        <v>138</v>
      </c>
      <c r="I118" s="3" t="s">
        <v>32</v>
      </c>
      <c r="K118" s="7"/>
    </row>
    <row r="119" spans="1:11" ht="15.5" x14ac:dyDescent="0.35">
      <c r="A119" s="3" t="s">
        <v>385</v>
      </c>
      <c r="B119" s="3" t="s">
        <v>386</v>
      </c>
      <c r="C119" s="3" t="s">
        <v>26</v>
      </c>
      <c r="D119" s="3" t="s">
        <v>29</v>
      </c>
      <c r="E119" s="3" t="s">
        <v>26</v>
      </c>
      <c r="F119" s="2" t="str">
        <f t="shared" si="1"/>
        <v>75 к</v>
      </c>
      <c r="G119" s="4">
        <v>0.01</v>
      </c>
      <c r="H119" s="3" t="s">
        <v>138</v>
      </c>
      <c r="I119" s="3" t="s">
        <v>32</v>
      </c>
      <c r="K119" s="7"/>
    </row>
    <row r="120" spans="1:11" ht="15.5" x14ac:dyDescent="0.35">
      <c r="A120" s="3" t="s">
        <v>387</v>
      </c>
      <c r="B120" s="3" t="s">
        <v>388</v>
      </c>
      <c r="C120" s="3" t="s">
        <v>26</v>
      </c>
      <c r="D120" s="3" t="s">
        <v>29</v>
      </c>
      <c r="E120" s="3" t="s">
        <v>26</v>
      </c>
      <c r="F120" s="2" t="str">
        <f t="shared" si="1"/>
        <v>83 к</v>
      </c>
      <c r="G120" s="4">
        <v>0.01</v>
      </c>
      <c r="H120" s="3" t="s">
        <v>138</v>
      </c>
      <c r="I120" s="3" t="s">
        <v>32</v>
      </c>
      <c r="K120" s="7"/>
    </row>
    <row r="121" spans="1:11" ht="15.5" x14ac:dyDescent="0.35">
      <c r="A121" s="3" t="s">
        <v>389</v>
      </c>
      <c r="B121" s="3" t="s">
        <v>390</v>
      </c>
      <c r="C121" s="3" t="s">
        <v>26</v>
      </c>
      <c r="D121" s="3" t="s">
        <v>29</v>
      </c>
      <c r="E121" s="3" t="s">
        <v>26</v>
      </c>
      <c r="F121" s="2" t="str">
        <f t="shared" si="1"/>
        <v>91 к</v>
      </c>
      <c r="G121" s="4">
        <v>0.01</v>
      </c>
      <c r="H121" s="3" t="s">
        <v>138</v>
      </c>
      <c r="I121" s="3" t="s">
        <v>32</v>
      </c>
      <c r="K121" s="7"/>
    </row>
    <row r="122" spans="1:11" ht="15.5" x14ac:dyDescent="0.35">
      <c r="A122" s="3" t="s">
        <v>391</v>
      </c>
      <c r="B122" s="3" t="s">
        <v>392</v>
      </c>
      <c r="C122" s="3" t="s">
        <v>26</v>
      </c>
      <c r="D122" s="3" t="s">
        <v>29</v>
      </c>
      <c r="E122" s="3" t="s">
        <v>26</v>
      </c>
      <c r="F122" s="2" t="str">
        <f t="shared" si="1"/>
        <v>100 к</v>
      </c>
      <c r="G122" s="4">
        <v>0.01</v>
      </c>
      <c r="H122" s="3" t="s">
        <v>138</v>
      </c>
      <c r="I122" s="3" t="s">
        <v>32</v>
      </c>
      <c r="K122" s="7"/>
    </row>
    <row r="123" spans="1:11" ht="15.5" x14ac:dyDescent="0.35">
      <c r="A123" s="3" t="s">
        <v>393</v>
      </c>
      <c r="B123" s="3" t="s">
        <v>394</v>
      </c>
      <c r="C123" s="3" t="s">
        <v>26</v>
      </c>
      <c r="D123" s="3" t="s">
        <v>29</v>
      </c>
      <c r="E123" s="3" t="s">
        <v>26</v>
      </c>
      <c r="F123" s="2" t="str">
        <f t="shared" si="1"/>
        <v>110 к</v>
      </c>
      <c r="G123" s="4">
        <v>0.01</v>
      </c>
      <c r="H123" s="3" t="s">
        <v>138</v>
      </c>
      <c r="I123" s="3" t="s">
        <v>32</v>
      </c>
    </row>
    <row r="124" spans="1:11" ht="15.5" x14ac:dyDescent="0.35">
      <c r="A124" s="3" t="s">
        <v>395</v>
      </c>
      <c r="B124" s="3" t="s">
        <v>396</v>
      </c>
      <c r="C124" s="3" t="s">
        <v>26</v>
      </c>
      <c r="D124" s="3" t="s">
        <v>29</v>
      </c>
      <c r="E124" s="3" t="s">
        <v>26</v>
      </c>
      <c r="F124" s="2" t="str">
        <f t="shared" si="1"/>
        <v>120 к</v>
      </c>
      <c r="G124" s="4">
        <v>0.01</v>
      </c>
      <c r="H124" s="3" t="s">
        <v>138</v>
      </c>
      <c r="I124" s="3" t="s">
        <v>32</v>
      </c>
    </row>
    <row r="125" spans="1:11" ht="15.5" x14ac:dyDescent="0.35">
      <c r="A125" s="3" t="s">
        <v>397</v>
      </c>
      <c r="B125" s="3" t="s">
        <v>398</v>
      </c>
      <c r="C125" s="3" t="s">
        <v>26</v>
      </c>
      <c r="D125" s="3" t="s">
        <v>29</v>
      </c>
      <c r="E125" s="3" t="s">
        <v>26</v>
      </c>
      <c r="F125" s="2" t="str">
        <f t="shared" si="1"/>
        <v>130 к</v>
      </c>
      <c r="G125" s="4">
        <v>0.01</v>
      </c>
      <c r="H125" s="3" t="s">
        <v>138</v>
      </c>
      <c r="I125" s="3" t="s">
        <v>32</v>
      </c>
    </row>
    <row r="126" spans="1:11" ht="15.5" x14ac:dyDescent="0.35">
      <c r="A126" s="3" t="s">
        <v>399</v>
      </c>
      <c r="B126" s="3" t="s">
        <v>400</v>
      </c>
      <c r="C126" s="3" t="s">
        <v>26</v>
      </c>
      <c r="D126" s="3" t="s">
        <v>29</v>
      </c>
      <c r="E126" s="3" t="s">
        <v>26</v>
      </c>
      <c r="F126" s="2" t="str">
        <f t="shared" si="1"/>
        <v>150 к</v>
      </c>
      <c r="G126" s="4">
        <v>0.01</v>
      </c>
      <c r="H126" s="3" t="s">
        <v>138</v>
      </c>
      <c r="I126" s="3" t="s">
        <v>32</v>
      </c>
    </row>
    <row r="127" spans="1:11" ht="15.5" x14ac:dyDescent="0.35">
      <c r="A127" s="3" t="s">
        <v>401</v>
      </c>
      <c r="B127" s="3" t="s">
        <v>402</v>
      </c>
      <c r="C127" s="3" t="s">
        <v>26</v>
      </c>
      <c r="D127" s="3" t="s">
        <v>29</v>
      </c>
      <c r="E127" s="3" t="s">
        <v>26</v>
      </c>
      <c r="F127" s="2" t="str">
        <f t="shared" si="1"/>
        <v>160 к</v>
      </c>
      <c r="G127" s="4">
        <v>0.01</v>
      </c>
      <c r="H127" s="3" t="s">
        <v>138</v>
      </c>
      <c r="I127" s="3" t="s">
        <v>32</v>
      </c>
    </row>
    <row r="128" spans="1:11" ht="15.5" x14ac:dyDescent="0.35">
      <c r="A128" s="3" t="s">
        <v>403</v>
      </c>
      <c r="B128" s="3" t="s">
        <v>404</v>
      </c>
      <c r="C128" s="3" t="s">
        <v>26</v>
      </c>
      <c r="D128" s="3" t="s">
        <v>29</v>
      </c>
      <c r="E128" s="3" t="s">
        <v>26</v>
      </c>
      <c r="F128" s="2" t="str">
        <f t="shared" si="1"/>
        <v>180 к</v>
      </c>
      <c r="G128" s="4">
        <v>0.01</v>
      </c>
      <c r="H128" s="3" t="s">
        <v>138</v>
      </c>
      <c r="I128" s="3" t="s">
        <v>32</v>
      </c>
    </row>
    <row r="129" spans="1:9" ht="15.5" x14ac:dyDescent="0.35">
      <c r="A129" s="3" t="s">
        <v>405</v>
      </c>
      <c r="B129" s="3" t="s">
        <v>406</v>
      </c>
      <c r="C129" s="3" t="s">
        <v>26</v>
      </c>
      <c r="D129" s="3" t="s">
        <v>29</v>
      </c>
      <c r="E129" s="3" t="s">
        <v>26</v>
      </c>
      <c r="F129" s="2" t="str">
        <f t="shared" si="1"/>
        <v>200 к</v>
      </c>
      <c r="G129" s="4">
        <v>0.01</v>
      </c>
      <c r="H129" s="3" t="s">
        <v>138</v>
      </c>
      <c r="I129" s="3" t="s">
        <v>32</v>
      </c>
    </row>
    <row r="130" spans="1:9" ht="15.5" x14ac:dyDescent="0.35">
      <c r="A130" s="3" t="s">
        <v>407</v>
      </c>
      <c r="B130" s="3" t="s">
        <v>408</v>
      </c>
      <c r="C130" s="3" t="s">
        <v>26</v>
      </c>
      <c r="D130" s="3" t="s">
        <v>29</v>
      </c>
      <c r="E130" s="3" t="s">
        <v>26</v>
      </c>
      <c r="F130" s="2" t="str">
        <f t="shared" si="1"/>
        <v>220 к</v>
      </c>
      <c r="G130" s="4">
        <v>0.01</v>
      </c>
      <c r="H130" s="3" t="s">
        <v>138</v>
      </c>
      <c r="I130" s="3" t="s">
        <v>32</v>
      </c>
    </row>
    <row r="131" spans="1:9" ht="15.5" x14ac:dyDescent="0.35">
      <c r="A131" s="3" t="s">
        <v>409</v>
      </c>
      <c r="B131" s="3" t="s">
        <v>410</v>
      </c>
      <c r="C131" s="3" t="s">
        <v>26</v>
      </c>
      <c r="D131" s="3" t="s">
        <v>29</v>
      </c>
      <c r="E131" s="3" t="s">
        <v>26</v>
      </c>
      <c r="F131" s="2" t="str">
        <f t="shared" si="1"/>
        <v>240 к</v>
      </c>
      <c r="G131" s="4">
        <v>0.01</v>
      </c>
      <c r="H131" s="3" t="s">
        <v>138</v>
      </c>
      <c r="I131" s="3" t="s">
        <v>32</v>
      </c>
    </row>
    <row r="132" spans="1:9" ht="15.5" x14ac:dyDescent="0.35">
      <c r="A132" s="3" t="s">
        <v>411</v>
      </c>
      <c r="B132" s="3" t="s">
        <v>412</v>
      </c>
      <c r="C132" s="3" t="s">
        <v>26</v>
      </c>
      <c r="D132" s="3" t="s">
        <v>29</v>
      </c>
      <c r="E132" s="3" t="s">
        <v>26</v>
      </c>
      <c r="F132" s="2" t="str">
        <f t="shared" si="1"/>
        <v>270 к</v>
      </c>
      <c r="G132" s="4">
        <v>0.01</v>
      </c>
      <c r="H132" s="3" t="s">
        <v>138</v>
      </c>
      <c r="I132" s="3" t="s">
        <v>32</v>
      </c>
    </row>
    <row r="133" spans="1:9" ht="15.5" x14ac:dyDescent="0.35">
      <c r="A133" s="3" t="s">
        <v>413</v>
      </c>
      <c r="B133" s="3" t="s">
        <v>414</v>
      </c>
      <c r="C133" s="3" t="s">
        <v>26</v>
      </c>
      <c r="D133" s="3" t="s">
        <v>29</v>
      </c>
      <c r="E133" s="3" t="s">
        <v>26</v>
      </c>
      <c r="F133" s="2" t="str">
        <f t="shared" si="1"/>
        <v>300 к</v>
      </c>
      <c r="G133" s="4">
        <v>0.01</v>
      </c>
      <c r="H133" s="3" t="s">
        <v>138</v>
      </c>
      <c r="I133" s="3" t="s">
        <v>32</v>
      </c>
    </row>
    <row r="134" spans="1:9" ht="15.5" x14ac:dyDescent="0.35">
      <c r="A134" s="3" t="s">
        <v>415</v>
      </c>
      <c r="B134" s="3" t="s">
        <v>416</v>
      </c>
      <c r="C134" s="3" t="s">
        <v>26</v>
      </c>
      <c r="D134" s="3" t="s">
        <v>29</v>
      </c>
      <c r="E134" s="3" t="s">
        <v>26</v>
      </c>
      <c r="F134" s="2" t="str">
        <f t="shared" si="1"/>
        <v>330 к</v>
      </c>
      <c r="G134" s="4">
        <v>0.01</v>
      </c>
      <c r="H134" s="3" t="s">
        <v>138</v>
      </c>
      <c r="I134" s="3" t="s">
        <v>32</v>
      </c>
    </row>
    <row r="135" spans="1:9" ht="15.5" x14ac:dyDescent="0.35">
      <c r="A135" s="3" t="s">
        <v>417</v>
      </c>
      <c r="B135" s="3" t="s">
        <v>418</v>
      </c>
      <c r="C135" s="3" t="s">
        <v>26</v>
      </c>
      <c r="D135" s="3" t="s">
        <v>29</v>
      </c>
      <c r="E135" s="3" t="s">
        <v>26</v>
      </c>
      <c r="F135" s="2" t="str">
        <f t="shared" si="1"/>
        <v>360 к</v>
      </c>
      <c r="G135" s="4">
        <v>0.01</v>
      </c>
      <c r="H135" s="3" t="s">
        <v>138</v>
      </c>
      <c r="I135" s="3" t="s">
        <v>32</v>
      </c>
    </row>
    <row r="136" spans="1:9" ht="15.5" x14ac:dyDescent="0.35">
      <c r="A136" s="3" t="s">
        <v>419</v>
      </c>
      <c r="B136" s="3" t="s">
        <v>420</v>
      </c>
      <c r="C136" s="3" t="s">
        <v>26</v>
      </c>
      <c r="D136" s="3" t="s">
        <v>29</v>
      </c>
      <c r="E136" s="3" t="s">
        <v>26</v>
      </c>
      <c r="F136" s="2" t="str">
        <f t="shared" si="1"/>
        <v>390 к</v>
      </c>
      <c r="G136" s="4">
        <v>0.01</v>
      </c>
      <c r="H136" s="3" t="s">
        <v>138</v>
      </c>
      <c r="I136" s="3" t="s">
        <v>32</v>
      </c>
    </row>
    <row r="137" spans="1:9" ht="15.5" x14ac:dyDescent="0.35">
      <c r="A137" s="3" t="s">
        <v>421</v>
      </c>
      <c r="B137" s="3" t="s">
        <v>422</v>
      </c>
      <c r="C137" s="3" t="s">
        <v>26</v>
      </c>
      <c r="D137" s="3" t="s">
        <v>29</v>
      </c>
      <c r="E137" s="3" t="s">
        <v>26</v>
      </c>
      <c r="F137" s="2" t="str">
        <f t="shared" si="1"/>
        <v>430 к</v>
      </c>
      <c r="G137" s="4">
        <v>0.01</v>
      </c>
      <c r="H137" s="3" t="s">
        <v>138</v>
      </c>
      <c r="I137" s="3" t="s">
        <v>32</v>
      </c>
    </row>
    <row r="138" spans="1:9" ht="15.5" x14ac:dyDescent="0.35">
      <c r="A138" s="3" t="s">
        <v>423</v>
      </c>
      <c r="B138" s="3" t="s">
        <v>424</v>
      </c>
      <c r="C138" s="3" t="s">
        <v>26</v>
      </c>
      <c r="D138" s="3" t="s">
        <v>29</v>
      </c>
      <c r="E138" s="3" t="s">
        <v>26</v>
      </c>
      <c r="F138" s="2" t="str">
        <f t="shared" si="1"/>
        <v>470 к</v>
      </c>
      <c r="G138" s="4">
        <v>0.01</v>
      </c>
      <c r="H138" s="3" t="s">
        <v>138</v>
      </c>
      <c r="I138" s="3" t="s">
        <v>32</v>
      </c>
    </row>
    <row r="139" spans="1:9" ht="15.5" x14ac:dyDescent="0.35">
      <c r="A139" s="3" t="s">
        <v>425</v>
      </c>
      <c r="B139" s="3" t="s">
        <v>426</v>
      </c>
      <c r="C139" s="3" t="s">
        <v>26</v>
      </c>
      <c r="D139" s="3" t="s">
        <v>29</v>
      </c>
      <c r="E139" s="3" t="s">
        <v>26</v>
      </c>
      <c r="F139" s="2" t="str">
        <f t="shared" ref="F139:F145" si="2">CONCATENATE(F67," к")</f>
        <v>510 к</v>
      </c>
      <c r="G139" s="4">
        <v>0.01</v>
      </c>
      <c r="H139" s="3" t="s">
        <v>138</v>
      </c>
      <c r="I139" s="3" t="s">
        <v>32</v>
      </c>
    </row>
    <row r="140" spans="1:9" ht="15.5" x14ac:dyDescent="0.35">
      <c r="A140" s="3" t="s">
        <v>427</v>
      </c>
      <c r="B140" s="3" t="s">
        <v>428</v>
      </c>
      <c r="C140" s="3" t="s">
        <v>26</v>
      </c>
      <c r="D140" s="3" t="s">
        <v>29</v>
      </c>
      <c r="E140" s="3" t="s">
        <v>26</v>
      </c>
      <c r="F140" s="2" t="str">
        <f t="shared" si="2"/>
        <v>560 к</v>
      </c>
      <c r="G140" s="4">
        <v>0.01</v>
      </c>
      <c r="H140" s="3" t="s">
        <v>138</v>
      </c>
      <c r="I140" s="3" t="s">
        <v>32</v>
      </c>
    </row>
    <row r="141" spans="1:9" ht="15.5" x14ac:dyDescent="0.35">
      <c r="A141" s="3" t="s">
        <v>429</v>
      </c>
      <c r="B141" s="3" t="s">
        <v>430</v>
      </c>
      <c r="C141" s="3" t="s">
        <v>26</v>
      </c>
      <c r="D141" s="3" t="s">
        <v>29</v>
      </c>
      <c r="E141" s="3" t="s">
        <v>26</v>
      </c>
      <c r="F141" s="2" t="str">
        <f t="shared" si="2"/>
        <v>620 к</v>
      </c>
      <c r="G141" s="4">
        <v>0.01</v>
      </c>
      <c r="H141" s="3" t="s">
        <v>138</v>
      </c>
      <c r="I141" s="3" t="s">
        <v>32</v>
      </c>
    </row>
    <row r="142" spans="1:9" ht="15.5" x14ac:dyDescent="0.35">
      <c r="A142" s="3" t="s">
        <v>431</v>
      </c>
      <c r="B142" s="3" t="s">
        <v>432</v>
      </c>
      <c r="C142" s="3" t="s">
        <v>26</v>
      </c>
      <c r="D142" s="3" t="s">
        <v>29</v>
      </c>
      <c r="E142" s="3" t="s">
        <v>26</v>
      </c>
      <c r="F142" s="2" t="str">
        <f t="shared" si="2"/>
        <v>680 к</v>
      </c>
      <c r="G142" s="4">
        <v>0.01</v>
      </c>
      <c r="H142" s="3" t="s">
        <v>138</v>
      </c>
      <c r="I142" s="3" t="s">
        <v>32</v>
      </c>
    </row>
    <row r="143" spans="1:9" ht="15.5" x14ac:dyDescent="0.35">
      <c r="A143" s="3" t="s">
        <v>433</v>
      </c>
      <c r="B143" s="3" t="s">
        <v>434</v>
      </c>
      <c r="C143" s="3" t="s">
        <v>26</v>
      </c>
      <c r="D143" s="3" t="s">
        <v>29</v>
      </c>
      <c r="E143" s="3" t="s">
        <v>26</v>
      </c>
      <c r="F143" s="2" t="str">
        <f t="shared" si="2"/>
        <v>750 к</v>
      </c>
      <c r="G143" s="4">
        <v>0.01</v>
      </c>
      <c r="H143" s="3" t="s">
        <v>138</v>
      </c>
      <c r="I143" s="3" t="s">
        <v>32</v>
      </c>
    </row>
    <row r="144" spans="1:9" ht="15.5" x14ac:dyDescent="0.35">
      <c r="A144" s="3" t="s">
        <v>435</v>
      </c>
      <c r="B144" s="3" t="s">
        <v>436</v>
      </c>
      <c r="C144" s="3" t="s">
        <v>26</v>
      </c>
      <c r="D144" s="3" t="s">
        <v>29</v>
      </c>
      <c r="E144" s="3" t="s">
        <v>26</v>
      </c>
      <c r="F144" s="2" t="str">
        <f t="shared" si="2"/>
        <v>830 к</v>
      </c>
      <c r="G144" s="4">
        <v>0.01</v>
      </c>
      <c r="H144" s="3" t="s">
        <v>138</v>
      </c>
      <c r="I144" s="3" t="s">
        <v>32</v>
      </c>
    </row>
    <row r="145" spans="1:9" ht="15.5" x14ac:dyDescent="0.35">
      <c r="A145" s="3" t="s">
        <v>437</v>
      </c>
      <c r="B145" s="3" t="s">
        <v>438</v>
      </c>
      <c r="C145" s="3" t="s">
        <v>26</v>
      </c>
      <c r="D145" s="3" t="s">
        <v>29</v>
      </c>
      <c r="E145" s="3" t="s">
        <v>26</v>
      </c>
      <c r="F145" s="2" t="str">
        <f t="shared" si="2"/>
        <v>910 к</v>
      </c>
      <c r="G145" s="4">
        <v>0.01</v>
      </c>
      <c r="H145" s="3" t="s">
        <v>138</v>
      </c>
      <c r="I145" s="3" t="s">
        <v>32</v>
      </c>
    </row>
    <row r="146" spans="1:9" ht="15.5" x14ac:dyDescent="0.35">
      <c r="A146" s="3" t="s">
        <v>439</v>
      </c>
      <c r="B146" s="3" t="s">
        <v>440</v>
      </c>
      <c r="C146" s="3" t="s">
        <v>26</v>
      </c>
      <c r="D146" s="3" t="s">
        <v>29</v>
      </c>
      <c r="E146" s="3" t="s">
        <v>26</v>
      </c>
      <c r="F146" s="7" t="str">
        <f>CONCATENATE(F2," М")</f>
        <v>1,0 М</v>
      </c>
      <c r="G146" s="4">
        <v>0.01</v>
      </c>
      <c r="H146" s="3" t="s">
        <v>138</v>
      </c>
      <c r="I146" s="3" t="s">
        <v>32</v>
      </c>
    </row>
    <row r="147" spans="1:9" ht="15.5" x14ac:dyDescent="0.35">
      <c r="A147" s="3" t="s">
        <v>441</v>
      </c>
      <c r="B147" s="3" t="s">
        <v>442</v>
      </c>
      <c r="C147" s="3" t="s">
        <v>26</v>
      </c>
      <c r="D147" s="3" t="s">
        <v>29</v>
      </c>
      <c r="E147" s="3" t="s">
        <v>26</v>
      </c>
      <c r="F147" s="7" t="str">
        <f>CONCATENATE(F3," М")</f>
        <v>1,1 М</v>
      </c>
      <c r="G147" s="4">
        <v>0.01</v>
      </c>
      <c r="H147" s="3" t="s">
        <v>138</v>
      </c>
      <c r="I147" s="3" t="s">
        <v>32</v>
      </c>
    </row>
    <row r="148" spans="1:9" ht="15.5" x14ac:dyDescent="0.35">
      <c r="A148" s="3" t="s">
        <v>443</v>
      </c>
      <c r="B148" s="3" t="s">
        <v>444</v>
      </c>
      <c r="C148" s="3" t="s">
        <v>26</v>
      </c>
      <c r="D148" s="3" t="s">
        <v>29</v>
      </c>
      <c r="E148" s="3" t="s">
        <v>26</v>
      </c>
      <c r="F148" s="7" t="str">
        <f t="shared" ref="F148:F154" si="3">CONCATENATE(F4," М")</f>
        <v>1,2 М</v>
      </c>
      <c r="G148" s="4">
        <v>0.01</v>
      </c>
      <c r="H148" s="3" t="s">
        <v>138</v>
      </c>
      <c r="I148" s="3" t="s">
        <v>32</v>
      </c>
    </row>
    <row r="149" spans="1:9" ht="15.5" x14ac:dyDescent="0.35">
      <c r="A149" s="3" t="s">
        <v>445</v>
      </c>
      <c r="B149" s="3" t="s">
        <v>446</v>
      </c>
      <c r="C149" s="3" t="s">
        <v>26</v>
      </c>
      <c r="D149" s="3" t="s">
        <v>29</v>
      </c>
      <c r="E149" s="3" t="s">
        <v>26</v>
      </c>
      <c r="F149" s="7" t="str">
        <f t="shared" si="3"/>
        <v>1,3 М</v>
      </c>
      <c r="G149" s="4">
        <v>0.01</v>
      </c>
      <c r="H149" s="3" t="s">
        <v>138</v>
      </c>
      <c r="I149" s="3" t="s">
        <v>32</v>
      </c>
    </row>
    <row r="150" spans="1:9" ht="15.5" x14ac:dyDescent="0.35">
      <c r="A150" s="3" t="s">
        <v>447</v>
      </c>
      <c r="B150" s="3" t="s">
        <v>448</v>
      </c>
      <c r="C150" s="3" t="s">
        <v>26</v>
      </c>
      <c r="D150" s="3" t="s">
        <v>29</v>
      </c>
      <c r="E150" s="3" t="s">
        <v>26</v>
      </c>
      <c r="F150" s="7" t="str">
        <f t="shared" si="3"/>
        <v>1,5 М</v>
      </c>
      <c r="G150" s="4">
        <v>0.01</v>
      </c>
      <c r="H150" s="3" t="s">
        <v>138</v>
      </c>
      <c r="I150" s="3" t="s">
        <v>32</v>
      </c>
    </row>
    <row r="151" spans="1:9" ht="15.5" x14ac:dyDescent="0.35">
      <c r="A151" s="3" t="s">
        <v>449</v>
      </c>
      <c r="B151" s="3" t="s">
        <v>450</v>
      </c>
      <c r="C151" s="3" t="s">
        <v>26</v>
      </c>
      <c r="D151" s="3" t="s">
        <v>29</v>
      </c>
      <c r="E151" s="3" t="s">
        <v>26</v>
      </c>
      <c r="F151" s="7" t="str">
        <f t="shared" si="3"/>
        <v>1,6 М</v>
      </c>
      <c r="G151" s="4">
        <v>0.01</v>
      </c>
      <c r="H151" s="3" t="s">
        <v>138</v>
      </c>
      <c r="I151" s="3" t="s">
        <v>32</v>
      </c>
    </row>
    <row r="152" spans="1:9" ht="15.5" x14ac:dyDescent="0.35">
      <c r="A152" s="3" t="s">
        <v>451</v>
      </c>
      <c r="B152" s="3" t="s">
        <v>452</v>
      </c>
      <c r="C152" s="3" t="s">
        <v>26</v>
      </c>
      <c r="D152" s="3" t="s">
        <v>29</v>
      </c>
      <c r="E152" s="3" t="s">
        <v>26</v>
      </c>
      <c r="F152" s="7" t="str">
        <f t="shared" si="3"/>
        <v>1,8 М</v>
      </c>
      <c r="G152" s="4">
        <v>0.01</v>
      </c>
      <c r="H152" s="3" t="s">
        <v>138</v>
      </c>
      <c r="I152" s="3" t="s">
        <v>32</v>
      </c>
    </row>
    <row r="153" spans="1:9" ht="15.5" x14ac:dyDescent="0.35">
      <c r="A153" s="3" t="s">
        <v>453</v>
      </c>
      <c r="B153" s="3" t="s">
        <v>454</v>
      </c>
      <c r="C153" s="3" t="s">
        <v>26</v>
      </c>
      <c r="D153" s="3" t="s">
        <v>29</v>
      </c>
      <c r="E153" s="3" t="s">
        <v>26</v>
      </c>
      <c r="F153" s="7" t="str">
        <f t="shared" si="3"/>
        <v>2,0 М</v>
      </c>
      <c r="G153" s="4">
        <v>0.01</v>
      </c>
      <c r="H153" s="3" t="s">
        <v>138</v>
      </c>
      <c r="I153" s="3" t="s">
        <v>32</v>
      </c>
    </row>
    <row r="154" spans="1:9" ht="15.5" x14ac:dyDescent="0.35">
      <c r="A154" s="3" t="s">
        <v>455</v>
      </c>
      <c r="B154" s="3" t="s">
        <v>456</v>
      </c>
      <c r="C154" s="3" t="s">
        <v>26</v>
      </c>
      <c r="D154" s="3" t="s">
        <v>29</v>
      </c>
      <c r="E154" s="3" t="s">
        <v>26</v>
      </c>
      <c r="F154" s="7" t="str">
        <f t="shared" si="3"/>
        <v>2,2 М</v>
      </c>
      <c r="G154" s="4">
        <v>0.01</v>
      </c>
      <c r="H154" s="3" t="s">
        <v>138</v>
      </c>
      <c r="I154" s="3" t="s">
        <v>32</v>
      </c>
    </row>
    <row r="155" spans="1:9" ht="15.5" x14ac:dyDescent="0.35">
      <c r="A155" s="3" t="s">
        <v>457</v>
      </c>
      <c r="B155" s="3" t="s">
        <v>458</v>
      </c>
      <c r="C155" s="3" t="s">
        <v>26</v>
      </c>
      <c r="D155" s="3" t="s">
        <v>29</v>
      </c>
      <c r="E155" s="3" t="s">
        <v>26</v>
      </c>
      <c r="F155" s="7" t="str">
        <f>CONCATENATE(F11," М")</f>
        <v>2,4 М</v>
      </c>
      <c r="G155" s="4">
        <v>0.01</v>
      </c>
      <c r="H155" s="3" t="s">
        <v>138</v>
      </c>
      <c r="I155" s="3" t="s">
        <v>32</v>
      </c>
    </row>
    <row r="156" spans="1:9" ht="15.5" x14ac:dyDescent="0.35">
      <c r="A156" s="3" t="s">
        <v>459</v>
      </c>
      <c r="B156" s="3" t="s">
        <v>460</v>
      </c>
      <c r="C156" s="3" t="s">
        <v>26</v>
      </c>
      <c r="D156" s="3" t="s">
        <v>29</v>
      </c>
      <c r="E156" s="3" t="s">
        <v>26</v>
      </c>
      <c r="F156" s="7" t="str">
        <f>CONCATENATE(F12," М")</f>
        <v>2,7 М</v>
      </c>
      <c r="G156" s="4">
        <v>0.01</v>
      </c>
      <c r="H156" s="3" t="s">
        <v>138</v>
      </c>
      <c r="I156" s="3" t="s">
        <v>32</v>
      </c>
    </row>
    <row r="157" spans="1:9" ht="15.5" x14ac:dyDescent="0.35">
      <c r="A157" s="3" t="s">
        <v>461</v>
      </c>
      <c r="B157" s="3" t="s">
        <v>462</v>
      </c>
      <c r="C157" s="3" t="s">
        <v>26</v>
      </c>
      <c r="D157" s="3" t="s">
        <v>29</v>
      </c>
      <c r="E157" s="3" t="s">
        <v>26</v>
      </c>
      <c r="F157" s="7" t="str">
        <f t="shared" ref="F157:F160" si="4">CONCATENATE(F13," М")</f>
        <v>3,0 М</v>
      </c>
      <c r="G157" s="4">
        <v>0.01</v>
      </c>
      <c r="H157" s="3" t="s">
        <v>138</v>
      </c>
      <c r="I157" s="3" t="s">
        <v>32</v>
      </c>
    </row>
    <row r="158" spans="1:9" ht="15.5" x14ac:dyDescent="0.35">
      <c r="A158" s="3" t="s">
        <v>463</v>
      </c>
      <c r="B158" s="3" t="s">
        <v>464</v>
      </c>
      <c r="C158" s="3" t="s">
        <v>26</v>
      </c>
      <c r="D158" s="3" t="s">
        <v>29</v>
      </c>
      <c r="E158" s="3" t="s">
        <v>26</v>
      </c>
      <c r="F158" s="7" t="str">
        <f t="shared" si="4"/>
        <v>3,3 М</v>
      </c>
      <c r="G158" s="4">
        <v>0.01</v>
      </c>
      <c r="H158" s="3" t="s">
        <v>138</v>
      </c>
      <c r="I158" s="3" t="s">
        <v>32</v>
      </c>
    </row>
    <row r="159" spans="1:9" ht="15.5" x14ac:dyDescent="0.35">
      <c r="A159" s="3" t="s">
        <v>465</v>
      </c>
      <c r="B159" s="3" t="s">
        <v>466</v>
      </c>
      <c r="C159" s="3" t="s">
        <v>26</v>
      </c>
      <c r="D159" s="3" t="s">
        <v>29</v>
      </c>
      <c r="E159" s="3" t="s">
        <v>26</v>
      </c>
      <c r="F159" s="7" t="str">
        <f t="shared" si="4"/>
        <v>3,6 М</v>
      </c>
      <c r="G159" s="4">
        <v>0.01</v>
      </c>
      <c r="H159" s="3" t="s">
        <v>138</v>
      </c>
      <c r="I159" s="3" t="s">
        <v>32</v>
      </c>
    </row>
    <row r="160" spans="1:9" ht="15.5" x14ac:dyDescent="0.35">
      <c r="A160" s="3" t="s">
        <v>467</v>
      </c>
      <c r="B160" s="3" t="s">
        <v>468</v>
      </c>
      <c r="C160" s="3" t="s">
        <v>26</v>
      </c>
      <c r="D160" s="3" t="s">
        <v>29</v>
      </c>
      <c r="E160" s="3" t="s">
        <v>26</v>
      </c>
      <c r="F160" s="7" t="str">
        <f t="shared" si="4"/>
        <v>3,9 М</v>
      </c>
      <c r="G160" s="4">
        <v>0.01</v>
      </c>
      <c r="H160" s="3" t="s">
        <v>138</v>
      </c>
      <c r="I160" s="3" t="s">
        <v>32</v>
      </c>
    </row>
    <row r="161" spans="1:9" ht="15.5" x14ac:dyDescent="0.35">
      <c r="A161" s="3" t="s">
        <v>469</v>
      </c>
      <c r="B161" s="3" t="s">
        <v>470</v>
      </c>
      <c r="C161" s="3" t="s">
        <v>26</v>
      </c>
      <c r="D161" s="3" t="s">
        <v>29</v>
      </c>
      <c r="E161" s="3" t="s">
        <v>26</v>
      </c>
      <c r="F161" s="7" t="str">
        <f>CONCATENATE(F17," М")</f>
        <v>4,3 М</v>
      </c>
      <c r="G161" s="4">
        <v>0.01</v>
      </c>
      <c r="H161" s="3" t="s">
        <v>138</v>
      </c>
      <c r="I161" s="3" t="s">
        <v>32</v>
      </c>
    </row>
    <row r="162" spans="1:9" ht="15.5" x14ac:dyDescent="0.35">
      <c r="A162" s="3" t="s">
        <v>471</v>
      </c>
      <c r="B162" s="3" t="s">
        <v>472</v>
      </c>
      <c r="C162" s="3" t="s">
        <v>26</v>
      </c>
      <c r="D162" s="3" t="s">
        <v>29</v>
      </c>
      <c r="E162" s="3" t="s">
        <v>26</v>
      </c>
      <c r="F162" s="7" t="str">
        <f>CONCATENATE(F18," М")</f>
        <v>4,7 М</v>
      </c>
      <c r="G162" s="4">
        <v>0.01</v>
      </c>
      <c r="H162" s="3" t="s">
        <v>138</v>
      </c>
      <c r="I162" s="3" t="s">
        <v>32</v>
      </c>
    </row>
    <row r="163" spans="1:9" ht="15.5" x14ac:dyDescent="0.35">
      <c r="A163" s="3" t="s">
        <v>473</v>
      </c>
      <c r="B163" s="3" t="s">
        <v>474</v>
      </c>
      <c r="C163" s="3" t="s">
        <v>26</v>
      </c>
      <c r="D163" s="3" t="s">
        <v>29</v>
      </c>
      <c r="E163" s="3" t="s">
        <v>26</v>
      </c>
      <c r="F163" s="7" t="str">
        <f t="shared" ref="F163:F170" si="5">CONCATENATE(F19," М")</f>
        <v>5,1 М</v>
      </c>
      <c r="G163" s="4">
        <v>0.01</v>
      </c>
      <c r="H163" s="3" t="s">
        <v>138</v>
      </c>
      <c r="I163" s="3" t="s">
        <v>32</v>
      </c>
    </row>
    <row r="164" spans="1:9" ht="15.5" x14ac:dyDescent="0.35">
      <c r="A164" s="3" t="s">
        <v>475</v>
      </c>
      <c r="B164" s="3" t="s">
        <v>476</v>
      </c>
      <c r="C164" s="3" t="s">
        <v>26</v>
      </c>
      <c r="D164" s="3" t="s">
        <v>29</v>
      </c>
      <c r="E164" s="3" t="s">
        <v>26</v>
      </c>
      <c r="F164" s="7" t="str">
        <f t="shared" si="5"/>
        <v>5,6 М</v>
      </c>
      <c r="G164" s="4">
        <v>0.01</v>
      </c>
      <c r="H164" s="3" t="s">
        <v>138</v>
      </c>
      <c r="I164" s="3" t="s">
        <v>32</v>
      </c>
    </row>
    <row r="165" spans="1:9" ht="15.5" x14ac:dyDescent="0.35">
      <c r="A165" s="3" t="s">
        <v>477</v>
      </c>
      <c r="B165" s="3" t="s">
        <v>478</v>
      </c>
      <c r="C165" s="3" t="s">
        <v>26</v>
      </c>
      <c r="D165" s="3" t="s">
        <v>29</v>
      </c>
      <c r="E165" s="3" t="s">
        <v>26</v>
      </c>
      <c r="F165" s="7" t="str">
        <f t="shared" si="5"/>
        <v>6,2 М</v>
      </c>
      <c r="G165" s="4">
        <v>0.01</v>
      </c>
      <c r="H165" s="3" t="s">
        <v>138</v>
      </c>
      <c r="I165" s="3" t="s">
        <v>32</v>
      </c>
    </row>
    <row r="166" spans="1:9" ht="15.5" x14ac:dyDescent="0.35">
      <c r="A166" s="3" t="s">
        <v>479</v>
      </c>
      <c r="B166" s="3" t="s">
        <v>480</v>
      </c>
      <c r="C166" s="3" t="s">
        <v>26</v>
      </c>
      <c r="D166" s="3" t="s">
        <v>29</v>
      </c>
      <c r="E166" s="3" t="s">
        <v>26</v>
      </c>
      <c r="F166" s="7" t="str">
        <f t="shared" si="5"/>
        <v>6,8 М</v>
      </c>
      <c r="G166" s="4">
        <v>0.01</v>
      </c>
      <c r="H166" s="3" t="s">
        <v>138</v>
      </c>
      <c r="I166" s="3" t="s">
        <v>32</v>
      </c>
    </row>
    <row r="167" spans="1:9" ht="15.5" x14ac:dyDescent="0.35">
      <c r="A167" s="3" t="s">
        <v>481</v>
      </c>
      <c r="B167" s="3" t="s">
        <v>482</v>
      </c>
      <c r="C167" s="3" t="s">
        <v>26</v>
      </c>
      <c r="D167" s="3" t="s">
        <v>29</v>
      </c>
      <c r="E167" s="3" t="s">
        <v>26</v>
      </c>
      <c r="F167" s="7" t="str">
        <f t="shared" si="5"/>
        <v>7,5 М</v>
      </c>
      <c r="G167" s="4">
        <v>0.01</v>
      </c>
      <c r="H167" s="3" t="s">
        <v>138</v>
      </c>
      <c r="I167" s="3" t="s">
        <v>32</v>
      </c>
    </row>
    <row r="168" spans="1:9" ht="15.5" x14ac:dyDescent="0.35">
      <c r="A168" s="3" t="s">
        <v>483</v>
      </c>
      <c r="B168" s="3" t="s">
        <v>484</v>
      </c>
      <c r="C168" s="3" t="s">
        <v>26</v>
      </c>
      <c r="D168" s="3" t="s">
        <v>29</v>
      </c>
      <c r="E168" s="3" t="s">
        <v>26</v>
      </c>
      <c r="F168" s="7" t="str">
        <f t="shared" si="5"/>
        <v>8,3 М</v>
      </c>
      <c r="G168" s="4">
        <v>0.01</v>
      </c>
      <c r="H168" s="3" t="s">
        <v>138</v>
      </c>
      <c r="I168" s="3" t="s">
        <v>32</v>
      </c>
    </row>
    <row r="169" spans="1:9" ht="15.5" x14ac:dyDescent="0.35">
      <c r="A169" s="3" t="s">
        <v>485</v>
      </c>
      <c r="B169" s="3" t="s">
        <v>486</v>
      </c>
      <c r="C169" s="3" t="s">
        <v>26</v>
      </c>
      <c r="D169" s="3" t="s">
        <v>29</v>
      </c>
      <c r="E169" s="3" t="s">
        <v>26</v>
      </c>
      <c r="F169" s="7" t="str">
        <f t="shared" si="5"/>
        <v>9,1 М</v>
      </c>
      <c r="G169" s="4">
        <v>0.01</v>
      </c>
      <c r="H169" s="3" t="s">
        <v>138</v>
      </c>
      <c r="I169" s="3" t="s">
        <v>32</v>
      </c>
    </row>
    <row r="170" spans="1:9" ht="15.5" x14ac:dyDescent="0.35">
      <c r="A170" s="3" t="s">
        <v>487</v>
      </c>
      <c r="B170" s="3" t="s">
        <v>488</v>
      </c>
      <c r="C170" s="3" t="s">
        <v>26</v>
      </c>
      <c r="D170" s="3" t="s">
        <v>29</v>
      </c>
      <c r="E170" s="3" t="s">
        <v>26</v>
      </c>
      <c r="F170" s="7" t="str">
        <f t="shared" si="5"/>
        <v>10 М</v>
      </c>
      <c r="G170" s="4">
        <v>0.01</v>
      </c>
      <c r="H170" s="3" t="s">
        <v>138</v>
      </c>
      <c r="I170" s="3" t="s">
        <v>32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6"/>
  <dimension ref="A1:T3"/>
  <sheetViews>
    <sheetView topLeftCell="J1" workbookViewId="0">
      <selection activeCell="T4" sqref="T4"/>
    </sheetView>
  </sheetViews>
  <sheetFormatPr defaultRowHeight="14.5" x14ac:dyDescent="0.35"/>
  <cols>
    <col min="1" max="1" width="14.90625" customWidth="1"/>
    <col min="2" max="2" width="13.54296875" customWidth="1"/>
    <col min="3" max="3" width="12" customWidth="1"/>
    <col min="4" max="4" width="14.08984375" customWidth="1"/>
    <col min="5" max="5" width="12.81640625" customWidth="1"/>
    <col min="6" max="6" width="8.54296875" bestFit="1" customWidth="1"/>
    <col min="7" max="7" width="19.1796875" customWidth="1"/>
    <col min="8" max="8" width="16.90625" customWidth="1"/>
    <col min="9" max="9" width="18.1796875" customWidth="1"/>
    <col min="10" max="10" width="16.90625" customWidth="1"/>
    <col min="11" max="11" width="18.1796875" customWidth="1"/>
    <col min="12" max="12" width="16.90625" customWidth="1"/>
    <col min="13" max="13" width="18.1796875" customWidth="1"/>
    <col min="14" max="14" width="16.90625" customWidth="1"/>
    <col min="15" max="15" width="18.1796875" customWidth="1"/>
    <col min="16" max="16" width="16.90625" customWidth="1"/>
    <col min="17" max="17" width="18.1796875" customWidth="1"/>
    <col min="18" max="18" width="16.90625" customWidth="1"/>
    <col min="19" max="19" width="18.1796875" customWidth="1"/>
    <col min="20" max="20" width="16.90625" customWidth="1"/>
  </cols>
  <sheetData>
    <row r="1" spans="1:20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25</v>
      </c>
      <c r="G1" s="1" t="s">
        <v>12</v>
      </c>
      <c r="H1" s="1" t="s">
        <v>8</v>
      </c>
      <c r="I1" s="1" t="s">
        <v>13</v>
      </c>
      <c r="J1" s="1" t="s">
        <v>9</v>
      </c>
      <c r="K1" s="1" t="s">
        <v>33</v>
      </c>
      <c r="L1" s="1" t="s">
        <v>34</v>
      </c>
      <c r="M1" s="1" t="s">
        <v>35</v>
      </c>
      <c r="N1" s="1" t="s">
        <v>36</v>
      </c>
      <c r="O1" s="1" t="s">
        <v>42</v>
      </c>
      <c r="P1" s="1" t="s">
        <v>43</v>
      </c>
      <c r="Q1" s="1" t="s">
        <v>44</v>
      </c>
      <c r="R1" s="1" t="s">
        <v>45</v>
      </c>
      <c r="S1" s="1" t="s">
        <v>46</v>
      </c>
      <c r="T1" s="1" t="s">
        <v>47</v>
      </c>
    </row>
    <row r="2" spans="1:20" ht="15.5" x14ac:dyDescent="0.35">
      <c r="A2" s="1" t="s">
        <v>27</v>
      </c>
      <c r="B2" s="1" t="s">
        <v>28</v>
      </c>
      <c r="C2" s="1" t="s">
        <v>27</v>
      </c>
      <c r="D2" s="1" t="s">
        <v>30</v>
      </c>
      <c r="E2" s="1" t="s">
        <v>27</v>
      </c>
      <c r="F2" s="1" t="s">
        <v>31</v>
      </c>
      <c r="G2" s="1" t="str">
        <f>CONCATENATE("Footprints\Capacitors\",H2,".PcbLib")</f>
        <v>Footprints\Capacitors\0603C.PcbLib</v>
      </c>
      <c r="H2" s="1" t="s">
        <v>37</v>
      </c>
      <c r="I2" s="1" t="str">
        <f>CONCATENATE("Footprints\Capacitors\",J2,".PcbLib")</f>
        <v>Footprints\Capacitors\0805C.PcbLib</v>
      </c>
      <c r="J2" s="1" t="s">
        <v>38</v>
      </c>
    </row>
    <row r="3" spans="1:20" ht="15.5" x14ac:dyDescent="0.35">
      <c r="A3" s="1" t="s">
        <v>39</v>
      </c>
      <c r="B3" s="1" t="s">
        <v>40</v>
      </c>
      <c r="C3" s="1" t="s">
        <v>39</v>
      </c>
      <c r="D3" s="1" t="s">
        <v>30</v>
      </c>
      <c r="E3" s="1" t="s">
        <v>39</v>
      </c>
      <c r="F3" s="1" t="s">
        <v>41</v>
      </c>
      <c r="G3" s="1" t="str">
        <f>CONCATENATE("Footprints\Capacitors\",H3,".PcbLib")</f>
        <v>Footprints\Capacitors\TC_A.PcbLib</v>
      </c>
      <c r="H3" s="1" t="s">
        <v>125</v>
      </c>
      <c r="I3" s="1" t="str">
        <f>CONCATENATE("Footprints\Capacitors\",J3,".PcbLib")</f>
        <v>Footprints\Capacitors\TC_B.PcbLib</v>
      </c>
      <c r="J3" s="1" t="s">
        <v>126</v>
      </c>
      <c r="K3" s="1" t="str">
        <f t="shared" ref="K3" si="0">CONCATENATE("Footprints\Capacitors\",L3,".PcbLib")</f>
        <v>Footprints\Capacitors\TC_C.PcbLib</v>
      </c>
      <c r="L3" s="1" t="s">
        <v>127</v>
      </c>
      <c r="M3" s="1" t="str">
        <f t="shared" ref="M3" si="1">CONCATENATE("Footprints\Capacitors\",N3,".PcbLib")</f>
        <v>Footprints\Capacitors\TC_D.PcbLib</v>
      </c>
      <c r="N3" s="1" t="s">
        <v>128</v>
      </c>
      <c r="O3" s="1" t="str">
        <f t="shared" ref="O3" si="2">CONCATENATE("Footprints\Capacitors\",P3,".PcbLib")</f>
        <v>Footprints\Capacitors\TC_E.PcbLib</v>
      </c>
      <c r="P3" s="1" t="s">
        <v>129</v>
      </c>
      <c r="Q3" s="1" t="str">
        <f t="shared" ref="Q3" si="3">CONCATENATE("Footprints\Capacitors\",R3,".PcbLib")</f>
        <v>Footprints\Capacitors\RADIAL-2_8mm.PcbLib</v>
      </c>
      <c r="R3" t="s">
        <v>133</v>
      </c>
      <c r="S3" s="1" t="s">
        <v>48</v>
      </c>
      <c r="T3" t="s">
        <v>134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00D5DB-EA95-45E0-B4C5-D612FFCA44A9}">
  <dimension ref="A1:M2"/>
  <sheetViews>
    <sheetView workbookViewId="0">
      <selection activeCell="G10" sqref="G10"/>
    </sheetView>
  </sheetViews>
  <sheetFormatPr defaultRowHeight="14.5" x14ac:dyDescent="0.35"/>
  <cols>
    <col min="1" max="1" width="14.90625" customWidth="1"/>
    <col min="2" max="2" width="13.54296875" customWidth="1"/>
    <col min="3" max="3" width="12" customWidth="1"/>
    <col min="4" max="4" width="14.08984375" customWidth="1"/>
    <col min="5" max="5" width="12.81640625" customWidth="1"/>
    <col min="6" max="6" width="18.1796875" customWidth="1"/>
    <col min="7" max="7" width="16.90625" customWidth="1"/>
    <col min="8" max="8" width="18.1796875" customWidth="1"/>
    <col min="9" max="9" width="16.90625" customWidth="1"/>
    <col min="10" max="10" width="18.1796875" customWidth="1"/>
    <col min="11" max="11" width="16.90625" customWidth="1"/>
    <col min="12" max="12" width="18.1796875" customWidth="1"/>
    <col min="13" max="13" width="16.90625" customWidth="1"/>
    <col min="14" max="14" width="10.6328125" customWidth="1"/>
  </cols>
  <sheetData>
    <row r="1" spans="1:13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33</v>
      </c>
      <c r="K1" s="1" t="s">
        <v>34</v>
      </c>
      <c r="L1" s="1" t="s">
        <v>35</v>
      </c>
      <c r="M1" s="1" t="s">
        <v>36</v>
      </c>
    </row>
    <row r="2" spans="1:13" x14ac:dyDescent="0.35">
      <c r="A2" s="2" t="s">
        <v>103</v>
      </c>
      <c r="B2" s="2" t="s">
        <v>104</v>
      </c>
      <c r="C2" s="2" t="str">
        <f>A2</f>
        <v>Inductance</v>
      </c>
      <c r="D2" s="2" t="s">
        <v>105</v>
      </c>
      <c r="E2" s="2" t="s">
        <v>103</v>
      </c>
      <c r="F2" s="2" t="str">
        <f>CONCATENATE("Footprints\Inductance\",G2,".PcbLib")</f>
        <v>Footprints\Inductance\0603L.PcbLib</v>
      </c>
      <c r="G2" s="2" t="s">
        <v>106</v>
      </c>
      <c r="H2" s="2" t="str">
        <f>CONCATENATE("Footprints\Inductance\",I2,".PcbLib")</f>
        <v>Footprints\Inductance\1210L.PcbLib</v>
      </c>
      <c r="I2" s="2" t="s">
        <v>107</v>
      </c>
      <c r="J2" s="2" t="str">
        <f>CONCATENATE("Footprints\Inductance\",K2,".PcbLib")</f>
        <v>Footprints\Inductance\1212L.PcbLib</v>
      </c>
      <c r="K2" s="2" t="s">
        <v>108</v>
      </c>
      <c r="L2" s="2" t="str">
        <f>CONCATENATE("Footprints\Inductance\",M2,".PcbLib")</f>
        <v>Footprints\Inductance\12.8x12.8.PcbLib</v>
      </c>
      <c r="M2" s="2" t="s">
        <v>109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7"/>
  <dimension ref="A1:T5"/>
  <sheetViews>
    <sheetView workbookViewId="0">
      <selection activeCell="F8" sqref="F8"/>
    </sheetView>
  </sheetViews>
  <sheetFormatPr defaultRowHeight="14.5" x14ac:dyDescent="0.35"/>
  <cols>
    <col min="1" max="1" width="14.90625" customWidth="1"/>
    <col min="2" max="2" width="15.81640625" customWidth="1"/>
    <col min="3" max="3" width="12.54296875" customWidth="1"/>
    <col min="4" max="4" width="14.6328125" customWidth="1"/>
    <col min="5" max="5" width="12.81640625" customWidth="1"/>
    <col min="6" max="6" width="28" customWidth="1"/>
    <col min="7" max="7" width="16.90625" customWidth="1"/>
    <col min="8" max="8" width="20.81640625" customWidth="1"/>
    <col min="9" max="9" width="16.90625" customWidth="1"/>
  </cols>
  <sheetData>
    <row r="1" spans="1:20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K1" s="1"/>
      <c r="L1" s="1"/>
      <c r="M1" s="1"/>
      <c r="N1" s="1"/>
      <c r="O1" s="1"/>
      <c r="P1" s="1"/>
      <c r="Q1" s="1"/>
      <c r="R1" s="1"/>
      <c r="S1" s="1"/>
      <c r="T1" s="1"/>
    </row>
    <row r="2" spans="1:20" x14ac:dyDescent="0.35">
      <c r="A2" t="s">
        <v>55</v>
      </c>
      <c r="B2" t="s">
        <v>56</v>
      </c>
      <c r="C2" t="str">
        <f>A2</f>
        <v>Tact_button</v>
      </c>
      <c r="D2" t="str">
        <f>CONCATENATE("Schematic\",A2,".SchLib")</f>
        <v>Schematic\Tact_button.SchLib</v>
      </c>
      <c r="E2" t="str">
        <f>A2</f>
        <v>Tact_button</v>
      </c>
      <c r="F2" t="str">
        <f>CONCATENATE("Footprints\Buttons\",G2,".PcbLib")</f>
        <v>Footprints\Buttons\Button_SMD_10mm.PcbLib</v>
      </c>
      <c r="G2" t="s">
        <v>57</v>
      </c>
      <c r="H2" t="str">
        <f>CONCATENATE("Footprints\Buttons\",I2,".PcbLib")</f>
        <v>Footprints\Buttons\Button_SMD_6x6.PcbLib</v>
      </c>
      <c r="I2" t="s">
        <v>58</v>
      </c>
    </row>
    <row r="3" spans="1:20" x14ac:dyDescent="0.35">
      <c r="A3" t="s">
        <v>59</v>
      </c>
      <c r="B3" t="s">
        <v>60</v>
      </c>
      <c r="C3" t="str">
        <f>A3</f>
        <v>LED</v>
      </c>
      <c r="D3" t="str">
        <f>CONCATENATE("Schematic\",A3,".SchLib")</f>
        <v>Schematic\LED.SchLib</v>
      </c>
      <c r="E3" t="str">
        <f>A3</f>
        <v>LED</v>
      </c>
      <c r="F3" t="str">
        <f>CONCATENATE("Footprints\",G3,".PcbLib")</f>
        <v>Footprints\0805D.PcbLib</v>
      </c>
      <c r="G3" t="s">
        <v>124</v>
      </c>
    </row>
    <row r="4" spans="1:20" x14ac:dyDescent="0.35">
      <c r="A4" t="s">
        <v>61</v>
      </c>
      <c r="B4" t="s">
        <v>62</v>
      </c>
      <c r="C4" t="str">
        <f>A4</f>
        <v>XTAL</v>
      </c>
      <c r="D4" t="str">
        <f>CONCATENATE("Schematic\",A4,".SchLib")</f>
        <v>Schematic\XTAL.SchLib</v>
      </c>
      <c r="E4" t="str">
        <f>A4</f>
        <v>XTAL</v>
      </c>
      <c r="F4" t="str">
        <f>CONCATENATE("Footprints\XTAL\",G4,".PcbLib")</f>
        <v>Footprints\XTAL\HC49SD.PcbLib</v>
      </c>
      <c r="G4" t="s">
        <v>130</v>
      </c>
    </row>
    <row r="5" spans="1:20" x14ac:dyDescent="0.35">
      <c r="A5" t="s">
        <v>63</v>
      </c>
      <c r="B5" t="s">
        <v>64</v>
      </c>
      <c r="C5" t="str">
        <f>A5</f>
        <v>XTAL_GND</v>
      </c>
      <c r="D5" t="str">
        <f>CONCATENATE("Schematic\",A5,".SchLib")</f>
        <v>Schematic\XTAL_GND.SchLib</v>
      </c>
      <c r="E5" t="str">
        <f>A5</f>
        <v>XTAL_GND</v>
      </c>
      <c r="F5" t="str">
        <f>CONCATENATE("Footprints\XTAL\",G5,".PcbLib")</f>
        <v>Footprints\XTAL\QSMD3.2x2.5.PcbLib</v>
      </c>
      <c r="G5" t="s">
        <v>65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8"/>
  <dimension ref="A1:I7"/>
  <sheetViews>
    <sheetView workbookViewId="0">
      <selection activeCell="F4" sqref="F4"/>
    </sheetView>
  </sheetViews>
  <sheetFormatPr defaultRowHeight="14.5" x14ac:dyDescent="0.35"/>
  <cols>
    <col min="1" max="1" width="14.90625" customWidth="1"/>
    <col min="2" max="2" width="13.54296875" customWidth="1"/>
    <col min="3" max="3" width="13.1796875" customWidth="1"/>
    <col min="4" max="4" width="39.81640625" customWidth="1"/>
    <col min="5" max="5" width="12.81640625" customWidth="1"/>
    <col min="6" max="6" width="22.90625" customWidth="1"/>
    <col min="7" max="7" width="16.90625" customWidth="1"/>
    <col min="8" max="8" width="12.1796875" customWidth="1"/>
    <col min="9" max="9" width="13.453125" customWidth="1"/>
  </cols>
  <sheetData>
    <row r="1" spans="1:9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/>
      <c r="I1" s="1"/>
    </row>
    <row r="2" spans="1:9" x14ac:dyDescent="0.35">
      <c r="A2" s="2" t="s">
        <v>66</v>
      </c>
      <c r="B2" s="2" t="s">
        <v>67</v>
      </c>
      <c r="C2" s="2" t="str">
        <f>A2</f>
        <v>IDC-10</v>
      </c>
      <c r="D2" t="str">
        <f t="shared" ref="D2:D5" si="0">CONCATENATE("Schematic\Connectors\",E2,".SchLib")</f>
        <v>Schematic\Connectors\Conn_10pin.SchLib</v>
      </c>
      <c r="E2" s="2" t="s">
        <v>114</v>
      </c>
      <c r="F2" t="str">
        <f t="shared" ref="F2:F5" si="1">CONCATENATE("Footprints\Connectors\",IF(ISNUMBER(FIND("PLS",A2)),"PLS\",),IF(ISNUMBER(FIND("CWF",A2)),"CWF\",),G2,".PcbLib")</f>
        <v>Footprints\Connectors\IDC-10.PcbLib</v>
      </c>
      <c r="G2" s="2" t="str">
        <f>A2</f>
        <v>IDC-10</v>
      </c>
    </row>
    <row r="3" spans="1:9" x14ac:dyDescent="0.35">
      <c r="A3" s="2" t="s">
        <v>68</v>
      </c>
      <c r="B3" s="2" t="s">
        <v>67</v>
      </c>
      <c r="C3" s="2" t="str">
        <f>A3</f>
        <v>D-SUB-26</v>
      </c>
      <c r="D3" t="str">
        <f t="shared" si="0"/>
        <v>Schematic\Connectors\Conn_26pin.SchLib</v>
      </c>
      <c r="E3" s="2" t="s">
        <v>115</v>
      </c>
      <c r="F3" t="str">
        <f t="shared" si="1"/>
        <v>Footprints\Connectors\D-SUB-26.PcbLib</v>
      </c>
      <c r="G3" s="2" t="str">
        <f>A3</f>
        <v>D-SUB-26</v>
      </c>
    </row>
    <row r="4" spans="1:9" x14ac:dyDescent="0.35">
      <c r="A4" t="s">
        <v>110</v>
      </c>
      <c r="B4" t="s">
        <v>111</v>
      </c>
      <c r="C4" s="2" t="str">
        <f t="shared" ref="C4:C5" si="2">A4</f>
        <v>PLS4</v>
      </c>
      <c r="D4" t="str">
        <f t="shared" si="0"/>
        <v>Schematic\Connectors\Conn_4pin.SchLib</v>
      </c>
      <c r="E4" s="2" t="s">
        <v>116</v>
      </c>
      <c r="F4" t="str">
        <f t="shared" si="1"/>
        <v>Footprints\Connectors\PLS\PLS4.PcbLib</v>
      </c>
      <c r="G4" t="str">
        <f t="shared" ref="G4:G5" si="3">A4</f>
        <v>PLS4</v>
      </c>
    </row>
    <row r="5" spans="1:9" x14ac:dyDescent="0.35">
      <c r="A5" t="s">
        <v>112</v>
      </c>
      <c r="B5" t="s">
        <v>113</v>
      </c>
      <c r="C5" s="2" t="str">
        <f t="shared" si="2"/>
        <v>CWF-5</v>
      </c>
      <c r="D5" t="str">
        <f t="shared" si="0"/>
        <v>Schematic\Connectors\Conn_5pin.SchLib</v>
      </c>
      <c r="E5" s="2" t="s">
        <v>117</v>
      </c>
      <c r="F5" t="str">
        <f t="shared" si="1"/>
        <v>Footprints\Connectors\CWF\CWF-5.PcbLib</v>
      </c>
      <c r="G5" t="str">
        <f t="shared" si="3"/>
        <v>CWF-5</v>
      </c>
    </row>
    <row r="6" spans="1:9" x14ac:dyDescent="0.35">
      <c r="A6" t="s">
        <v>118</v>
      </c>
      <c r="B6" t="s">
        <v>119</v>
      </c>
      <c r="C6" s="2" t="str">
        <f>A6</f>
        <v>CWF-3</v>
      </c>
      <c r="D6" t="str">
        <f>CONCATENATE("Schematic\Connectors\",E6,".SchLib")</f>
        <v>Schematic\Connectors\Conn_3pin.SchLib</v>
      </c>
      <c r="E6" s="2" t="s">
        <v>120</v>
      </c>
      <c r="F6" t="str">
        <f>CONCATENATE("Footprints\Connectors\",IF(ISNUMBER(FIND("PLS",A6)),"PLS\",),IF(ISNUMBER(FIND("CWF",A6)),"CWF\",),G6,".PcbLib")</f>
        <v>Footprints\Connectors\CWF\CWF-3.PcbLib</v>
      </c>
      <c r="G6" t="str">
        <f>A6</f>
        <v>CWF-3</v>
      </c>
    </row>
    <row r="7" spans="1:9" x14ac:dyDescent="0.35">
      <c r="A7" t="s">
        <v>121</v>
      </c>
      <c r="B7" t="s">
        <v>122</v>
      </c>
      <c r="C7" s="2" t="str">
        <f>A7</f>
        <v>XT30</v>
      </c>
      <c r="D7" t="str">
        <f>CONCATENATE("Schematic\Connectors\",E7,".SchLib")</f>
        <v>Schematic\Connectors\Conn_2pin.SchLib</v>
      </c>
      <c r="E7" s="2" t="s">
        <v>123</v>
      </c>
      <c r="F7" t="str">
        <f>CONCATENATE("Footprints\Connectors\",IF(ISNUMBER(FIND("PLS",A7)),"PLS\",),IF(ISNUMBER(FIND("CWF",A7)),"CWF\",),G7,".PcbLib")</f>
        <v>Footprints\Connectors\XT30.PcbLib</v>
      </c>
      <c r="G7" t="str">
        <f>A7</f>
        <v>XT30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10</vt:i4>
      </vt:variant>
    </vt:vector>
  </HeadingPairs>
  <TitlesOfParts>
    <vt:vector size="10" baseType="lpstr">
      <vt:lpstr>Chips</vt:lpstr>
      <vt:lpstr>Schottky</vt:lpstr>
      <vt:lpstr>Zener</vt:lpstr>
      <vt:lpstr>TVS</vt:lpstr>
      <vt:lpstr>Transistors</vt:lpstr>
      <vt:lpstr>Resistors</vt:lpstr>
      <vt:lpstr>Capacitors</vt:lpstr>
      <vt:lpstr>Inductance</vt:lpstr>
      <vt:lpstr>Other</vt:lpstr>
      <vt:lpstr>Connectors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2024-11-06T18:19:59Z</dcterms:modified>
</cp:coreProperties>
</file>