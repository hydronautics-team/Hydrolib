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DD97A8EA-9A9A-E61F-A557-7D5A7D7259CE}"/>
  <workbookPr filterPrivacy="1" codeName="ЭтаКнига"/>
  <xr:revisionPtr revIDLastSave="0" documentId="13_ncr:1_{0162915B-64FC-420C-961B-6B5194DE5E07}" xr6:coauthVersionLast="47" xr6:coauthVersionMax="47" xr10:uidLastSave="{00000000-0000-0000-0000-000000000000}"/>
  <bookViews>
    <workbookView xWindow="3000" yWindow="3000" windowWidth="17280" windowHeight="8880" xr2:uid="{00000000-000D-0000-FFFF-FFFF00000000}"/>
  </bookViews>
  <sheets>
    <sheet name="Chips" sheetId="1" r:id="rId1"/>
    <sheet name="Schottky" sheetId="9" r:id="rId2"/>
    <sheet name="Zener" sheetId="7" r:id="rId3"/>
    <sheet name="TVS" sheetId="8" r:id="rId4"/>
    <sheet name="Transistors" sheetId="4" r:id="rId5"/>
    <sheet name="Resistors" sheetId="2" r:id="rId6"/>
    <sheet name="Rectifier_diodes" sheetId="13" r:id="rId7"/>
    <sheet name="Capacitors" sheetId="3" r:id="rId8"/>
    <sheet name="Capacitors_ceramic" sheetId="11" r:id="rId9"/>
    <sheet name="Capacitors_electrolytic" sheetId="12" r:id="rId10"/>
    <sheet name="Inductance" sheetId="10" r:id="rId11"/>
    <sheet name="Thyristors" sheetId="14" r:id="rId12"/>
    <sheet name="Other" sheetId="5" r:id="rId13"/>
    <sheet name="Connectors" sheetId="6" r:id="rId1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53" i="6" l="1"/>
  <c r="F53" i="6"/>
  <c r="F52" i="6"/>
  <c r="D52" i="6"/>
  <c r="C18" i="10"/>
  <c r="F18" i="10"/>
  <c r="H18" i="10"/>
  <c r="J18" i="10"/>
  <c r="L18" i="10"/>
  <c r="C49" i="1"/>
  <c r="D49" i="1"/>
  <c r="E49" i="1"/>
  <c r="F49" i="1"/>
  <c r="F48" i="1"/>
  <c r="E48" i="1"/>
  <c r="D48" i="1"/>
  <c r="C48" i="1"/>
  <c r="D47" i="1" l="1"/>
  <c r="C47" i="1"/>
  <c r="F47" i="1"/>
  <c r="C15" i="4"/>
  <c r="F15" i="4"/>
  <c r="C14" i="4"/>
  <c r="F14" i="4"/>
  <c r="F51" i="6"/>
  <c r="D51" i="6"/>
  <c r="C51" i="6"/>
  <c r="F50" i="6"/>
  <c r="D50" i="6"/>
  <c r="C50" i="6"/>
  <c r="J11" i="8"/>
  <c r="F11" i="8"/>
  <c r="D11" i="8"/>
  <c r="C11" i="8"/>
  <c r="B11" i="8"/>
  <c r="L17" i="10"/>
  <c r="J17" i="10"/>
  <c r="H17" i="10"/>
  <c r="F17" i="10"/>
  <c r="C17" i="10"/>
  <c r="B17" i="10"/>
  <c r="L16" i="10"/>
  <c r="J16" i="10"/>
  <c r="H16" i="10"/>
  <c r="F16" i="10"/>
  <c r="C16" i="10"/>
  <c r="B16" i="10"/>
  <c r="F13" i="4"/>
  <c r="C13" i="4"/>
  <c r="J10" i="8"/>
  <c r="F10" i="8"/>
  <c r="D10" i="8"/>
  <c r="C10" i="8"/>
  <c r="F12" i="9"/>
  <c r="C12" i="9"/>
  <c r="B12" i="9"/>
  <c r="F46" i="1"/>
  <c r="E46" i="1"/>
  <c r="D46" i="1"/>
  <c r="C46" i="1"/>
  <c r="F45" i="1"/>
  <c r="E45" i="1"/>
  <c r="D45" i="1"/>
  <c r="C45" i="1"/>
  <c r="F44" i="1"/>
  <c r="E44" i="1"/>
  <c r="D44" i="1"/>
  <c r="C44" i="1"/>
  <c r="F11" i="4" l="1"/>
  <c r="C12" i="4"/>
  <c r="F12" i="4"/>
  <c r="J15" i="10"/>
  <c r="C15" i="10"/>
  <c r="F15" i="10"/>
  <c r="H15" i="10"/>
  <c r="L15" i="10"/>
  <c r="J16" i="5"/>
  <c r="C11" i="4"/>
  <c r="F43" i="1"/>
  <c r="C42" i="1"/>
  <c r="C43" i="1"/>
  <c r="D43" i="1"/>
  <c r="E43" i="1"/>
  <c r="D46" i="6"/>
  <c r="C46" i="6"/>
  <c r="F45" i="6"/>
  <c r="D45" i="6"/>
  <c r="C45" i="6"/>
  <c r="F44" i="6"/>
  <c r="D44" i="6"/>
  <c r="C44" i="6"/>
  <c r="F43" i="6"/>
  <c r="D43" i="6"/>
  <c r="C43" i="6"/>
  <c r="C42" i="6"/>
  <c r="C41" i="6"/>
  <c r="F42" i="6"/>
  <c r="D42" i="6"/>
  <c r="F41" i="6"/>
  <c r="D41" i="6"/>
  <c r="D16" i="5"/>
  <c r="F42" i="1"/>
  <c r="D42" i="1"/>
  <c r="F41" i="1"/>
  <c r="E41" i="1"/>
  <c r="D41" i="1"/>
  <c r="C41" i="1"/>
  <c r="F40" i="1"/>
  <c r="E40" i="1"/>
  <c r="D40" i="1"/>
  <c r="C40" i="1"/>
  <c r="F39" i="1"/>
  <c r="E39" i="1"/>
  <c r="D39" i="1"/>
  <c r="F38" i="1"/>
  <c r="C38" i="1"/>
  <c r="J2" i="5"/>
  <c r="F15" i="5"/>
  <c r="C15" i="5"/>
  <c r="J15" i="5"/>
  <c r="F14" i="5"/>
  <c r="J14" i="5"/>
  <c r="D10" i="5"/>
  <c r="C31" i="6"/>
  <c r="C30" i="6"/>
  <c r="C2" i="8"/>
  <c r="F2" i="14"/>
  <c r="C2" i="14"/>
  <c r="C14" i="10"/>
  <c r="F14" i="10"/>
  <c r="H14" i="10"/>
  <c r="J14" i="10"/>
  <c r="L14" i="10"/>
  <c r="P14" i="10"/>
  <c r="C37" i="1"/>
  <c r="D37" i="1"/>
  <c r="E37" i="1"/>
  <c r="F37" i="1"/>
  <c r="F13" i="10"/>
  <c r="C13" i="10"/>
  <c r="H13" i="10"/>
  <c r="J13" i="10"/>
  <c r="L13" i="10"/>
  <c r="P13" i="10"/>
  <c r="P12" i="10"/>
  <c r="C12" i="10"/>
  <c r="F12" i="10"/>
  <c r="H12" i="10"/>
  <c r="J12" i="10"/>
  <c r="L12" i="10"/>
  <c r="B2" i="13"/>
  <c r="C2" i="13"/>
  <c r="F2" i="13"/>
  <c r="B9" i="8"/>
  <c r="C9" i="8"/>
  <c r="D9" i="8"/>
  <c r="F9" i="8"/>
  <c r="J9" i="8"/>
  <c r="F11" i="10"/>
  <c r="H11" i="10"/>
  <c r="J11" i="10"/>
  <c r="L11" i="10"/>
  <c r="D36" i="1"/>
  <c r="C36" i="1"/>
  <c r="F36" i="1"/>
  <c r="C35" i="1"/>
  <c r="D35" i="1"/>
  <c r="E35" i="1"/>
  <c r="F35" i="1"/>
  <c r="F34" i="1"/>
  <c r="C34" i="1"/>
  <c r="D34" i="1"/>
  <c r="E34" i="1"/>
  <c r="C33" i="1"/>
  <c r="D33" i="1"/>
  <c r="E33" i="1"/>
  <c r="F33" i="1"/>
  <c r="C32" i="1"/>
  <c r="D32" i="1"/>
  <c r="E32" i="1"/>
  <c r="F32" i="1"/>
  <c r="J6" i="5"/>
  <c r="C2" i="5"/>
  <c r="D2" i="5"/>
  <c r="E2" i="5"/>
  <c r="F2" i="5"/>
  <c r="H2" i="5"/>
  <c r="C3" i="5"/>
  <c r="D3" i="5"/>
  <c r="E3" i="5"/>
  <c r="F3" i="5"/>
  <c r="C4" i="5"/>
  <c r="D4" i="5"/>
  <c r="E4" i="5"/>
  <c r="F4" i="5"/>
  <c r="C5" i="5"/>
  <c r="D5" i="5"/>
  <c r="E5" i="5"/>
  <c r="F5" i="5"/>
  <c r="C6" i="5"/>
  <c r="E6" i="5"/>
  <c r="F6" i="5"/>
  <c r="H6" i="5"/>
  <c r="C7" i="5"/>
  <c r="D7" i="5"/>
  <c r="F7" i="5"/>
  <c r="C8" i="5"/>
  <c r="D8" i="5"/>
  <c r="F8" i="5"/>
  <c r="C9" i="5"/>
  <c r="D9" i="5"/>
  <c r="F9" i="5"/>
  <c r="C10" i="5"/>
  <c r="E10" i="5"/>
  <c r="F10" i="5"/>
  <c r="C11" i="5"/>
  <c r="D11" i="5"/>
  <c r="E11" i="5"/>
  <c r="F11" i="5"/>
  <c r="C12" i="5"/>
  <c r="D12" i="5"/>
  <c r="F12" i="5"/>
  <c r="D6" i="5"/>
  <c r="P10" i="10"/>
  <c r="B10" i="10" s="1"/>
  <c r="C10" i="10"/>
  <c r="F10" i="10"/>
  <c r="H10" i="10"/>
  <c r="J10" i="10"/>
  <c r="L10" i="10"/>
  <c r="B11" i="9"/>
  <c r="C11" i="9"/>
  <c r="F11" i="9"/>
  <c r="P9" i="10"/>
  <c r="B9" i="10" s="1"/>
  <c r="C9" i="10"/>
  <c r="F9" i="10"/>
  <c r="H9" i="10"/>
  <c r="J9" i="10"/>
  <c r="L9" i="10"/>
  <c r="B10" i="9"/>
  <c r="C10" i="9"/>
  <c r="F10" i="9"/>
  <c r="B9" i="9"/>
  <c r="C9" i="9"/>
  <c r="F9" i="9"/>
  <c r="C8" i="10"/>
  <c r="F8" i="10"/>
  <c r="H8" i="10"/>
  <c r="J8" i="10"/>
  <c r="L8" i="10"/>
  <c r="P8" i="10"/>
  <c r="B8" i="9"/>
  <c r="C8" i="9"/>
  <c r="F8" i="9"/>
  <c r="D31" i="1"/>
  <c r="E31" i="1"/>
  <c r="F31" i="1"/>
  <c r="C31" i="1"/>
  <c r="C30" i="1"/>
  <c r="D30" i="1"/>
  <c r="E30" i="1"/>
  <c r="F30" i="1"/>
  <c r="C29" i="1"/>
  <c r="D29" i="1"/>
  <c r="E29" i="1"/>
  <c r="F29" i="1"/>
  <c r="C28" i="1"/>
  <c r="D28" i="1"/>
  <c r="E28" i="1"/>
  <c r="F10" i="4"/>
  <c r="C10" i="4"/>
  <c r="B2" i="9"/>
  <c r="B3" i="9"/>
  <c r="B4" i="9"/>
  <c r="B5" i="9"/>
  <c r="B6" i="9"/>
  <c r="B7" i="9"/>
  <c r="C7" i="9"/>
  <c r="F7" i="9"/>
  <c r="P7" i="10"/>
  <c r="L7" i="10"/>
  <c r="J7" i="10"/>
  <c r="H7" i="10"/>
  <c r="F7" i="10"/>
  <c r="C7" i="10"/>
  <c r="C27" i="1"/>
  <c r="D27" i="1"/>
  <c r="E27" i="1"/>
  <c r="F27" i="1"/>
  <c r="C9" i="4"/>
  <c r="F9" i="4"/>
  <c r="B8" i="8"/>
  <c r="C8" i="8"/>
  <c r="D8" i="8"/>
  <c r="F8" i="8"/>
  <c r="J8" i="8"/>
  <c r="C25" i="1"/>
  <c r="D25" i="1"/>
  <c r="E25" i="1"/>
  <c r="F25" i="1"/>
  <c r="C24" i="1"/>
  <c r="D24" i="1"/>
  <c r="E24" i="1"/>
  <c r="F24" i="1"/>
  <c r="B7" i="8"/>
  <c r="C7" i="8"/>
  <c r="D7" i="8"/>
  <c r="F7" i="8"/>
  <c r="J7" i="8"/>
  <c r="C23" i="1"/>
  <c r="D23" i="1"/>
  <c r="E23" i="1"/>
  <c r="F23" i="1"/>
  <c r="C22" i="1"/>
  <c r="D22" i="1"/>
  <c r="E22" i="1"/>
  <c r="F22" i="1"/>
  <c r="P6" i="10"/>
  <c r="C6" i="10"/>
  <c r="F6" i="10"/>
  <c r="H5" i="10"/>
  <c r="H6" i="10"/>
  <c r="J5" i="10"/>
  <c r="J6" i="10"/>
  <c r="L5" i="10"/>
  <c r="L6" i="10"/>
  <c r="D21" i="1"/>
  <c r="E21" i="1"/>
  <c r="F21" i="1"/>
  <c r="C6" i="9"/>
  <c r="F6" i="9"/>
  <c r="F20" i="1"/>
  <c r="E20" i="1"/>
  <c r="D20" i="1"/>
  <c r="C20" i="1"/>
  <c r="F19" i="1"/>
  <c r="E19" i="1"/>
  <c r="D19" i="1"/>
  <c r="C19" i="1"/>
  <c r="F18" i="1"/>
  <c r="E18" i="1"/>
  <c r="D18" i="1"/>
  <c r="C18" i="1"/>
  <c r="P5" i="10"/>
  <c r="F5" i="10"/>
  <c r="C5" i="10"/>
  <c r="F3" i="9"/>
  <c r="C3" i="9"/>
  <c r="F8" i="4"/>
  <c r="J6" i="8"/>
  <c r="F6" i="8"/>
  <c r="D6" i="8"/>
  <c r="C6" i="8"/>
  <c r="B6" i="8"/>
  <c r="F17" i="1"/>
  <c r="E17" i="1"/>
  <c r="D17" i="1"/>
  <c r="C17" i="1"/>
  <c r="F16" i="1"/>
  <c r="E16" i="1"/>
  <c r="D16" i="1"/>
  <c r="C16" i="1"/>
  <c r="F15" i="1"/>
  <c r="E15" i="1"/>
  <c r="D15" i="1"/>
  <c r="C15" i="1"/>
  <c r="C8" i="4"/>
  <c r="C7" i="4"/>
  <c r="F7" i="4"/>
  <c r="P4" i="10"/>
  <c r="B4" i="10" s="1"/>
  <c r="P3" i="10"/>
  <c r="C4" i="10"/>
  <c r="F4" i="10"/>
  <c r="J5" i="8"/>
  <c r="F8" i="1"/>
  <c r="C5" i="9"/>
  <c r="F5" i="9"/>
  <c r="F4" i="9"/>
  <c r="C4" i="9"/>
  <c r="F3" i="10"/>
  <c r="C3" i="10"/>
  <c r="F5" i="8"/>
  <c r="D5" i="8"/>
  <c r="C5" i="8"/>
  <c r="B5" i="8"/>
  <c r="F14" i="1"/>
  <c r="E14" i="1"/>
  <c r="D14" i="1"/>
  <c r="F13" i="1"/>
  <c r="E13" i="1"/>
  <c r="D13" i="1"/>
  <c r="C13" i="1"/>
  <c r="F12" i="1"/>
  <c r="E12" i="1"/>
  <c r="D12" i="1"/>
  <c r="C12" i="1"/>
  <c r="F11" i="1"/>
  <c r="E11" i="1"/>
  <c r="D11" i="1"/>
  <c r="C11" i="1"/>
  <c r="J4" i="8"/>
  <c r="J2" i="8"/>
  <c r="B4" i="8"/>
  <c r="C4" i="8"/>
  <c r="D4" i="8"/>
  <c r="F4" i="8"/>
  <c r="B2" i="8"/>
  <c r="D2" i="1"/>
  <c r="L2" i="10"/>
  <c r="J2" i="10"/>
  <c r="H2" i="10"/>
  <c r="F2" i="10"/>
  <c r="C2" i="10"/>
  <c r="F10" i="1"/>
  <c r="E10" i="1"/>
  <c r="D10" i="1"/>
  <c r="C10" i="1"/>
  <c r="F9" i="1"/>
  <c r="E9" i="1"/>
  <c r="D9" i="1"/>
  <c r="C9" i="1"/>
  <c r="E8" i="1"/>
  <c r="D8" i="1"/>
  <c r="C8" i="1"/>
  <c r="F7" i="1"/>
  <c r="E7" i="1"/>
  <c r="D7" i="1"/>
  <c r="C7" i="1"/>
  <c r="F6" i="1"/>
  <c r="E6" i="1"/>
  <c r="D6" i="1"/>
  <c r="C6" i="1"/>
  <c r="F5" i="1"/>
  <c r="E5" i="1"/>
  <c r="D5" i="1"/>
  <c r="C5" i="1"/>
  <c r="F2" i="9"/>
  <c r="C2" i="9"/>
  <c r="B3" i="8"/>
  <c r="D3" i="8"/>
  <c r="D2" i="8"/>
  <c r="C3" i="8"/>
  <c r="F3" i="8"/>
  <c r="C4" i="1"/>
  <c r="D4" i="1"/>
  <c r="E4" i="1"/>
  <c r="F4" i="1"/>
  <c r="F2" i="8"/>
  <c r="H6" i="4"/>
  <c r="H3" i="4"/>
  <c r="H2" i="4"/>
  <c r="F3" i="4"/>
  <c r="F4" i="4"/>
  <c r="F5" i="4"/>
  <c r="F6" i="4"/>
  <c r="F2" i="4"/>
  <c r="C3" i="4"/>
  <c r="C4" i="4"/>
  <c r="C5" i="4"/>
  <c r="C6" i="4"/>
  <c r="C2" i="4"/>
  <c r="F3" i="1"/>
  <c r="F2" i="1"/>
  <c r="E3" i="1"/>
  <c r="E2" i="1"/>
  <c r="D3" i="1"/>
  <c r="C3" i="1"/>
  <c r="C2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6E1D337-58A2-4F26-A4EE-2E86306C7BB4}" name="Capacitors" type="4" refreshedVersion="0" background="1">
    <webPr xml="1" sourceData="1" url="D:\Sea_Jackal\Gidro\Pioneer\Boards\Libraries\Hydrolib\Database\xml\Capacitors.xml" htmlTables="1" htmlFormat="all"/>
  </connection>
  <connection id="2" xr16:uid="{F870581A-995A-4C30-B202-A48D65951D21}" name="Capacitors_ceramic" type="4" refreshedVersion="0" background="1">
    <webPr xml="1" sourceData="1" url="D:\Sea_Jackal\Gidro\Pioneer\Boards\Libraries\Hydrolib\Database\xml\Capacitors_ceramic.xml" htmlTables="1" htmlFormat="all"/>
  </connection>
  <connection id="3" xr16:uid="{403FDDF7-EE2B-4322-BBA0-C6C2D9A48583}" name="Capacitors_electrolytic" type="4" refreshedVersion="0" background="1">
    <webPr xml="1" sourceData="1" url="D:\Sea_Jackal\Gidro\Pioneer\Boards\Libraries\Hydrolib\Database\xml\Capacitors_electrolytic.xml" htmlTables="1" htmlFormat="all"/>
  </connection>
  <connection id="4" xr16:uid="{54776B18-FFA4-47DE-A277-B199985E1BBE}" name="Capicators" type="4" refreshedVersion="0" background="1">
    <webPr xml="1" sourceData="1" url="C:\Users\1\Desktop\testlib\Готовое\Capicators.xml" htmlTables="1" htmlFormat="all"/>
  </connection>
  <connection id="5" xr16:uid="{EF927AE7-4D57-41CB-BAE2-84921A2FEFC7}" name="Chips" type="4" refreshedVersion="0" background="1">
    <webPr xml="1" sourceData="1" url="C:\Users\1\Desktop\testlib\Готовое\Chips.xml" htmlTables="1" htmlFormat="all"/>
  </connection>
  <connection id="6" xr16:uid="{8D0227E8-5B96-4E39-AD04-3F3EBE90F989}" name="Chips1" type="4" refreshedVersion="0" background="1">
    <webPr xml="1" sourceData="1" url="C:\Users\1\Desktop\testlib\Готовое\Chips.xml" htmlTables="1" htmlFormat="all"/>
  </connection>
  <connection id="7" xr16:uid="{80C800AB-A55C-4286-B448-34D90F29C387}" name="Connectors" type="4" refreshedVersion="0" background="1">
    <webPr xml="1" sourceData="1" url="C:\Users\1\Desktop\testlib\Готовое\Connectors.xml" htmlTables="1" htmlFormat="all"/>
  </connection>
  <connection id="8" xr16:uid="{029AE1DE-0890-44A0-A8BC-144E790F4DD2}" name="Inductance" type="4" refreshedVersion="0" background="1">
    <webPr xml="1" sourceData="1" url="C:\Users\1\Desktop\Платы\manipulator1\Database\Inductance.xml" htmlTables="1" htmlFormat="all"/>
  </connection>
  <connection id="9" xr16:uid="{D234C273-E4C0-45DF-804D-F480FC931F36}" name="Inductance1" type="4" refreshedVersion="0" background="1">
    <webPr xml="1" sourceData="1" url="C:\Users\1\Desktop\Платы\manipulator1\Database\xml\Inductance.xml" htmlTables="1" htmlFormat="all"/>
  </connection>
  <connection id="10" xr16:uid="{2FF60889-90F6-4068-BF81-A15AE486C249}" name="Other" type="4" refreshedVersion="0" background="1">
    <webPr xml="1" sourceData="1" url="C:\Users\1\Desktop\testlib\Готовое\Other.xml" htmlTables="1" htmlFormat="all"/>
  </connection>
  <connection id="11" xr16:uid="{5297D65E-C20A-4338-90DC-3A400943CBAD}" name="Other1" type="4" refreshedVersion="0" background="1">
    <webPr xml="1" sourceData="1" url="C:\Users\1\Desktop\Other.xml" htmlTables="1" htmlFormat="all"/>
  </connection>
  <connection id="12" xr16:uid="{DC58761F-8E34-4857-BFCD-F6D1B664B680}" name="Rectifier_diodes" type="4" refreshedVersion="0" background="1">
    <webPr xml="1" sourceData="1" url="C:\Users\1\Desktop\Платы\Hydrolib\Database\xml\Rectifier_diodes.xml" htmlTables="1" htmlFormat="all"/>
  </connection>
  <connection id="13" xr16:uid="{A0C30DCE-295E-4BF9-9289-158E503B906E}" name="Resistors" type="4" refreshedVersion="0" background="1">
    <webPr xml="1" sourceData="1" url="C:\Users\1\Desktop\testlib\Готовое\Resistors.xml" htmlTables="1" htmlFormat="all"/>
  </connection>
  <connection id="14" xr16:uid="{60CBB5D6-1503-4780-9C0A-D3342511AF09}" name="Resistors1" type="4" refreshedVersion="0" background="1">
    <webPr xml="1" sourceData="1" url="D:\Sea_Jackal\Gidro\Pioneer\Boards\Libraries\Hydrolib\Database\xml\Resistors.xml" htmlTables="1" htmlFormat="all"/>
  </connection>
  <connection id="15" xr16:uid="{6C7797FD-8FD2-4CEC-B1B0-05172C48B26D}" name="Schottky" type="4" refreshedVersion="0" background="1">
    <webPr xml="1" sourceData="1" url="C:\Users\1\Desktop\Платы\manipulator1\Database\Schottky.xml" htmlTables="1" htmlFormat="all"/>
  </connection>
  <connection id="16" xr16:uid="{4119D997-3069-4E3B-A7D5-A903370FA556}" name="Thyristors" type="4" refreshedVersion="0" background="1">
    <webPr xml="1" sourceData="1" url="C:\Users\1\Desktop\Платы\Hydrolib\Database\xml\Thyristors.xml" htmlTables="1" htmlFormat="all"/>
  </connection>
  <connection id="17" xr16:uid="{6417664C-AEF4-44C8-BCAC-DFB2C2D30068}" name="Thyristors1" type="4" refreshedVersion="0" background="1">
    <webPr xml="1" sourceData="1" url="C:\Users\1\Desktop\Платы\Hydrolib\Database\xml\Thyristors.xml" htmlTables="1" htmlFormat="all"/>
  </connection>
  <connection id="18" xr16:uid="{18AFECC3-EA3B-4B26-859A-FC0CC73C46F2}" name="Transistors" type="4" refreshedVersion="0" background="1">
    <webPr xml="1" sourceData="1" url="C:\Users\1\Desktop\testlib\Готовое\Transistors.xml" htmlTables="1" htmlFormat="all"/>
  </connection>
  <connection id="19" xr16:uid="{D8C58BCC-C573-42A7-95CA-60E0EBCAC4FF}" name="TVS" type="4" refreshedVersion="0" background="1">
    <webPr xml="1" sourceData="1" url="C:\Users\1\Desktop\testlib\Готовое\TVS.xml" htmlTables="1" htmlFormat="all"/>
  </connection>
  <connection id="20" xr16:uid="{A201285D-9EC6-4A57-9F91-3D88F83A0EE8}" name="Zener" type="4" refreshedVersion="0" background="1">
    <webPr xml="1" sourceData="1" url="D:\Sea_Jackal\Gidro\Pioneer\Boards\Libraries\Hydrolib\Database\xml\Zener.xml" htmlTables="1" htmlFormat="all"/>
  </connection>
</connections>
</file>

<file path=xl/sharedStrings.xml><?xml version="1.0" encoding="utf-8"?>
<sst xmlns="http://schemas.openxmlformats.org/spreadsheetml/2006/main" count="3344" uniqueCount="1381">
  <si>
    <t>Part Number</t>
  </si>
  <si>
    <t>Description</t>
  </si>
  <si>
    <t>Library Path</t>
  </si>
  <si>
    <t>Library Ref</t>
  </si>
  <si>
    <t>50N06</t>
  </si>
  <si>
    <t>N-канальный MOSFET</t>
  </si>
  <si>
    <t>DPAK</t>
  </si>
  <si>
    <t>DPAK_termopad</t>
  </si>
  <si>
    <t>Footprint Ref 1</t>
  </si>
  <si>
    <t>Footprint Ref 2</t>
  </si>
  <si>
    <t>Schematic\MOSFET N-channel.SchLib</t>
  </si>
  <si>
    <t>MOSFET N-channel 1</t>
  </si>
  <si>
    <t>Footprint Path 1</t>
  </si>
  <si>
    <t>Footprint Path 2</t>
  </si>
  <si>
    <t>Comment</t>
  </si>
  <si>
    <t>100N03A</t>
  </si>
  <si>
    <t>AO3400A</t>
  </si>
  <si>
    <t>MOSFET N-channel 2</t>
  </si>
  <si>
    <t>SOT23-3</t>
  </si>
  <si>
    <t>AO3401A</t>
  </si>
  <si>
    <t>Schematic\MOSFET P-channel.SchLib</t>
  </si>
  <si>
    <t>P-канальный MOSFET</t>
  </si>
  <si>
    <t>MOSFET P-channel 2</t>
  </si>
  <si>
    <t>SUD50P06-15</t>
  </si>
  <si>
    <t>MOSFET P-channel 1</t>
  </si>
  <si>
    <t>Value</t>
  </si>
  <si>
    <t>Resistor</t>
  </si>
  <si>
    <t>Capacitor</t>
  </si>
  <si>
    <t>Конденсатор</t>
  </si>
  <si>
    <t>Schematic\Resistor.SchLib</t>
  </si>
  <si>
    <t>Schematic\Capacitor.SchLib</t>
  </si>
  <si>
    <t>0,1 мк</t>
  </si>
  <si>
    <t>0603R</t>
  </si>
  <si>
    <t>Footprint Path 3</t>
  </si>
  <si>
    <t>Footprint Ref 3</t>
  </si>
  <si>
    <t>Footprint Path 4</t>
  </si>
  <si>
    <t>Footprint Ref 4</t>
  </si>
  <si>
    <t>0603C</t>
  </si>
  <si>
    <t>0805C</t>
  </si>
  <si>
    <t>Capacitor_polar</t>
  </si>
  <si>
    <t>Полярный конденсатор</t>
  </si>
  <si>
    <t>4,7 мк</t>
  </si>
  <si>
    <t>Footprint Path 5</t>
  </si>
  <si>
    <t>Footprint Ref 5</t>
  </si>
  <si>
    <t>Footprint Path 6</t>
  </si>
  <si>
    <t>Footprint Ref 6</t>
  </si>
  <si>
    <t>Footprint Path 7</t>
  </si>
  <si>
    <t>Footprint Ref 7</t>
  </si>
  <si>
    <t>STM32F407VGT6</t>
  </si>
  <si>
    <t>Микроконтроллер</t>
  </si>
  <si>
    <t>USBLC6-4</t>
  </si>
  <si>
    <t>Сборка защитных диодов для USB</t>
  </si>
  <si>
    <t>SOT23-6</t>
  </si>
  <si>
    <t>LQFP100</t>
  </si>
  <si>
    <t>Tact_button</t>
  </si>
  <si>
    <t>Тактовая кнопка</t>
  </si>
  <si>
    <t>Button_SMD_10mm</t>
  </si>
  <si>
    <t>Button_SMD_6x6</t>
  </si>
  <si>
    <t>LED</t>
  </si>
  <si>
    <t>Светодиод</t>
  </si>
  <si>
    <t>XTAL</t>
  </si>
  <si>
    <t>Кварцевый резонатор</t>
  </si>
  <si>
    <t>XTAL_GND</t>
  </si>
  <si>
    <t>Кварцевый резонатор с входом земли</t>
  </si>
  <si>
    <t>QSMD3.2x2.5</t>
  </si>
  <si>
    <t>IDC-10</t>
  </si>
  <si>
    <t>10-пиновый разъём с ключём</t>
  </si>
  <si>
    <t>D-SUB-26</t>
  </si>
  <si>
    <t>Voltage nominal (V)</t>
  </si>
  <si>
    <t>Current nominal (mA)</t>
  </si>
  <si>
    <t>BZX384-C12</t>
  </si>
  <si>
    <t>Power (W)</t>
  </si>
  <si>
    <t>SOD-323</t>
  </si>
  <si>
    <t>Schematic\Zener.SchLib</t>
  </si>
  <si>
    <t>Zener</t>
  </si>
  <si>
    <t>SMBJ24A</t>
  </si>
  <si>
    <t>MAX485CSA</t>
  </si>
  <si>
    <t>RS-485 приёмопередатчик</t>
  </si>
  <si>
    <t>SOIC-8</t>
  </si>
  <si>
    <t>PSM712</t>
  </si>
  <si>
    <t>TVS_1_1dir</t>
  </si>
  <si>
    <t>TVS_2_2dir</t>
  </si>
  <si>
    <t>Interface</t>
  </si>
  <si>
    <t>RS-485</t>
  </si>
  <si>
    <t>Current (A)</t>
  </si>
  <si>
    <t>SK33</t>
  </si>
  <si>
    <t>Schematic\Schottky_diode.schLib</t>
  </si>
  <si>
    <t>Schottky_diode</t>
  </si>
  <si>
    <t>SMC</t>
  </si>
  <si>
    <t>STM32F103C8T6</t>
  </si>
  <si>
    <t>LQFP48</t>
  </si>
  <si>
    <t>LM2594HVM-ADJ</t>
  </si>
  <si>
    <t>DC-DC преобразователь</t>
  </si>
  <si>
    <t>LD1117S33CTR</t>
  </si>
  <si>
    <t>Линейный стабилизатор напряжения</t>
  </si>
  <si>
    <t>SOT223</t>
  </si>
  <si>
    <t>CD4050B</t>
  </si>
  <si>
    <t>Шесть буферных элементов</t>
  </si>
  <si>
    <t>ADM2483BRWZ</t>
  </si>
  <si>
    <t>Прием передатчик RS485 с гальванической развязкой</t>
  </si>
  <si>
    <t>SOIC-16W</t>
  </si>
  <si>
    <t>LD1117S50CTR</t>
  </si>
  <si>
    <t>Inductance</t>
  </si>
  <si>
    <t>Катушка индуктивности</t>
  </si>
  <si>
    <t>Schematic\Inductance.SchLib</t>
  </si>
  <si>
    <t>0603L</t>
  </si>
  <si>
    <t>1210L</t>
  </si>
  <si>
    <t>1212L</t>
  </si>
  <si>
    <t>12.8x12.8</t>
  </si>
  <si>
    <t>PLS4</t>
  </si>
  <si>
    <t>Гребенка 4 пина</t>
  </si>
  <si>
    <t>CWF-5</t>
  </si>
  <si>
    <t>5-пиновый разъем с ключом</t>
  </si>
  <si>
    <t>Conn_10pin</t>
  </si>
  <si>
    <t>Conn_26pin</t>
  </si>
  <si>
    <t>Conn_4pin</t>
  </si>
  <si>
    <t>Conn_5pin</t>
  </si>
  <si>
    <t>CWF-3</t>
  </si>
  <si>
    <t>3-пиновый разъем с ключом</t>
  </si>
  <si>
    <t>Conn_3pin</t>
  </si>
  <si>
    <t>2-пиновый разъем с ключом</t>
  </si>
  <si>
    <t>Conn_2pin</t>
  </si>
  <si>
    <t>0805D</t>
  </si>
  <si>
    <t>TC_A</t>
  </si>
  <si>
    <t>TC_B</t>
  </si>
  <si>
    <t>TC_C</t>
  </si>
  <si>
    <t>TC_D</t>
  </si>
  <si>
    <t>TC_E</t>
  </si>
  <si>
    <t>HC49SD</t>
  </si>
  <si>
    <t>SMAJ12CA</t>
  </si>
  <si>
    <t>SMA</t>
  </si>
  <si>
    <t>RADIAL-2_8mm</t>
  </si>
  <si>
    <t>RADIAL-2_10mm</t>
  </si>
  <si>
    <t>Resistor_1.0_1_0603</t>
  </si>
  <si>
    <t>1,0</t>
  </si>
  <si>
    <t>1%</t>
  </si>
  <si>
    <t>Footprints/Resistors/0603R.PcbLib</t>
  </si>
  <si>
    <t>Resistor_1.1_1_0603</t>
  </si>
  <si>
    <t>1,1</t>
  </si>
  <si>
    <t>Resistor_1.2_1_0603</t>
  </si>
  <si>
    <t>1,2</t>
  </si>
  <si>
    <t>Resistor_1.3_1_0603</t>
  </si>
  <si>
    <t>1,3</t>
  </si>
  <si>
    <t>Resistor_1.5_1_0603</t>
  </si>
  <si>
    <t>1,5</t>
  </si>
  <si>
    <t>Resistor_1.6_1_0603</t>
  </si>
  <si>
    <t>1,6</t>
  </si>
  <si>
    <t>Resistor_1.8_1_0603</t>
  </si>
  <si>
    <t>1,8</t>
  </si>
  <si>
    <t>Resistor_2.0_1_0603</t>
  </si>
  <si>
    <t>2,0</t>
  </si>
  <si>
    <t>Resistor_2.2_1_0603</t>
  </si>
  <si>
    <t>2,2</t>
  </si>
  <si>
    <t>Resistor_2.4_1_0603</t>
  </si>
  <si>
    <t>2,4</t>
  </si>
  <si>
    <t>Resistor_5.1_1_0603</t>
  </si>
  <si>
    <t>5,1</t>
  </si>
  <si>
    <t>Resistor_5.6_1_0603</t>
  </si>
  <si>
    <t>5,6</t>
  </si>
  <si>
    <t>Resistor_6.2_1_0603</t>
  </si>
  <si>
    <t>6,2</t>
  </si>
  <si>
    <t>Resistor_6.8_1_0603</t>
  </si>
  <si>
    <t>6,8</t>
  </si>
  <si>
    <t>Resistor_7.5_1_0603</t>
  </si>
  <si>
    <t>7,5</t>
  </si>
  <si>
    <t>Resistor_9.1_1_0603</t>
  </si>
  <si>
    <t>9,1</t>
  </si>
  <si>
    <t>Resistor_10_1_0603</t>
  </si>
  <si>
    <t>Resistor_11_1_0603</t>
  </si>
  <si>
    <t>Resistor_12_1_0603</t>
  </si>
  <si>
    <t>Resistor_13_1_0603</t>
  </si>
  <si>
    <t>Resistor_15_1_0603</t>
  </si>
  <si>
    <t>Resistor_16_1_0603</t>
  </si>
  <si>
    <t>Resistor_18_1_0603</t>
  </si>
  <si>
    <t>Resistor_20_1_0603</t>
  </si>
  <si>
    <t>Resistor_22_1_0603</t>
  </si>
  <si>
    <t>Resistor_24_1_0603</t>
  </si>
  <si>
    <t>Resistor_51_1_0603</t>
  </si>
  <si>
    <t>Resistor_56_1_0603</t>
  </si>
  <si>
    <t>Resistor_62_1_0603</t>
  </si>
  <si>
    <t>Resistor_68_1_0603</t>
  </si>
  <si>
    <t>Resistor_75_1_0603</t>
  </si>
  <si>
    <t>Resistor_91_1_0603</t>
  </si>
  <si>
    <t>Resistor_100_1_0603</t>
  </si>
  <si>
    <t>Resistor_110_1_0603</t>
  </si>
  <si>
    <t>Resistor_120_1_0603</t>
  </si>
  <si>
    <t>Resistor_130_1_0603</t>
  </si>
  <si>
    <t>Resistor_150_1_0603</t>
  </si>
  <si>
    <t>Resistor_160_1_0603</t>
  </si>
  <si>
    <t>Resistor_180_1_0603</t>
  </si>
  <si>
    <t>Resistor_200_1_0603</t>
  </si>
  <si>
    <t>Resistor_220_1_0603</t>
  </si>
  <si>
    <t>Resistor_240_1_0603</t>
  </si>
  <si>
    <t>Resistor_510_1_0603</t>
  </si>
  <si>
    <t>Resistor_560_1_0603</t>
  </si>
  <si>
    <t>Resistor_620_1_0603</t>
  </si>
  <si>
    <t>Resistor_680_1_0603</t>
  </si>
  <si>
    <t>Resistor_750_1_0603</t>
  </si>
  <si>
    <t>Resistor_910_1_0603</t>
  </si>
  <si>
    <t>Resistor_1.1k_1_0603</t>
  </si>
  <si>
    <t>1,1 к</t>
  </si>
  <si>
    <t>Resistor_1.2k_1_0603</t>
  </si>
  <si>
    <t>1,2 к</t>
  </si>
  <si>
    <t>Resistor_1.3k_1_0603</t>
  </si>
  <si>
    <t>1,3 к</t>
  </si>
  <si>
    <t>Resistor_1.5k_1_0603</t>
  </si>
  <si>
    <t>1,5 к</t>
  </si>
  <si>
    <t>Resistor_1.6k_1_0603</t>
  </si>
  <si>
    <t>1,6 к</t>
  </si>
  <si>
    <t>Resistor_1.8k_1_0603</t>
  </si>
  <si>
    <t>1,8 к</t>
  </si>
  <si>
    <t>Resistor_2.2k_1_0603</t>
  </si>
  <si>
    <t>2,2 к</t>
  </si>
  <si>
    <t>Resistor_2.4k_1_0603</t>
  </si>
  <si>
    <t>2,4 к</t>
  </si>
  <si>
    <t>Resistor_5.1k_1_0603</t>
  </si>
  <si>
    <t>5,1 к</t>
  </si>
  <si>
    <t>Resistor_5.6k_1_0603</t>
  </si>
  <si>
    <t>5,6 к</t>
  </si>
  <si>
    <t>Resistor_6.2k_1_0603</t>
  </si>
  <si>
    <t>6,2 к</t>
  </si>
  <si>
    <t>Resistor_6.8k_1_0603</t>
  </si>
  <si>
    <t>6,8 к</t>
  </si>
  <si>
    <t>Resistor_7.5k_1_0603</t>
  </si>
  <si>
    <t>7,5 к</t>
  </si>
  <si>
    <t>Resistor_9.1k_1_0603</t>
  </si>
  <si>
    <t>9,1 к</t>
  </si>
  <si>
    <t>Resistor_10k_1_0603</t>
  </si>
  <si>
    <t>10 к</t>
  </si>
  <si>
    <t>Resistor_11k_1_0603</t>
  </si>
  <si>
    <t>11 к</t>
  </si>
  <si>
    <t>Resistor_13k_1_0603</t>
  </si>
  <si>
    <t>13 к</t>
  </si>
  <si>
    <t>Resistor_15k_1_0603</t>
  </si>
  <si>
    <t>15 к</t>
  </si>
  <si>
    <t>Resistor_16k_1_0603</t>
  </si>
  <si>
    <t>16 к</t>
  </si>
  <si>
    <t>Resistor_18k_1_0603</t>
  </si>
  <si>
    <t>18 к</t>
  </si>
  <si>
    <t>Resistor_20k_1_0603</t>
  </si>
  <si>
    <t>20 к</t>
  </si>
  <si>
    <t>Resistor_22k_1_0603</t>
  </si>
  <si>
    <t>22 к</t>
  </si>
  <si>
    <t>Resistor_24k_1_0603</t>
  </si>
  <si>
    <t>24 к</t>
  </si>
  <si>
    <t>Resistor_51k_1_0603</t>
  </si>
  <si>
    <t>51 к</t>
  </si>
  <si>
    <t>Resistor_56k_1_0603</t>
  </si>
  <si>
    <t>56 к</t>
  </si>
  <si>
    <t>Resistor_62k_1_0603</t>
  </si>
  <si>
    <t>62 к</t>
  </si>
  <si>
    <t>Resistor_68k_1_0603</t>
  </si>
  <si>
    <t>68 к</t>
  </si>
  <si>
    <t>Resistor_75k_1_0603</t>
  </si>
  <si>
    <t>75 к</t>
  </si>
  <si>
    <t>Resistor_91k_1_0603</t>
  </si>
  <si>
    <t>91 к</t>
  </si>
  <si>
    <t>Resistor_100k_1_0603</t>
  </si>
  <si>
    <t>100 к</t>
  </si>
  <si>
    <t>Resistor_110k_1_0603</t>
  </si>
  <si>
    <t>110 к</t>
  </si>
  <si>
    <t>Resistor_120k_1_0603</t>
  </si>
  <si>
    <t>120 к</t>
  </si>
  <si>
    <t>Resistor_130k_1_0603</t>
  </si>
  <si>
    <t>130 к</t>
  </si>
  <si>
    <t>Resistor_150k_1_0603</t>
  </si>
  <si>
    <t>150 к</t>
  </si>
  <si>
    <t>Resistor_160k_1_0603</t>
  </si>
  <si>
    <t>160 к</t>
  </si>
  <si>
    <t>Resistor_180k_1_0603</t>
  </si>
  <si>
    <t>180 к</t>
  </si>
  <si>
    <t>Resistor_200k_1_0603</t>
  </si>
  <si>
    <t>200 к</t>
  </si>
  <si>
    <t>Resistor_220k_1_0603</t>
  </si>
  <si>
    <t>220 к</t>
  </si>
  <si>
    <t>Resistor_240k_1_0603</t>
  </si>
  <si>
    <t>240 к</t>
  </si>
  <si>
    <t>Resistor_510k_1_0603</t>
  </si>
  <si>
    <t>510 к</t>
  </si>
  <si>
    <t>Resistor_560k_1_0603</t>
  </si>
  <si>
    <t>560 к</t>
  </si>
  <si>
    <t>Resistor_620k_1_0603</t>
  </si>
  <si>
    <t>620 к</t>
  </si>
  <si>
    <t>Resistor_680k_1_0603</t>
  </si>
  <si>
    <t>680 к</t>
  </si>
  <si>
    <t>Resistor_750k_1_0603</t>
  </si>
  <si>
    <t>750 к</t>
  </si>
  <si>
    <t>Resistor_910k_1_0603</t>
  </si>
  <si>
    <t>910 к</t>
  </si>
  <si>
    <t>Resistor_1.0M_1_0603</t>
  </si>
  <si>
    <t>1,0 М</t>
  </si>
  <si>
    <t>Resistor_1.1M_1_0603</t>
  </si>
  <si>
    <t>1,1 М</t>
  </si>
  <si>
    <t>Resistor_1.2M_1_0603</t>
  </si>
  <si>
    <t>1,2 М</t>
  </si>
  <si>
    <t>Resistor_1.3M_1_0603</t>
  </si>
  <si>
    <t>1,3 М</t>
  </si>
  <si>
    <t>Resistor_1.5M_1_0603</t>
  </si>
  <si>
    <t>1,5 М</t>
  </si>
  <si>
    <t>Resistor_1.6M_1_0603</t>
  </si>
  <si>
    <t>1,6 М</t>
  </si>
  <si>
    <t>Resistor_1.8M_1_0603</t>
  </si>
  <si>
    <t>1,8 М</t>
  </si>
  <si>
    <t>Resistor_2.2M_1_0603</t>
  </si>
  <si>
    <t>2,2 М</t>
  </si>
  <si>
    <t>Resistor_2.4M_1_0603</t>
  </si>
  <si>
    <t>2,4 М</t>
  </si>
  <si>
    <t>Resistor_5.1M_1_0603</t>
  </si>
  <si>
    <t>5,1 М</t>
  </si>
  <si>
    <t>Resistor_5.6M_1_0603</t>
  </si>
  <si>
    <t>5,6 М</t>
  </si>
  <si>
    <t>Resistor_6.2M_1_0603</t>
  </si>
  <si>
    <t>6,2 М</t>
  </si>
  <si>
    <t>Resistor_6.8M_1_0603</t>
  </si>
  <si>
    <t>6,8 М</t>
  </si>
  <si>
    <t>Resistor_7.5M_1_0603</t>
  </si>
  <si>
    <t>7,5 М</t>
  </si>
  <si>
    <t>Resistor_9.1M_1_0603</t>
  </si>
  <si>
    <t>9,1 М</t>
  </si>
  <si>
    <t>Resistor_10M_1_0603</t>
  </si>
  <si>
    <t>10 М</t>
  </si>
  <si>
    <t>Tolerance</t>
  </si>
  <si>
    <t>VND5025</t>
  </si>
  <si>
    <t>Double channel high side driver with analog current sense for automotive applications</t>
  </si>
  <si>
    <t>POWERSSO24</t>
  </si>
  <si>
    <t>SN74LVC1G17DCKR</t>
  </si>
  <si>
    <t>Одиночный триггер Шмитта 5-SC70 -40 to 125, буфер</t>
  </si>
  <si>
    <t>74LVC1G74DP,125</t>
  </si>
  <si>
    <t>Одиночный D триггер</t>
  </si>
  <si>
    <t>SOP65P400X110-8N</t>
  </si>
  <si>
    <t>RT8279GSP</t>
  </si>
  <si>
    <t xml:space="preserve">Преобразователь постоянного тока понижающий подстраиваемый выход 5А </t>
  </si>
  <si>
    <t>8SOP(Exposed_Pad)</t>
  </si>
  <si>
    <t>SMBJ18A</t>
  </si>
  <si>
    <t>2_PADS</t>
  </si>
  <si>
    <t>2 контактные площадки под пайку толстых проводов</t>
  </si>
  <si>
    <t>XT30PW-M</t>
  </si>
  <si>
    <t>anotherCWF-3</t>
  </si>
  <si>
    <t>IHLP4040DZER330M11</t>
  </si>
  <si>
    <t>ЧИП-индуктивность экранированная 33мкГн ±20% 4,4A 94,5мОм 4040</t>
  </si>
  <si>
    <t>IHLP-4040</t>
  </si>
  <si>
    <t>SMB</t>
  </si>
  <si>
    <t>BAT54WS</t>
  </si>
  <si>
    <t>10S45SP</t>
  </si>
  <si>
    <t>TO-277</t>
  </si>
  <si>
    <t>1210С</t>
  </si>
  <si>
    <t>KLS2-300-5.00-02P-2S</t>
  </si>
  <si>
    <t>Клеммник винтовой, 2-контактный, 5мм, прямой</t>
  </si>
  <si>
    <t>Schematic\Connectors\Conn_10pin.SchLib</t>
  </si>
  <si>
    <t>Footprints\Connectors\IDC-10.PcbLib</t>
  </si>
  <si>
    <t>Schematic\Connectors\Conn_26pin.SchLib</t>
  </si>
  <si>
    <t>Footprints\Connectors\D-SUB-26.PcbLib</t>
  </si>
  <si>
    <t>Schematic\Connectors\Conn_4pin.SchLib</t>
  </si>
  <si>
    <t>Schematic\Connectors\Conn_5pin.SchLib</t>
  </si>
  <si>
    <t>Footprints\Connectors\CWF\CWF-5.PcbLib</t>
  </si>
  <si>
    <t>Schematic\Connectors\Conn_3pin.SchLib</t>
  </si>
  <si>
    <t>Footprints\Connectors\CWF\CWF-3.PcbLib</t>
  </si>
  <si>
    <t>Schematic\Connectors\Conn_2pin.SchLib</t>
  </si>
  <si>
    <t>Footprints\Connectors\2_PADS.PcbLib</t>
  </si>
  <si>
    <t>2_HOLES</t>
  </si>
  <si>
    <t>Footprints\Connectors\XT30PW-M.PcbLib</t>
  </si>
  <si>
    <t>Footprints\Connectors\CWF\anotherCWF-3.PcbLib</t>
  </si>
  <si>
    <t>Footprints\Connectors\KLS2-300-5.00-02P-2S.PcbLib</t>
  </si>
  <si>
    <t>DIN41612_32_2row_right_angle_father</t>
  </si>
  <si>
    <t>DIN41612R (DS1118-32M0R23), Разъем (вилка) тип B 32pin (2х16), шаг 2.54мм двухрядный угловой (ряд АВ)</t>
  </si>
  <si>
    <t>Schematic\Connectors\DIN41612_32_2row.SchLib</t>
  </si>
  <si>
    <t>DIN41612_32_2row</t>
  </si>
  <si>
    <t>Footprints\Connectors\DIN41612_32_2row_right_angle_father.PcbLib</t>
  </si>
  <si>
    <t>DIN41612_32_2row_straight_mother</t>
  </si>
  <si>
    <t>DIN41612 (DS1118-32F0V23), Разъем (розетка) тип B 32pin (2х16), шаг 2.54мм двухрядный прямой (ряд АB)</t>
  </si>
  <si>
    <t>Footprints\Connectors\DIN41612_32_2row_straight_mother.PcbLib</t>
  </si>
  <si>
    <t>Footprints\Connectors\2_Holes.pcblib</t>
  </si>
  <si>
    <t>SB</t>
  </si>
  <si>
    <t>0805SB</t>
  </si>
  <si>
    <t>Solder bridge, мост припоя, запаиваемая перемычка, net tie, jumper</t>
  </si>
  <si>
    <t>SOIC-16</t>
  </si>
  <si>
    <t>2,7</t>
  </si>
  <si>
    <t>3,0</t>
  </si>
  <si>
    <t>3,3</t>
  </si>
  <si>
    <t>3,6</t>
  </si>
  <si>
    <t>3,9</t>
  </si>
  <si>
    <t>4,3</t>
  </si>
  <si>
    <t>4,7</t>
  </si>
  <si>
    <t>10</t>
  </si>
  <si>
    <t>11</t>
  </si>
  <si>
    <t>12</t>
  </si>
  <si>
    <t>13</t>
  </si>
  <si>
    <t>15</t>
  </si>
  <si>
    <t>16</t>
  </si>
  <si>
    <t>18</t>
  </si>
  <si>
    <t>20</t>
  </si>
  <si>
    <t>22</t>
  </si>
  <si>
    <t>24</t>
  </si>
  <si>
    <t>27</t>
  </si>
  <si>
    <t>30</t>
  </si>
  <si>
    <t>33</t>
  </si>
  <si>
    <t>36</t>
  </si>
  <si>
    <t>39</t>
  </si>
  <si>
    <t>43</t>
  </si>
  <si>
    <t>47</t>
  </si>
  <si>
    <t>51</t>
  </si>
  <si>
    <t>56</t>
  </si>
  <si>
    <t>62</t>
  </si>
  <si>
    <t>68</t>
  </si>
  <si>
    <t>75</t>
  </si>
  <si>
    <t>91</t>
  </si>
  <si>
    <t>100</t>
  </si>
  <si>
    <t>110</t>
  </si>
  <si>
    <t>120</t>
  </si>
  <si>
    <t>130</t>
  </si>
  <si>
    <t>150</t>
  </si>
  <si>
    <t>160</t>
  </si>
  <si>
    <t>180</t>
  </si>
  <si>
    <t>200</t>
  </si>
  <si>
    <t>220</t>
  </si>
  <si>
    <t>240</t>
  </si>
  <si>
    <t>270</t>
  </si>
  <si>
    <t>300</t>
  </si>
  <si>
    <t>330</t>
  </si>
  <si>
    <t>360</t>
  </si>
  <si>
    <t>390</t>
  </si>
  <si>
    <t>430</t>
  </si>
  <si>
    <t>470</t>
  </si>
  <si>
    <t>510</t>
  </si>
  <si>
    <t>560</t>
  </si>
  <si>
    <t>620</t>
  </si>
  <si>
    <t>680</t>
  </si>
  <si>
    <t>750</t>
  </si>
  <si>
    <t>910</t>
  </si>
  <si>
    <t>1,0 к</t>
  </si>
  <si>
    <t>2,0 к</t>
  </si>
  <si>
    <t>2,7 к</t>
  </si>
  <si>
    <t>3,0 к</t>
  </si>
  <si>
    <t>3,3 к</t>
  </si>
  <si>
    <t>3,6 к</t>
  </si>
  <si>
    <t>3,9 к</t>
  </si>
  <si>
    <t>4,3 к</t>
  </si>
  <si>
    <t>4,7 к</t>
  </si>
  <si>
    <t>12 к</t>
  </si>
  <si>
    <t>27 к</t>
  </si>
  <si>
    <t>30 к</t>
  </si>
  <si>
    <t>33 к</t>
  </si>
  <si>
    <t>36 к</t>
  </si>
  <si>
    <t>39 к</t>
  </si>
  <si>
    <t>43 к</t>
  </si>
  <si>
    <t>47 к</t>
  </si>
  <si>
    <t>270 к</t>
  </si>
  <si>
    <t>300 к</t>
  </si>
  <si>
    <t>330 к</t>
  </si>
  <si>
    <t>360 к</t>
  </si>
  <si>
    <t>390 к</t>
  </si>
  <si>
    <t>430 к</t>
  </si>
  <si>
    <t>470 к</t>
  </si>
  <si>
    <t>2,0 М</t>
  </si>
  <si>
    <t>2,7 М</t>
  </si>
  <si>
    <t>3,0 М</t>
  </si>
  <si>
    <t>3,3 М</t>
  </si>
  <si>
    <t>3,6 М</t>
  </si>
  <si>
    <t>3,9 М</t>
  </si>
  <si>
    <t>4,3 М</t>
  </si>
  <si>
    <t>4,7 М</t>
  </si>
  <si>
    <t>Resistor_2.7_1_0603</t>
  </si>
  <si>
    <t>Resistor_3.0_1_0603</t>
  </si>
  <si>
    <t>Resistor_3.3_1_0603</t>
  </si>
  <si>
    <t>Resistor_3.6_1_0603</t>
  </si>
  <si>
    <t>Resistor_3.9_1_0603</t>
  </si>
  <si>
    <t>Resistor_4.3_1_0603</t>
  </si>
  <si>
    <t>Resistor_4.7_1_0603</t>
  </si>
  <si>
    <t>Resistor_27_1_0603</t>
  </si>
  <si>
    <t>Resistor_30_1_0603</t>
  </si>
  <si>
    <t>Resistor_33_1_0603</t>
  </si>
  <si>
    <t>Resistor_36_1_0603</t>
  </si>
  <si>
    <t>Resistor_39_1_0603</t>
  </si>
  <si>
    <t>Resistor_43_1_0603</t>
  </si>
  <si>
    <t>Resistor_47_1_0603</t>
  </si>
  <si>
    <t>Resistor_270_1_0603</t>
  </si>
  <si>
    <t>Resistor_300_1_0603</t>
  </si>
  <si>
    <t>Resistor_330_1_0603</t>
  </si>
  <si>
    <t>Resistor_360_1_0603</t>
  </si>
  <si>
    <t>Resistor_390_1_0603</t>
  </si>
  <si>
    <t>Resistor_430_1_0603</t>
  </si>
  <si>
    <t>Resistor_470_1_0603</t>
  </si>
  <si>
    <t>Resistor_1.0k_1_0603</t>
  </si>
  <si>
    <t>Resistor_2.0k_1_0603</t>
  </si>
  <si>
    <t>Resistor_2.7k_1_0603</t>
  </si>
  <si>
    <t>Resistor_3.0k_1_0603</t>
  </si>
  <si>
    <t>Resistor_3.3k_1_0603</t>
  </si>
  <si>
    <t>Resistor_3.6k_1_0603</t>
  </si>
  <si>
    <t>Resistor_3.9k_1_0603</t>
  </si>
  <si>
    <t>Resistor_4.3k_1_0603</t>
  </si>
  <si>
    <t>Resistor_4.7k_1_0603</t>
  </si>
  <si>
    <t>Resistor_12k_1_0603</t>
  </si>
  <si>
    <t>Resistor_27k_1_0603</t>
  </si>
  <si>
    <t>Resistor_30k_1_0603</t>
  </si>
  <si>
    <t>Resistor_33k_1_0603</t>
  </si>
  <si>
    <t>Resistor_36k_1_0603</t>
  </si>
  <si>
    <t>Resistor_39k_1_0603</t>
  </si>
  <si>
    <t>Resistor_43k_1_0603</t>
  </si>
  <si>
    <t>Resistor_47k_1_0603</t>
  </si>
  <si>
    <t>Resistor_270k_1_0603</t>
  </si>
  <si>
    <t>Resistor_300k_1_0603</t>
  </si>
  <si>
    <t>Resistor_330k_1_0603</t>
  </si>
  <si>
    <t>Resistor_360k_1_0603</t>
  </si>
  <si>
    <t>Resistor_390k_1_0603</t>
  </si>
  <si>
    <t>Resistor_430k_1_0603</t>
  </si>
  <si>
    <t>Resistor_470k_1_0603</t>
  </si>
  <si>
    <t>Resistor_2.0M_1_0603</t>
  </si>
  <si>
    <t>Resistor_2.7M_1_0603</t>
  </si>
  <si>
    <t>Resistor_3.0M_1_0603</t>
  </si>
  <si>
    <t>Resistor_3.3M_1_0603</t>
  </si>
  <si>
    <t>Resistor_3.6M_1_0603</t>
  </si>
  <si>
    <t>Resistor_3.9M_1_0603</t>
  </si>
  <si>
    <t>Resistor_4.3M_1_0603</t>
  </si>
  <si>
    <t>Resistor_4.7M_1_0603</t>
  </si>
  <si>
    <t>Resistor_8.2_1_0603</t>
  </si>
  <si>
    <t>Resistor_82_1_0603</t>
  </si>
  <si>
    <t>Resistor_820_1_0603</t>
  </si>
  <si>
    <t>Resistor_8.2k_1_0603</t>
  </si>
  <si>
    <t>Resistor_82k_1_0603</t>
  </si>
  <si>
    <t>Resistor_820k_1_0603</t>
  </si>
  <si>
    <t>Resistor_8.2M_1_0603</t>
  </si>
  <si>
    <t>Резистор номиналом 1,0 Ом и точностью 1%</t>
  </si>
  <si>
    <t>Резистор номиналом 1,1 Ом и точностью 1%</t>
  </si>
  <si>
    <t>Резистор номиналом 1,2 Ом и точностью 1%</t>
  </si>
  <si>
    <t>Резистор номиналом 1,3 Ом и точностью 1%</t>
  </si>
  <si>
    <t>Резистор номиналом 1,5 Ом и точностью 1%</t>
  </si>
  <si>
    <t>Резистор номиналом 1,6 Ом и точностью 1%</t>
  </si>
  <si>
    <t>Резистор номиналом 1,8 Ом и точностью 1%</t>
  </si>
  <si>
    <t>Резистор номиналом 2,0 Ом и точностью 1%</t>
  </si>
  <si>
    <t>Резистор номиналом 2,2 Ом и точностью 1%</t>
  </si>
  <si>
    <t>Резистор номиналом 2,4 Ом и точностью 1%</t>
  </si>
  <si>
    <t>Резистор номиналом 2,7 Ом и точностью 1%</t>
  </si>
  <si>
    <t>Резистор номиналом 3,0 Ом и точностью 1%</t>
  </si>
  <si>
    <t>Резистор номиналом 3,3 Ом и точностью 1%</t>
  </si>
  <si>
    <t>Резистор номиналом 3,6 Ом и точностью 1%</t>
  </si>
  <si>
    <t>Резистор номиналом 3,9 Ом и точностью 1%</t>
  </si>
  <si>
    <t>Резистор номиналом 4,3 Ом и точностью 1%</t>
  </si>
  <si>
    <t>Резистор номиналом 4,7 Ом и точностью 1%</t>
  </si>
  <si>
    <t>Резистор номиналом 5,1 Ом и точностью 1%</t>
  </si>
  <si>
    <t>Резистор номиналом 5,6 Ом и точностью 1%</t>
  </si>
  <si>
    <t>Резистор номиналом 6,2 Ом и точностью 1%</t>
  </si>
  <si>
    <t>Резистор номиналом 6,8 Ом и точностью 1%</t>
  </si>
  <si>
    <t>Резистор номиналом 7,5 Ом и точностью 1%</t>
  </si>
  <si>
    <t>Резистор номиналом 8,2 Ом и точностью 1%</t>
  </si>
  <si>
    <t>Резистор номиналом 9,1 Ом и точностью 1%</t>
  </si>
  <si>
    <t>Резистор номиналом 10 Ом и точностью 1%</t>
  </si>
  <si>
    <t>Резистор номиналом 11 Ом и точностью 1%</t>
  </si>
  <si>
    <t>Резистор номиналом 12 Ом и точностью 1%</t>
  </si>
  <si>
    <t>Резистор номиналом 13 Ом и точностью 1%</t>
  </si>
  <si>
    <t>Резистор номиналом 15 Ом и точностью 1%</t>
  </si>
  <si>
    <t>Резистор номиналом 16 Ом и точностью 1%</t>
  </si>
  <si>
    <t>Резистор номиналом 18 Ом и точностью 1%</t>
  </si>
  <si>
    <t>Резистор номиналом 20 Ом и точностью 1%</t>
  </si>
  <si>
    <t>Резистор номиналом 22 Ом и точностью 1%</t>
  </si>
  <si>
    <t>Резистор номиналом 24 Ом и точностью 1%</t>
  </si>
  <si>
    <t>Резистор номиналом 27 Ом и точностью 1%</t>
  </si>
  <si>
    <t>Резистор номиналом 30 Ом и точностью 1%</t>
  </si>
  <si>
    <t>Резистор номиналом 33 Ом и точностью 1%</t>
  </si>
  <si>
    <t>Резистор номиналом 36 Ом и точностью 1%</t>
  </si>
  <si>
    <t>Резистор номиналом 39 Ом и точностью 1%</t>
  </si>
  <si>
    <t>Резистор номиналом 43 Ом и точностью 1%</t>
  </si>
  <si>
    <t>Резистор номиналом 47 Ом и точностью 1%</t>
  </si>
  <si>
    <t>Резистор номиналом 51 Ом и точностью 1%</t>
  </si>
  <si>
    <t>Резистор номиналом 56 Ом и точностью 1%</t>
  </si>
  <si>
    <t>Резистор номиналом 62 Ом и точностью 1%</t>
  </si>
  <si>
    <t>Резистор номиналом 68 Ом и точностью 1%</t>
  </si>
  <si>
    <t>Резистор номиналом 75 Ом и точностью 1%</t>
  </si>
  <si>
    <t>Резистор номиналом 82 Ом и точностью 1%</t>
  </si>
  <si>
    <t>Резистор номиналом 91 Ом и точностью 1%</t>
  </si>
  <si>
    <t>Резистор номиналом 100 Ом и точностью 1%</t>
  </si>
  <si>
    <t>Резистор номиналом 110 Ом и точностью 1%</t>
  </si>
  <si>
    <t>Резистор номиналом 120 Ом и точностью 1%</t>
  </si>
  <si>
    <t>Резистор номиналом 130 Ом и точностью 1%</t>
  </si>
  <si>
    <t>Резистор номиналом 150 Ом и точностью 1%</t>
  </si>
  <si>
    <t>Резистор номиналом 160 Ом и точностью 1%</t>
  </si>
  <si>
    <t>Резистор номиналом 180 Ом и точностью 1%</t>
  </si>
  <si>
    <t>Резистор номиналом 200 Ом и точностью 1%</t>
  </si>
  <si>
    <t>Резистор номиналом 220 Ом и точностью 1%</t>
  </si>
  <si>
    <t>Резистор номиналом 240 Ом и точностью 1%</t>
  </si>
  <si>
    <t>Резистор номиналом 270 Ом и точностью 1%</t>
  </si>
  <si>
    <t>Резистор номиналом 300 Ом и точностью 1%</t>
  </si>
  <si>
    <t>Резистор номиналом 330 Ом и точностью 1%</t>
  </si>
  <si>
    <t>Резистор номиналом 360 Ом и точностью 1%</t>
  </si>
  <si>
    <t>Резистор номиналом 390 Ом и точностью 1%</t>
  </si>
  <si>
    <t>Резистор номиналом 430 Ом и точностью 1%</t>
  </si>
  <si>
    <t>Резистор номиналом 470 Ом и точностью 1%</t>
  </si>
  <si>
    <t>Резистор номиналом 510 Ом и точностью 1%</t>
  </si>
  <si>
    <t>Резистор номиналом 560 Ом и точностью 1%</t>
  </si>
  <si>
    <t>Резистор номиналом 620 Ом и точностью 1%</t>
  </si>
  <si>
    <t>Резистор номиналом 680 Ом и точностью 1%</t>
  </si>
  <si>
    <t>Резистор номиналом 750 Ом и точностью 1%</t>
  </si>
  <si>
    <t>Резистор номиналом 820 Ом и точностью 1%</t>
  </si>
  <si>
    <t>Резистор номиналом 910 Ом и точностью 1%</t>
  </si>
  <si>
    <t>Резистор номиналом 1,0 кОм и точностью 1%</t>
  </si>
  <si>
    <t>Резистор номиналом 1,1 кОм и точностью 1%</t>
  </si>
  <si>
    <t>Резистор номиналом 1,2 кОм и точностью 1%</t>
  </si>
  <si>
    <t>Резистор номиналом 1,3 кОм и точностью 1%</t>
  </si>
  <si>
    <t>Резистор номиналом 1,5 кОм и точностью 1%</t>
  </si>
  <si>
    <t>Резистор номиналом 1,6 кОм и точностью 1%</t>
  </si>
  <si>
    <t>Резистор номиналом 1,8 кОм и точностью 1%</t>
  </si>
  <si>
    <t>Резистор номиналом 2,0 кОм и точностью 1%</t>
  </si>
  <si>
    <t>Резистор номиналом 2,2 кОм и точностью 1%</t>
  </si>
  <si>
    <t>Резистор номиналом 2,4 кОм и точностью 1%</t>
  </si>
  <si>
    <t>Резистор номиналом 2,7 кОм и точностью 1%</t>
  </si>
  <si>
    <t>Резистор номиналом 3,0 кОм и точностью 1%</t>
  </si>
  <si>
    <t>Резистор номиналом 3,3 кОм и точностью 1%</t>
  </si>
  <si>
    <t>Резистор номиналом 3,6 кОм и точностью 1%</t>
  </si>
  <si>
    <t>Резистор номиналом 3,9 кОм и точностью 1%</t>
  </si>
  <si>
    <t>Резистор номиналом 4,3 кОм и точностью 1%</t>
  </si>
  <si>
    <t>Резистор номиналом 4,7 кОм и точностью 1%</t>
  </si>
  <si>
    <t>Резистор номиналом 5,1 кОм и точностью 1%</t>
  </si>
  <si>
    <t>Резистор номиналом 5,6 кОм и точностью 1%</t>
  </si>
  <si>
    <t>Резистор номиналом 6,2 кОм и точностью 1%</t>
  </si>
  <si>
    <t>Резистор номиналом 6,8 кОм и точностью 1%</t>
  </si>
  <si>
    <t>Резистор номиналом 7,5 кОм и точностью 1%</t>
  </si>
  <si>
    <t>Резистор номиналом 8,2 кОм и точностью 1%</t>
  </si>
  <si>
    <t>Резистор номиналом 9,1 кОм и точностью 1%</t>
  </si>
  <si>
    <t>Резистор номиналом 10 кОм и точностью 1%</t>
  </si>
  <si>
    <t>Резистор номиналом 11 кОм и точностью 1%</t>
  </si>
  <si>
    <t>Резистор номиналом 12 кОм и точностью 1%</t>
  </si>
  <si>
    <t>Резистор номиналом 13 кОм и точностью 1%</t>
  </si>
  <si>
    <t>Резистор номиналом 15 кОм и точностью 1%</t>
  </si>
  <si>
    <t>Резистор номиналом 16 кОм и точностью 1%</t>
  </si>
  <si>
    <t>Резистор номиналом 18 кОм и точностью 1%</t>
  </si>
  <si>
    <t>Резистор номиналом 20 кОм и точностью 1%</t>
  </si>
  <si>
    <t>Резистор номиналом 22 кОм и точностью 1%</t>
  </si>
  <si>
    <t>Резистор номиналом 24 кОм и точностью 1%</t>
  </si>
  <si>
    <t>Резистор номиналом 27 кОм и точностью 1%</t>
  </si>
  <si>
    <t>Резистор номиналом 30 кОм и точностью 1%</t>
  </si>
  <si>
    <t>Резистор номиналом 33 кОм и точностью 1%</t>
  </si>
  <si>
    <t>Резистор номиналом 36 кОм и точностью 1%</t>
  </si>
  <si>
    <t>Резистор номиналом 39 кОм и точностью 1%</t>
  </si>
  <si>
    <t>Резистор номиналом 43 кОм и точностью 1%</t>
  </si>
  <si>
    <t>Резистор номиналом 47 кОм и точностью 1%</t>
  </si>
  <si>
    <t>Резистор номиналом 51 кОм и точностью 1%</t>
  </si>
  <si>
    <t>Резистор номиналом 56 кОм и точностью 1%</t>
  </si>
  <si>
    <t>Резистор номиналом 62 кОм и точностью 1%</t>
  </si>
  <si>
    <t>Резистор номиналом 68 кОм и точностью 1%</t>
  </si>
  <si>
    <t>Резистор номиналом 75 кОм и точностью 1%</t>
  </si>
  <si>
    <t>Резистор номиналом 82 кОм и точностью 1%</t>
  </si>
  <si>
    <t>Резистор номиналом 91 кОм и точностью 1%</t>
  </si>
  <si>
    <t>Резистор номиналом 100 кОм и точностью 1%</t>
  </si>
  <si>
    <t>Резистор номиналом 110 кОм и точностью 1%</t>
  </si>
  <si>
    <t>Резистор номиналом 120 кОм и точностью 1%</t>
  </si>
  <si>
    <t>Резистор номиналом 130 кОм и точностью 1%</t>
  </si>
  <si>
    <t>Резистор номиналом 150 кОм и точностью 1%</t>
  </si>
  <si>
    <t>Резистор номиналом 160 кОм и точностью 1%</t>
  </si>
  <si>
    <t>Резистор номиналом 180 кОм и точностью 1%</t>
  </si>
  <si>
    <t>Резистор номиналом 200 кОм и точностью 1%</t>
  </si>
  <si>
    <t>Резистор номиналом 220 кОм и точностью 1%</t>
  </si>
  <si>
    <t>Резистор номиналом 240 кОм и точностью 1%</t>
  </si>
  <si>
    <t>Резистор номиналом 270 кОм и точностью 1%</t>
  </si>
  <si>
    <t>Резистор номиналом 300 кОм и точностью 1%</t>
  </si>
  <si>
    <t>Резистор номиналом 330 кОм и точностью 1%</t>
  </si>
  <si>
    <t>Резистор номиналом 360 кОм и точностью 1%</t>
  </si>
  <si>
    <t>Резистор номиналом 390 кОм и точностью 1%</t>
  </si>
  <si>
    <t>Резистор номиналом 430 кОм и точностью 1%</t>
  </si>
  <si>
    <t>Резистор номиналом 470 кОм и точностью 1%</t>
  </si>
  <si>
    <t>Резистор номиналом 510 кОм и точностью 1%</t>
  </si>
  <si>
    <t>Резистор номиналом 560 кОм и точностью 1%</t>
  </si>
  <si>
    <t>Резистор номиналом 620 кОм и точностью 1%</t>
  </si>
  <si>
    <t>Резистор номиналом 680 кОм и точностью 1%</t>
  </si>
  <si>
    <t>Резистор номиналом 750 кОм и точностью 1%</t>
  </si>
  <si>
    <t>Резистор номиналом 820 кОм и точностью 1%</t>
  </si>
  <si>
    <t>Резистор номиналом 910 кОм и точностью 1%</t>
  </si>
  <si>
    <t>Резистор номиналом 1,0 МОм и точностью 1%</t>
  </si>
  <si>
    <t>Резистор номиналом 1,1 МОм и точностью 1%</t>
  </si>
  <si>
    <t>Резистор номиналом 1,2 МОм и точностью 1%</t>
  </si>
  <si>
    <t>Резистор номиналом 1,3 МОм и точностью 1%</t>
  </si>
  <si>
    <t>Резистор номиналом 1,5 МОм и точностью 1%</t>
  </si>
  <si>
    <t>Резистор номиналом 1,6 МОм и точностью 1%</t>
  </si>
  <si>
    <t>Резистор номиналом 1,8 МОм и точностью 1%</t>
  </si>
  <si>
    <t>Резистор номиналом 2,0 МОм и точностью 1%</t>
  </si>
  <si>
    <t>Резистор номиналом 2,2 МОм и точностью 1%</t>
  </si>
  <si>
    <t>Резистор номиналом 2,4 МОм и точностью 1%</t>
  </si>
  <si>
    <t>Резистор номиналом 2,7 МОм и точностью 1%</t>
  </si>
  <si>
    <t>Резистор номиналом 3,0 МОм и точностью 1%</t>
  </si>
  <si>
    <t>Резистор номиналом 3,3 МОм и точностью 1%</t>
  </si>
  <si>
    <t>Резистор номиналом 3,6 МОм и точностью 1%</t>
  </si>
  <si>
    <t>Резистор номиналом 3,9 МОм и точностью 1%</t>
  </si>
  <si>
    <t>Резистор номиналом 4,3 МОм и точностью 1%</t>
  </si>
  <si>
    <t>Резистор номиналом 4,7 МОм и точностью 1%</t>
  </si>
  <si>
    <t>Резистор номиналом 5,1 МОм и точностью 1%</t>
  </si>
  <si>
    <t>Резистор номиналом 5,6 МОм и точностью 1%</t>
  </si>
  <si>
    <t>Резистор номиналом 6,2 МОм и точностью 1%</t>
  </si>
  <si>
    <t>Резистор номиналом 6,8 МОм и точностью 1%</t>
  </si>
  <si>
    <t>Резистор номиналом 7,5 МОм и точностью 1%</t>
  </si>
  <si>
    <t>Резистор номиналом 8,2 МОм и точностью 1%</t>
  </si>
  <si>
    <t>Резистор номиналом 9,1 МОм и точностью 1%</t>
  </si>
  <si>
    <t>Резистор номиналом 10 МОм и точностью 1%</t>
  </si>
  <si>
    <t>8,2</t>
  </si>
  <si>
    <t>82</t>
  </si>
  <si>
    <t>820</t>
  </si>
  <si>
    <t>8,2 к</t>
  </si>
  <si>
    <t>82 к</t>
  </si>
  <si>
    <t>820 к</t>
  </si>
  <si>
    <t>8,2 М</t>
  </si>
  <si>
    <t>Dielectric</t>
  </si>
  <si>
    <t>Voltage (V)</t>
  </si>
  <si>
    <t>Capacity (nF)</t>
  </si>
  <si>
    <t>Capacitor_1,2n_10_50V_X7R_0603C</t>
  </si>
  <si>
    <t>Capacitor_1,5n_10_50V_X7R_0603C</t>
  </si>
  <si>
    <t>Capacitor_1,8n_10_50V_X7R_0603C</t>
  </si>
  <si>
    <t>Capacitor_2,2n_10_50V_X7R_0603C</t>
  </si>
  <si>
    <t>Capacitor_2,7n_10_50V_X7R_0603C</t>
  </si>
  <si>
    <t>Capacitor_3,3n_10_50V_X7R_0603C</t>
  </si>
  <si>
    <t>Capacitor_3,9n_10_50V_X7R_0603C</t>
  </si>
  <si>
    <t>Capacitor_4,7n_10_50V_X7R_0603C</t>
  </si>
  <si>
    <t>Capacitor_5,6n_10_50V_X7R_0603C</t>
  </si>
  <si>
    <t>Capacitor_6,8n_10_50V_X7R_0603C</t>
  </si>
  <si>
    <t>Capacitor_8,2n_10_50V_X7R_0603C</t>
  </si>
  <si>
    <t>Capacitor_10n_10_50V_X7R_0603C</t>
  </si>
  <si>
    <t>Capacitor_12n_10_50V_X7R_0603C</t>
  </si>
  <si>
    <t>Capacitor_15n_10_50V_X7R_0603C</t>
  </si>
  <si>
    <t>Capacitor_18n_10_50V_X7R_0603C</t>
  </si>
  <si>
    <t>Capacitor_22n_10_50V_X7R_0603C</t>
  </si>
  <si>
    <t>Capacitor_27n_10_50V_X7R_0603C</t>
  </si>
  <si>
    <t>Capacitor_33n_10_50V_X7R_0603C</t>
  </si>
  <si>
    <t>Capacitor_39n_10_50V_X7R_0603C</t>
  </si>
  <si>
    <t>Capacitor_47n_10_50V_X7R_0603C</t>
  </si>
  <si>
    <t>Capacitor_56n_10_50V_X7R_0603C</t>
  </si>
  <si>
    <t>Capacitor_68n_10_50V_X7R_0603C</t>
  </si>
  <si>
    <t>Capacitor_82n_10_50V_X7R_0603C</t>
  </si>
  <si>
    <t>Capacitor_0,1u_10_50V_X7R_0603C</t>
  </si>
  <si>
    <t>Capacitor_0,12u_10_50V_X7R_0603C</t>
  </si>
  <si>
    <t>Capacitor_0,15u_10_50V_X7R_0603C</t>
  </si>
  <si>
    <t>Capacitor_0,18u_10_50V_X7R_0603C</t>
  </si>
  <si>
    <t>Capacitor_0,22u_10_50V_X7R_0603C</t>
  </si>
  <si>
    <t>Capacitor_0,27u_10_50V_X7R_0603C</t>
  </si>
  <si>
    <t>Capacitor_0,33u_10_50V_X7R_0603C</t>
  </si>
  <si>
    <t>Capacitor_0,39u_10_50V_X7R_0603C</t>
  </si>
  <si>
    <t>Capacitor_0,47u_10_50V_X7R_0603C</t>
  </si>
  <si>
    <t>Capacitor_0,56u_10_50V_X7R_0603C</t>
  </si>
  <si>
    <t>Capacitor_0,68u_10_50V_X7R_0603C</t>
  </si>
  <si>
    <t>Capacitor_0,82u_10_50V_X7R_0603C</t>
  </si>
  <si>
    <t>Capacitor_1u_10_50V_X7R_0603C</t>
  </si>
  <si>
    <t>1 н</t>
  </si>
  <si>
    <t>1,2 н</t>
  </si>
  <si>
    <t>1,5 н</t>
  </si>
  <si>
    <t>1,8 н</t>
  </si>
  <si>
    <t>2,2 н</t>
  </si>
  <si>
    <t>2,7 н</t>
  </si>
  <si>
    <t>3,3 н</t>
  </si>
  <si>
    <t>3,9 н</t>
  </si>
  <si>
    <t>4,7 н</t>
  </si>
  <si>
    <t>5,6 н</t>
  </si>
  <si>
    <t>6,8 н</t>
  </si>
  <si>
    <t>8,2 н</t>
  </si>
  <si>
    <t>10 н</t>
  </si>
  <si>
    <t>12 н</t>
  </si>
  <si>
    <t>15 н</t>
  </si>
  <si>
    <t>18 н</t>
  </si>
  <si>
    <t>22 н</t>
  </si>
  <si>
    <t>27 н</t>
  </si>
  <si>
    <t>33 н</t>
  </si>
  <si>
    <t>39 н</t>
  </si>
  <si>
    <t>47 н</t>
  </si>
  <si>
    <t>56 н</t>
  </si>
  <si>
    <t>68 н</t>
  </si>
  <si>
    <t>82 н</t>
  </si>
  <si>
    <t>0,12 мк</t>
  </si>
  <si>
    <t>0,15 мк</t>
  </si>
  <si>
    <t>0,18 мк</t>
  </si>
  <si>
    <t>0,22 мк</t>
  </si>
  <si>
    <t>0,27 мк</t>
  </si>
  <si>
    <t>0,33 мк</t>
  </si>
  <si>
    <t>0,39 мк</t>
  </si>
  <si>
    <t>0,47 мк</t>
  </si>
  <si>
    <t>0,56 мк</t>
  </si>
  <si>
    <t>0,68 мк</t>
  </si>
  <si>
    <t>0,82 мк</t>
  </si>
  <si>
    <t>1 мк</t>
  </si>
  <si>
    <t>X7R</t>
  </si>
  <si>
    <t>Footprints\Capacitors\0603C.PcbLib</t>
  </si>
  <si>
    <t>Стабилитрон на 12 В, рассеиваемая мощность 0.3 Вт</t>
  </si>
  <si>
    <t>Footprints\SOD-323.PcbLib</t>
  </si>
  <si>
    <t>5</t>
  </si>
  <si>
    <t>0.3</t>
  </si>
  <si>
    <t>12 В</t>
  </si>
  <si>
    <t>Capacity (uF)</t>
  </si>
  <si>
    <t>Type</t>
  </si>
  <si>
    <t>Capacitor_1u_10_50V_TC_A</t>
  </si>
  <si>
    <t>Capacitor_1,5u_10_50V_TC_A</t>
  </si>
  <si>
    <t>Capacitor_2,2u_10_50V_TC_A</t>
  </si>
  <si>
    <t>Capacitor_3,3u_10_50V_TC_A</t>
  </si>
  <si>
    <t>Capacitor_4,7u_10_50V_TC_A</t>
  </si>
  <si>
    <t>Capacitor_6,8u_10_50V_TC_A</t>
  </si>
  <si>
    <t>Capacitor_10u_10_50V_TC_A</t>
  </si>
  <si>
    <t>Capacitor_15u_10_50V_TC_A</t>
  </si>
  <si>
    <t>Capacitor_22u_10_50V_TC_A</t>
  </si>
  <si>
    <t>Capacitor_33u_10_50V_TC_A</t>
  </si>
  <si>
    <t>Capacitor_47u_10_50V_TC_A</t>
  </si>
  <si>
    <t>Capacitor_68u_10_50V_TC_A</t>
  </si>
  <si>
    <t>Capacitor_100u_10_50V_TC_A</t>
  </si>
  <si>
    <t>Capacitor_150u_10_50V_TC_A</t>
  </si>
  <si>
    <t>Capacitor_220u_10_50V_TC_A</t>
  </si>
  <si>
    <t>Capacitor_330u_10_50V_TC_A</t>
  </si>
  <si>
    <t>Capacitor_470u_10_50V_TC_A</t>
  </si>
  <si>
    <t>Capacitor_680u_10_50V_TC_A</t>
  </si>
  <si>
    <t>Capacitor_1000u_10_50V_TC_A</t>
  </si>
  <si>
    <t>Танталовый конденсатор</t>
  </si>
  <si>
    <t>Schematic\Capacitor_polar.SchLib</t>
  </si>
  <si>
    <t>1,5 мк</t>
  </si>
  <si>
    <t>2,2 мк</t>
  </si>
  <si>
    <t>3,3 мк</t>
  </si>
  <si>
    <t>6,8 мк</t>
  </si>
  <si>
    <t>10 мк</t>
  </si>
  <si>
    <t>15 мк</t>
  </si>
  <si>
    <t>22 мк</t>
  </si>
  <si>
    <t>33 мк</t>
  </si>
  <si>
    <t>47 мк</t>
  </si>
  <si>
    <t>68 мк</t>
  </si>
  <si>
    <t>100 мк</t>
  </si>
  <si>
    <t>150 мк</t>
  </si>
  <si>
    <t>220 мк</t>
  </si>
  <si>
    <t>330 мк</t>
  </si>
  <si>
    <t>470 мк</t>
  </si>
  <si>
    <t>680 мк</t>
  </si>
  <si>
    <t>1000 мк</t>
  </si>
  <si>
    <t>Tantalum</t>
  </si>
  <si>
    <t>Footprints\Capacitors\TC_A.PcbLib</t>
  </si>
  <si>
    <t>Footprints\Capacitors\0805C.PcbLib</t>
  </si>
  <si>
    <t>Footprints\Capacitors\TC_B.PcbLib</t>
  </si>
  <si>
    <t>Footprints\Capacitors\1210С.PcbLib</t>
  </si>
  <si>
    <t>Footprints\Capacitors\TC_C.PcbLib</t>
  </si>
  <si>
    <t>Footprints\Capacitors\TC_D.PcbLib</t>
  </si>
  <si>
    <t>Footprints\Capacitors\TC_E.PcbLib</t>
  </si>
  <si>
    <t>Footprints\Capacitors\RADIAL-2_8mm.PcbLib</t>
  </si>
  <si>
    <t>XT30UPB-F</t>
  </si>
  <si>
    <t>30 А (15 продолжительно), прямая мать</t>
  </si>
  <si>
    <t>30 А (15 продолжительно), 2 контакта разъем угловой отец</t>
  </si>
  <si>
    <t>Polar_Conn</t>
  </si>
  <si>
    <t>Footprints\Connectors\XT30UPB-F.PcbLib</t>
  </si>
  <si>
    <t>Schematic\Connectors\Polar_Conn.SchLib</t>
  </si>
  <si>
    <t>B82472G6683M</t>
  </si>
  <si>
    <r>
      <t>Inductance (</t>
    </r>
    <r>
      <rPr>
        <sz val="12"/>
        <color rgb="FF000000"/>
        <rFont val="Calibri"/>
        <family val="2"/>
        <charset val="204"/>
      </rPr>
      <t>μ</t>
    </r>
    <r>
      <rPr>
        <sz val="12"/>
        <color rgb="FF000000"/>
        <rFont val="Calibri"/>
        <family val="2"/>
        <scheme val="minor"/>
      </rPr>
      <t>H)</t>
    </r>
  </si>
  <si>
    <t>7.3x7.3</t>
  </si>
  <si>
    <t>AO4411</t>
  </si>
  <si>
    <t>Schematic\MOSFET_P-channel_8pin.SchLib</t>
  </si>
  <si>
    <t>MOSFET_P-channel_8pin</t>
  </si>
  <si>
    <t>AO4812</t>
  </si>
  <si>
    <t>Сборка из полевых транзисторов, 2N-канальный, 30 В, 6.9 А</t>
  </si>
  <si>
    <t>Schematic\AO4812.SchLib</t>
  </si>
  <si>
    <t>TP4056</t>
  </si>
  <si>
    <t>TP4056, Контроллер заряда Li-Ion аккумуляторов, 1А, UMW</t>
  </si>
  <si>
    <t>LM2623AMMX</t>
  </si>
  <si>
    <t>Повышающий DC-DC преобразователь 2A</t>
  </si>
  <si>
    <t>VSSOP-8</t>
  </si>
  <si>
    <t>DW01</t>
  </si>
  <si>
    <t>Защита одной ячейки Li-Ion/polimer</t>
  </si>
  <si>
    <t>PESD5V0S1UB</t>
  </si>
  <si>
    <t>SOD523</t>
  </si>
  <si>
    <t>Resistor_31.6k_1_0603</t>
  </si>
  <si>
    <t>31,6 к</t>
  </si>
  <si>
    <t>Резистор номиналом 31,6 кОм и точностью 1%</t>
  </si>
  <si>
    <t>Footprints\Capacitors\1206C.PcbLib</t>
  </si>
  <si>
    <t>1206C</t>
  </si>
  <si>
    <t>Footprints\Capacitors\1210C.PcbLib</t>
  </si>
  <si>
    <t>1210C</t>
  </si>
  <si>
    <t>Holder 18650</t>
  </si>
  <si>
    <t xml:space="preserve">Holder 18650 SMT </t>
  </si>
  <si>
    <t>18650holder</t>
  </si>
  <si>
    <t>Schematic\Connectors\18650holder.SchLib</t>
  </si>
  <si>
    <t>Footprints\Connectors\18650holder.PcbLib</t>
  </si>
  <si>
    <t>SOP8</t>
  </si>
  <si>
    <t>Footprints\Capacitors\RADIAL-2_10mm.PcbLib</t>
  </si>
  <si>
    <t>SK32</t>
  </si>
  <si>
    <t>IHLP2525CZER4R7M01</t>
  </si>
  <si>
    <t>ЧИП-индуктивность экранированная 4,7мкГн ±20% 5,5A 40мОм 2525</t>
  </si>
  <si>
    <t>IHLP-2525</t>
  </si>
  <si>
    <t>arduino_nano</t>
  </si>
  <si>
    <t>ардуинка на стойках</t>
  </si>
  <si>
    <t>TPS61088</t>
  </si>
  <si>
    <t>Преобразователь постоянного тока повышающий синхронный вход 2.7В...12В выход 4.5В...12.6В 10A</t>
  </si>
  <si>
    <t>VQFN-RHL</t>
  </si>
  <si>
    <t>RT8509A</t>
  </si>
  <si>
    <t>Импульсный повышающий DC-DC стабилизатор, регулируемый, 2.8В-14В (Vin), 24В/4.5A, 1.5МГц, WDFN-12</t>
  </si>
  <si>
    <t>WDFN5x5-12</t>
  </si>
  <si>
    <t>CBM432AST23</t>
  </si>
  <si>
    <t>Источник опорного напряжения, программируемый стабилитрон</t>
  </si>
  <si>
    <t>precision_shunt_regulator</t>
  </si>
  <si>
    <t>SK810</t>
  </si>
  <si>
    <t>Capacitor_4,7u_10_50V_X7R_1206C</t>
  </si>
  <si>
    <t>Capacitor_22u_10_25V_X7R_1210C</t>
  </si>
  <si>
    <t>Capacitor_10u_10_35V_X7R_1210C</t>
  </si>
  <si>
    <t>VN7140AS</t>
  </si>
  <si>
    <t>Силовой ключ верхнего плеча с аналоговой обратной связью MultiSense автомобильного применения</t>
  </si>
  <si>
    <t>TC33X-2-102E</t>
  </si>
  <si>
    <t>Потенциометр керметный 1кОм 0.1Вт для поверхностного монтажа</t>
  </si>
  <si>
    <t>Footprints/Resistors/3mm_trim.PcbLib</t>
  </si>
  <si>
    <t>1 к</t>
  </si>
  <si>
    <t>3mm_trim</t>
  </si>
  <si>
    <t>trim_res</t>
  </si>
  <si>
    <t>Schematic\trim_res.SchLib</t>
  </si>
  <si>
    <t>IHLP4040DZER220M11</t>
  </si>
  <si>
    <t>ЧИП-индуктивность экранированная 22мкГн ±20% 5A 66мОм 4040 лента на катушке</t>
  </si>
  <si>
    <t>2512R</t>
  </si>
  <si>
    <t>Footprints/Resistors/2512R.PcbLib</t>
  </si>
  <si>
    <t>TSSOP-16</t>
  </si>
  <si>
    <t>74HC4051PW,118</t>
  </si>
  <si>
    <t>Мультиплексор аналоговый 8 в 1 КМОП кристалл, TSSOP16</t>
  </si>
  <si>
    <t>Источник опорного напряжения , программируемый стабилитрон [SOT-23-3]</t>
  </si>
  <si>
    <t>UMW TL431 0.5%</t>
  </si>
  <si>
    <t>sim800l</t>
  </si>
  <si>
    <t>Четырехдиапазонный GSM/GPRS модуль, частоты: GSM 850 МГц, EGSM 900 МГц, DCS 1800 МГц и PCS 1900 МГц.</t>
  </si>
  <si>
    <t>10x20_radial</t>
  </si>
  <si>
    <t>Конденсатор радиальный 2200мкФ 10В ±20% 10*19</t>
  </si>
  <si>
    <t>2200 мк</t>
  </si>
  <si>
    <t>Aluminum</t>
  </si>
  <si>
    <t>Footprints\Capacitors\10x20_radial.PcbLib</t>
  </si>
  <si>
    <t>Capacitor_2200u_10V_10x20</t>
  </si>
  <si>
    <t>fuse_20x5_on_clips_FC-M</t>
  </si>
  <si>
    <t>Предохранитель 20*5 на креплениях</t>
  </si>
  <si>
    <t>fuse</t>
  </si>
  <si>
    <t>Fuse 20x5 on clips FC-M</t>
  </si>
  <si>
    <t>SMBJ15A</t>
  </si>
  <si>
    <t>EEVFK1E102Q</t>
  </si>
  <si>
    <t>Конденсатор алюминиевый электролитический 1000мкФ 25В 20% Low ESR 1100мА SMD12.5x13.5мм</t>
  </si>
  <si>
    <t>Footprints\Capacitors\SMD_cap_12,5x13,5.PcbLib</t>
  </si>
  <si>
    <t>SMD_cap_12,5x13,5</t>
  </si>
  <si>
    <t>74HC139D,653</t>
  </si>
  <si>
    <t>CD4555BM</t>
  </si>
  <si>
    <t>Два декодера (демультиплексора) 2 в 4 (1 в 4), вход и выходы с инверсией</t>
  </si>
  <si>
    <t>Два декодера (демультиплексора) 2 в 4 (1 в 4), вход с инверсией, выходы без</t>
  </si>
  <si>
    <t>MC74HC595ADR2G</t>
  </si>
  <si>
    <t>8-ми битный сдвиговый регистр</t>
  </si>
  <si>
    <t>Schematic\MC74HC595ADR2G.SchLib</t>
  </si>
  <si>
    <t>Footprints\SOIC-16.PcbLib</t>
  </si>
  <si>
    <t>D-SUB_25_angular_mother</t>
  </si>
  <si>
    <t>Schematic\Connectors\D-SUB_25_angular_mother.SchLib</t>
  </si>
  <si>
    <t>Footprints\Connectors\D-SUB_25_angular_mother.PcbLib</t>
  </si>
  <si>
    <t>Разъем D-Sub 25 конт. "гнездо" на плату L = 8.1 мм (7.2), прямой угол, никелир. фланец, латун. винты и фиксат. (аналог DRB-25FA/ DBR-25F) Соединитель, тип конструкции DRB, число и тип контактов (F-гнездо,M-штырь,R-угловой): 25F</t>
  </si>
  <si>
    <t>SMBJ13A-TR</t>
  </si>
  <si>
    <t>BZV55B2V4</t>
  </si>
  <si>
    <t>Стабилитрон на 2.4 В, рассеиваемая мощность 0.5 Вт</t>
  </si>
  <si>
    <t>Footprints\mini_MELF_3.5mm.PcbLib</t>
  </si>
  <si>
    <t>mini_MELF_3.5mm</t>
  </si>
  <si>
    <t>2.4</t>
  </si>
  <si>
    <t>2.4 В</t>
  </si>
  <si>
    <t>bc807</t>
  </si>
  <si>
    <t>Биполярный транзистор PNP 45В 0.5А 0.31Вт</t>
  </si>
  <si>
    <t>pnp</t>
  </si>
  <si>
    <t>Schematic\pnp.SchLib</t>
  </si>
  <si>
    <t>Напряжение С-И/К-Э</t>
  </si>
  <si>
    <t xml:space="preserve">Ток макс. </t>
  </si>
  <si>
    <t>45 В</t>
  </si>
  <si>
    <t>0.5 А</t>
  </si>
  <si>
    <t>30 В</t>
  </si>
  <si>
    <t>6.9 А</t>
  </si>
  <si>
    <t>1206R</t>
  </si>
  <si>
    <t>Footprints/Resistors/1206R.PcbLib</t>
  </si>
  <si>
    <t>MT3608</t>
  </si>
  <si>
    <t>Повышающий/SEPIC DC-DC преобразователь 2А 1.2МГц</t>
  </si>
  <si>
    <t>B82462G4223M</t>
  </si>
  <si>
    <t>B82462G4</t>
  </si>
  <si>
    <t>15MQ040N</t>
  </si>
  <si>
    <t>TC33X-2-101E</t>
  </si>
  <si>
    <t>Потенциометр керметный 100 Ом 0.1Вт для поверхностного монтажа</t>
  </si>
  <si>
    <t>DHT22</t>
  </si>
  <si>
    <t>Датчик температуры и влажности на базе AM2302</t>
  </si>
  <si>
    <t>TC33X-2-503E</t>
  </si>
  <si>
    <t>Потенциометр однооборотный керметный 50кОм 0.1Вт ±25% SMD лента на катушке</t>
  </si>
  <si>
    <t>50 к</t>
  </si>
  <si>
    <t>Footprints\Capacitors\10x20_radial_angular.PcbLib</t>
  </si>
  <si>
    <t>10x20_radial_angular</t>
  </si>
  <si>
    <t>AUIRF1405ZSTRL</t>
  </si>
  <si>
    <t>55 В</t>
  </si>
  <si>
    <t>75 А</t>
  </si>
  <si>
    <t>Транзистор полевой MOSFET N-канальный 55В 75А 330Вт</t>
  </si>
  <si>
    <t>CD4013BE</t>
  </si>
  <si>
    <t>Два триггера D-типа</t>
  </si>
  <si>
    <t>DIP14_IN_SOCKET</t>
  </si>
  <si>
    <t>Footprints\DIP14.PcbLib</t>
  </si>
  <si>
    <t>DIP16_in_socket</t>
  </si>
  <si>
    <t>Footprints\DIP16.PcbLib</t>
  </si>
  <si>
    <t>1-1734577-3-rj45-8p8c</t>
  </si>
  <si>
    <t>1734577-3</t>
  </si>
  <si>
    <t>Schematic\Connectors\1-1734577-3-rj45-8p8c.SchLib</t>
  </si>
  <si>
    <t>Footprints\Connectors\1-1734577-3-rj45-8p8c.PcbLib</t>
  </si>
  <si>
    <t>Molex_430450415</t>
  </si>
  <si>
    <t>430450415</t>
  </si>
  <si>
    <t>Schematic\Connectors\Molex_430450415.SchLib</t>
  </si>
  <si>
    <t>Разъем типа провод-плата, 3 мм, 4 контакт(-ов), Штыревой Разъем, для поверностного монтажа</t>
  </si>
  <si>
    <t>Модульный разъем, Cat3, RJ45, Гнездо, 8 контакт(-ов), 8 вывод(-ов), 1 порт(-ов)</t>
  </si>
  <si>
    <t>Footprints\Connectors\MOLEX_430450415.PcbLib</t>
  </si>
  <si>
    <t>MOLEX_430450415</t>
  </si>
  <si>
    <t>DG141V-2.54-10P</t>
  </si>
  <si>
    <t>Нажимной безвинтовой клеммный блок на 10 контактов. Зажим типа торцевой контакт. Серия DG141V-2.54</t>
  </si>
  <si>
    <t>Footprints\Connectors\DG141V-2.54-10P.PcbLib</t>
  </si>
  <si>
    <t>cooler4040</t>
  </si>
  <si>
    <t>вентилятор 40*40 с дыркой на плате</t>
  </si>
  <si>
    <t>Molex_430450218</t>
  </si>
  <si>
    <t>430450218</t>
  </si>
  <si>
    <t>Schematic\Connectors\Molex_430450218.SchLib</t>
  </si>
  <si>
    <t>Footprints\Connectors\Molex_430450218.PcbLib</t>
  </si>
  <si>
    <t>Разъем типа провод-плата, 3 мм, 2 контакт(-ов), Штыревой Разъем, Серия Micro-Fit для поверхностного монтажа</t>
  </si>
  <si>
    <t>MOLEX_430450418</t>
  </si>
  <si>
    <t>Footprints\Connectors\MOLEX_430450418.PcbLib</t>
  </si>
  <si>
    <t>Molex_430450418</t>
  </si>
  <si>
    <t>430450418</t>
  </si>
  <si>
    <t>1206SB</t>
  </si>
  <si>
    <t>KK5045-03AG</t>
  </si>
  <si>
    <t>Footprints\Connectors\KK5045-03AG.PcbLib</t>
  </si>
  <si>
    <t>Разъем типа провод-плата, 2.5 мм, 4 контакта</t>
  </si>
  <si>
    <t>KK5045-04AG</t>
  </si>
  <si>
    <t>Разъем типа провод-плата, 2.5 мм, 3 контакта</t>
  </si>
  <si>
    <t>Footprints\Connectors\KK5045-04AG.PcbLib</t>
  </si>
  <si>
    <t>KK5045-05AG</t>
  </si>
  <si>
    <t>Разъем типа провод-плата, 2.5 мм, 5 контакта</t>
  </si>
  <si>
    <t>Footprints\Connectors\KK5045-05AG.PcbLib</t>
  </si>
  <si>
    <t>MPW-3 , Вилка на плату 5.08мм прямая 3pin</t>
  </si>
  <si>
    <t>MPW-3</t>
  </si>
  <si>
    <t>Schematic\Connectors\Conn_8pin.SchLib</t>
  </si>
  <si>
    <t>Conn_8pin</t>
  </si>
  <si>
    <t>Footprints\Connectors\MPW-3.PcbLib</t>
  </si>
  <si>
    <t>Footprints\Connectors\MPW-4.PcbLib</t>
  </si>
  <si>
    <t>Footprints\Connectors\MPW-8.PcbLib</t>
  </si>
  <si>
    <t>MPW-4</t>
  </si>
  <si>
    <t>MPW-8</t>
  </si>
  <si>
    <t>MPW-8 , Вилка на плату 5.08мм прямая 8pin</t>
  </si>
  <si>
    <t>MPW-4 , Вилка на плату 5.08мм прямая 4pin</t>
  </si>
  <si>
    <t>Polar_Conn_Shield</t>
  </si>
  <si>
    <t>Schematic\Connectors\Polar_Conn_Shield.SchLib</t>
  </si>
  <si>
    <t>XT30UPB-M</t>
  </si>
  <si>
    <t>Footprints\Connectors\XT30UPB-M.PcbLib</t>
  </si>
  <si>
    <t>STM32F103C8T6_board</t>
  </si>
  <si>
    <t>blue pill</t>
  </si>
  <si>
    <t>RPI</t>
  </si>
  <si>
    <t>LTC4418</t>
  </si>
  <si>
    <t>QFN50</t>
  </si>
  <si>
    <t>BAS70-04-7-F</t>
  </si>
  <si>
    <t>SOT23</t>
  </si>
  <si>
    <t>Schematic\BAS70-04-7-F.schLib</t>
  </si>
  <si>
    <t>CSAB0530</t>
  </si>
  <si>
    <t xml:space="preserve">ЧИП-индуктивность 0.33мкГн, 15A, ±20% </t>
  </si>
  <si>
    <t xml:space="preserve">ЧИП-индуктивность 22мкГн, 1.05A, ±20% </t>
  </si>
  <si>
    <t>CSAB0530-R33M</t>
  </si>
  <si>
    <t>cooler3030</t>
  </si>
  <si>
    <t>вентилятор 30*30 с дыркой на плате</t>
  </si>
  <si>
    <t>DIP14_IN_SOCKET_SMD</t>
  </si>
  <si>
    <t>DIP16_in_socket_SMD</t>
  </si>
  <si>
    <t>SK56</t>
  </si>
  <si>
    <t>SK54</t>
  </si>
  <si>
    <t>1,05</t>
  </si>
  <si>
    <t>B82477R4683M100</t>
  </si>
  <si>
    <t>12.5x12.5</t>
  </si>
  <si>
    <t>B550C</t>
  </si>
  <si>
    <t>SDR0403-120ML</t>
  </si>
  <si>
    <t>4.5x4_wired</t>
  </si>
  <si>
    <t>0805SB_wide_gap</t>
  </si>
  <si>
    <t>NE555</t>
  </si>
  <si>
    <t>Таймер интегральный прецизионный</t>
  </si>
  <si>
    <t>LM393</t>
  </si>
  <si>
    <t>Двойной маломощный компаратор напряжения</t>
  </si>
  <si>
    <t>Переключатель питания</t>
  </si>
  <si>
    <t>Одноплатный компьютер Raspberry PI 4B</t>
  </si>
  <si>
    <t>PLS2</t>
  </si>
  <si>
    <t>Гребенка 2 пина</t>
  </si>
  <si>
    <t>PLS-2</t>
  </si>
  <si>
    <t>PLS-4</t>
  </si>
  <si>
    <t>BZX84-B11</t>
  </si>
  <si>
    <t>Стабилитрон на 11 В, рассеиваемая мощность 0.25 Вт</t>
  </si>
  <si>
    <t>Schematic\Zener_3pin.SchLib</t>
  </si>
  <si>
    <t>Zener_3pin</t>
  </si>
  <si>
    <t>0.5</t>
  </si>
  <si>
    <t>0.25</t>
  </si>
  <si>
    <t>11 В</t>
  </si>
  <si>
    <t>Accuracy</t>
  </si>
  <si>
    <t>Footprints\SOT23-3.PcbLib</t>
  </si>
  <si>
    <t>LD7575</t>
  </si>
  <si>
    <t>Высоковольтный ШИМ-контроллер со схемой мягкого запуска</t>
  </si>
  <si>
    <t>Boost, Flyback, SEPIC преобразователь. 10-uMAX/uSOP</t>
  </si>
  <si>
    <t>uSOP10</t>
  </si>
  <si>
    <t>MAX668</t>
  </si>
  <si>
    <t>CAP_EEVFK1V102M</t>
  </si>
  <si>
    <t>Footprints\Capacitors\CAP_EEVFK1V102M.PcbLib</t>
  </si>
  <si>
    <t>SMD Aluminum</t>
  </si>
  <si>
    <t>EEVFK1V102M</t>
  </si>
  <si>
    <t>Library Path2</t>
  </si>
  <si>
    <t>Capacitor_1n_10_50V_X7R_0603C</t>
  </si>
  <si>
    <t>LTV354</t>
  </si>
  <si>
    <t>LTV354T</t>
  </si>
  <si>
    <t>Оптопара с транзисторным выходом, UMW</t>
  </si>
  <si>
    <t>SOP4-2_54</t>
  </si>
  <si>
    <t>M20VN</t>
  </si>
  <si>
    <t>Накопительная индуктивность для обратноходового преобразователя, L1=1.2uH, магнитопровод М20ВН, 20х10х5, первичная обмотка d1.3мм</t>
  </si>
  <si>
    <t>Schematic\Transformer_M20VN.SchLib</t>
  </si>
  <si>
    <t>1.2 мк</t>
  </si>
  <si>
    <t>D2PAK</t>
  </si>
  <si>
    <t>60 В</t>
  </si>
  <si>
    <t>50 А</t>
  </si>
  <si>
    <t>90 А</t>
  </si>
  <si>
    <t>SM15T33A</t>
  </si>
  <si>
    <t>5 м</t>
  </si>
  <si>
    <t>CRE2512-FZ-R005E-3</t>
  </si>
  <si>
    <t>Резистор номиналом 5 мОм, точностью 1%, 3Вт</t>
  </si>
  <si>
    <t>Repetitive peak reverse voltage (Vrrm)</t>
  </si>
  <si>
    <t>Rectifier_diode</t>
  </si>
  <si>
    <t>Schematic\Rectifier_diode.schLib</t>
  </si>
  <si>
    <t>S2M</t>
  </si>
  <si>
    <t>IHLP4040DZER470M11</t>
  </si>
  <si>
    <t>ЧИП-индуктивность экранированная 47мкГн ±20% 3,3A 145мОм 4040</t>
  </si>
  <si>
    <t>IHLP4040DZER101M11</t>
  </si>
  <si>
    <t>JRB2G3R3M03500800120000B</t>
  </si>
  <si>
    <t>К50-35, 3.3мкФ, 400В, 105°C, 20%, 8x12мм P:3.5мм</t>
  </si>
  <si>
    <t>3.3 мк</t>
  </si>
  <si>
    <t>ЧИП-индуктивность экранированная 100мкГн ±20% 2,5A 270мОм 4040</t>
  </si>
  <si>
    <t>8x12_radial_angular</t>
  </si>
  <si>
    <t>Footprints\Capacitors\8x12_radial_angular.PcbLib</t>
  </si>
  <si>
    <t>Footprints\Capacitors\8x12_radial.PcbLib</t>
  </si>
  <si>
    <t>8x12_radial</t>
  </si>
  <si>
    <t>TS820-600B-TR</t>
  </si>
  <si>
    <t>Тиристор 600В 8А</t>
  </si>
  <si>
    <t>thyristor</t>
  </si>
  <si>
    <t>Schematic\thyristor1K2A3G.SchLib</t>
  </si>
  <si>
    <t>600 В</t>
  </si>
  <si>
    <t>Напряжение</t>
  </si>
  <si>
    <t>8 А</t>
  </si>
  <si>
    <t>Одноканальный инвертор с триггером Шмитта</t>
  </si>
  <si>
    <t>SN74LVC1G14DCKR</t>
  </si>
  <si>
    <t>SC-70-5</t>
  </si>
  <si>
    <t>Стабилитрон 12В, 5%, 0.5Вт</t>
  </si>
  <si>
    <t>BZV55-B12</t>
  </si>
  <si>
    <t>HV_trans</t>
  </si>
  <si>
    <t>Schematic\HV_trans.SchLib</t>
  </si>
  <si>
    <t>Импульсный трансформатор для поджига вспышки</t>
  </si>
  <si>
    <t>EE16_transformer</t>
  </si>
  <si>
    <t>Footprints\Capacitors\1812C.PcbLib</t>
  </si>
  <si>
    <t>1812C</t>
  </si>
  <si>
    <t>Capacitor_0,1u_10_1000V_X7R_1812C</t>
  </si>
  <si>
    <t>М20ВН 20х10х5</t>
  </si>
  <si>
    <t>Footprints\Connectors\PLS_PLD_PBS_PBD_and_others\PLS_ALL.PcbLib</t>
  </si>
  <si>
    <t>PLH-4</t>
  </si>
  <si>
    <t>Footprints\Connectors\PLS_PLD_PBS_PBD_and_others\PLH_ALL.PcbLib</t>
  </si>
  <si>
    <t>PLH4_type18</t>
  </si>
  <si>
    <t>PLH-2</t>
  </si>
  <si>
    <t>PLH2_type18</t>
  </si>
  <si>
    <t>Datasheet</t>
  </si>
  <si>
    <t>https://static.chipdip.ru/lib/530/DOC059530234.pdf</t>
  </si>
  <si>
    <t xml:space="preserve">Гребенка высокая 4 пина типоразмер 18 (промежуток 10.4мм) Connfly </t>
  </si>
  <si>
    <t>Гребенка высокая 2 пина типоразмер 18 (промежуток 10.4мм) Connfly</t>
  </si>
  <si>
    <t>Ток макс</t>
  </si>
  <si>
    <t>Розетка 4 пина высота 8.5</t>
  </si>
  <si>
    <t>PBS-4</t>
  </si>
  <si>
    <t>PBS-2</t>
  </si>
  <si>
    <t>PBS4_8.5</t>
  </si>
  <si>
    <t>PBS2_8.5</t>
  </si>
  <si>
    <t>Footprints\Connectors\PLS_PLD_PBS_PBD_and_others\PBS_ALL.PcbLib</t>
  </si>
  <si>
    <t>https://static.chipdip.ru/lib/986/DOC012986355.pdf</t>
  </si>
  <si>
    <t>Footprints/Resistors/1218R.PcbLib</t>
  </si>
  <si>
    <t>1218R</t>
  </si>
  <si>
    <t>Footprints/Resistors/1210R.PcbLib</t>
  </si>
  <si>
    <t>1210R</t>
  </si>
  <si>
    <t>JCCON 2700uF 400V</t>
  </si>
  <si>
    <t xml:space="preserve">Конденсатор алюминиевый электролитический 2700мкФ 400В 20% </t>
  </si>
  <si>
    <t>2700 мк</t>
  </si>
  <si>
    <t>42x103_radial</t>
  </si>
  <si>
    <t>Footprints\Capacitors\42x103_radial.PcbLib</t>
  </si>
  <si>
    <t>CWF-2</t>
  </si>
  <si>
    <t>Footprints\Connectors\CWF\CWF-2.PcbLib</t>
  </si>
  <si>
    <t>https://static.chipdip.ru/lib/413/DOC001413777.pdf</t>
  </si>
  <si>
    <t>System</t>
  </si>
  <si>
    <t>Connector</t>
  </si>
  <si>
    <t>9774030151</t>
  </si>
  <si>
    <t>Footprints\SMT_spacer_nut.PcbLib</t>
  </si>
  <si>
    <t>SMT_spacer_nut</t>
  </si>
  <si>
    <t>SMT spacer</t>
  </si>
  <si>
    <t>Стойка под пайку, М2.5, высота 3мм, SMT spacer nut - ключевые слова, Hangzhou WildChip Tech Co., Ltd. Store магазин на алике</t>
  </si>
  <si>
    <t>Schematic\Connectors\Conn_1pin.SchLib</t>
  </si>
  <si>
    <t>Conn_1pin</t>
  </si>
  <si>
    <t>https://aliexpress.ru/item/1005005620368789.html?sku_id=12000033777723210&amp;srcSns=sns_More&amp;businessType=ProductDetail&amp;spreadType=socialShare&amp;tt=MG&amp;utm_medium=sharing</t>
  </si>
  <si>
    <t>spacer_m2.5_h16</t>
  </si>
  <si>
    <t>Spacer m2.5 h16</t>
  </si>
  <si>
    <t>Стойка М2.5, высота 16мм</t>
  </si>
  <si>
    <t>PLS-5</t>
  </si>
  <si>
    <t>Гребенка 5 пинов</t>
  </si>
  <si>
    <t>PLS5</t>
  </si>
  <si>
    <t>PBD-40</t>
  </si>
  <si>
    <t>Гребенка 40 пинов</t>
  </si>
  <si>
    <t>Schematic\Connectors\Conn_40pin.SchLib</t>
  </si>
  <si>
    <t>Conn_40pin</t>
  </si>
  <si>
    <t>Footprints\Connectors\PLS_PLD_PBS_PBD_and_others\PBD_ALL.PcbLib</t>
  </si>
  <si>
    <t>PBD40_8.5</t>
  </si>
  <si>
    <t>Picoblade_533984002</t>
  </si>
  <si>
    <t>2pin, 1.25mm, вилка, PicoBlade, на плату, SMT</t>
  </si>
  <si>
    <t>533984002</t>
  </si>
  <si>
    <t>Schematic\Connectors\Conn_2pin_2shield.SchLib</t>
  </si>
  <si>
    <t>Conn_2pin_2shield</t>
  </si>
  <si>
    <t>Footprints\Connectors\Picoblade_533984002.PcbLib</t>
  </si>
  <si>
    <t>https://www.molex.com/en-us/products/part-detail/533984002?display=pdf</t>
  </si>
  <si>
    <t>https://static.chipdip.ru/lib/177/DOC040177951.pdf</t>
  </si>
  <si>
    <t>PLS-3</t>
  </si>
  <si>
    <t>Гребенка 3 пина</t>
  </si>
  <si>
    <t>PLS3</t>
  </si>
  <si>
    <t>3mm_led_red</t>
  </si>
  <si>
    <t>Footprints\3mm_led_red.PcbLib</t>
  </si>
  <si>
    <t>CR2032-VAY3-15.2</t>
  </si>
  <si>
    <t>Li, MnO2 батарея типоразмера R20, 3В, 0.22Ач, приваренные выводы, -20...60 °C</t>
  </si>
  <si>
    <t>Schematic\Battery.SchLib</t>
  </si>
  <si>
    <t>Battery</t>
  </si>
  <si>
    <t>Button_tht_6X6</t>
  </si>
  <si>
    <t>Footprints/Resistors/RES_THT_025W.PcbLib</t>
  </si>
  <si>
    <t>RES_THT_025W_1k</t>
  </si>
  <si>
    <t>RES_THT_025W_2k</t>
  </si>
  <si>
    <t>RES_THT_025W_4.7k</t>
  </si>
  <si>
    <t>RES_THT_025W_10k</t>
  </si>
  <si>
    <t>RES_THT_025W_20k</t>
  </si>
  <si>
    <t>RES_THT_025W_22k</t>
  </si>
  <si>
    <t>RES_THT_025W_100k</t>
  </si>
  <si>
    <t>RES_THT_025W_220</t>
  </si>
  <si>
    <t>RES_THT_025W_270</t>
  </si>
  <si>
    <t>RES_THT_025W_470</t>
  </si>
  <si>
    <t>USB2514BM2</t>
  </si>
  <si>
    <t>USB 2,0 HUB</t>
  </si>
  <si>
    <t>VFQFN-36</t>
  </si>
  <si>
    <t>RTL8367N-VB-CG</t>
  </si>
  <si>
    <t>ETH свич 1000base-T</t>
  </si>
  <si>
    <t>QFN40</t>
  </si>
  <si>
    <t>CM4</t>
  </si>
  <si>
    <t>CM4-DF40HC(3.0)-100DS-0.4v_3mm_1.5mm</t>
  </si>
  <si>
    <t>CM5</t>
  </si>
  <si>
    <t>ADP2301AUJZ-R7</t>
  </si>
  <si>
    <t>DC-DC преобразователь понижающий ADJ 1.2А</t>
  </si>
  <si>
    <t>ADP2300</t>
  </si>
  <si>
    <t>4WayDIP</t>
  </si>
  <si>
    <t>4 позиционный движковый переключатель</t>
  </si>
  <si>
    <t>4 Way Through Hole DIP Switch SPST</t>
  </si>
  <si>
    <t>CMP-47017-000002-1</t>
  </si>
  <si>
    <t>Footprints\4WayDIP.PcbLib</t>
  </si>
  <si>
    <t>FP-NDS04V-MFG</t>
  </si>
  <si>
    <t>USB_2.0</t>
  </si>
  <si>
    <t>Двойной USB 2.0</t>
  </si>
  <si>
    <t>Schematic\USB_2.0.SchLib</t>
  </si>
  <si>
    <t>Footprints\USB_2.0.PcbLib</t>
  </si>
  <si>
    <t>USB_3.0</t>
  </si>
  <si>
    <t>Двойной USB 3.0</t>
  </si>
  <si>
    <t>Schematic\USB_3.0.SchLib</t>
  </si>
  <si>
    <t>Footprints\USB_3.0.PcbLib</t>
  </si>
  <si>
    <t>PCIe M2</t>
  </si>
  <si>
    <t>PCIe M.2 Connectors, Storage and Server Connector, P=0.5mm, H=3.2mm, Key M,Gold Plating</t>
  </si>
  <si>
    <t>M2 M key</t>
  </si>
  <si>
    <t>Schematic\M2.SchLib</t>
  </si>
  <si>
    <t>Footprints\M2.PcbLib</t>
  </si>
  <si>
    <t>SD_holder</t>
  </si>
  <si>
    <t>Разъем под сд карту</t>
  </si>
  <si>
    <t>SD card</t>
  </si>
  <si>
    <t>Schematic\MSD-10-C.SchLib</t>
  </si>
  <si>
    <t>MSD-10-C</t>
  </si>
  <si>
    <t>Footprints\CUI_MSD-10-C.PcbLib</t>
  </si>
  <si>
    <t>CUI_MSD-10-C</t>
  </si>
  <si>
    <t>Разъем плата-плата 32 пина, мама, шаг 0.5мм, высота 3мм</t>
  </si>
  <si>
    <t>DF12(3.0)-32DS</t>
  </si>
  <si>
    <t>DF12(3.0)-32DP</t>
  </si>
  <si>
    <t>Conn_32pin</t>
  </si>
  <si>
    <t>Разъем плата-плата 32 пина, папа, шаг 0.5мм, высота 3мм</t>
  </si>
  <si>
    <t>DF40C-50DP</t>
  </si>
  <si>
    <t>Разъем плата-плата 50 пинов, мама, шаг 0.4мм</t>
  </si>
  <si>
    <t>Conn_50pin_double</t>
  </si>
  <si>
    <t>DF40C-50DS</t>
  </si>
  <si>
    <t>Разъем плата-плата 50 пинов, папа, шаг 0.4мм</t>
  </si>
  <si>
    <t>DF40HC(4.0)-50DS</t>
  </si>
  <si>
    <t>PLS-6</t>
  </si>
  <si>
    <t>Гребенка 6 пинов</t>
  </si>
  <si>
    <t>Conn_6pin</t>
  </si>
  <si>
    <t>PLS6</t>
  </si>
  <si>
    <t>LM5116MH</t>
  </si>
  <si>
    <t xml:space="preserve">dc-dc понижающий adj 6-100v </t>
  </si>
  <si>
    <t>RL1210FR-070R01L</t>
  </si>
  <si>
    <t>Резистор номиналом 10 мОм, точностью 1%, 0.5Вт</t>
  </si>
  <si>
    <t>10 м</t>
  </si>
  <si>
    <t>SIR426DP-T1-GE3</t>
  </si>
  <si>
    <t>Транзистор полевой MOSFET N-канальный 40В 41.7Вт</t>
  </si>
  <si>
    <t>Schematic\SIR426DP-T1-GE3.SchLib</t>
  </si>
  <si>
    <t>40 В</t>
  </si>
  <si>
    <t>ES1D-E3/61T</t>
  </si>
  <si>
    <t>Диод 1A 200V</t>
  </si>
  <si>
    <t>Footprints\SMA.PcbLib</t>
  </si>
  <si>
    <t>CDSPRH127-150M</t>
  </si>
  <si>
    <t>Индуктивность на 15 мкГн, номинальный ток 8,4 А</t>
  </si>
  <si>
    <t>Resistor_10.7k_1_0603</t>
  </si>
  <si>
    <t>Резистор номиналом 10,7 кОм и точностью 1%</t>
  </si>
  <si>
    <t>10,7 к</t>
  </si>
  <si>
    <t>Resistor_1.21k_1_0603</t>
  </si>
  <si>
    <t>Резистор номиналом 1,21 кОм и точностью 1%</t>
  </si>
  <si>
    <t>1,21 к</t>
  </si>
  <si>
    <t>Resistor_12.4k_1_0603</t>
  </si>
  <si>
    <t>Резистор номиналом 12,4 кОм и точностью 1%</t>
  </si>
  <si>
    <t>12,4 к</t>
  </si>
  <si>
    <t>Capacitor_0,75n_10_50V_X7R_0603C</t>
  </si>
  <si>
    <t>0,75 н</t>
  </si>
  <si>
    <t>0,75</t>
  </si>
  <si>
    <t>Capacitor_0,01n_10_50V_X7R_0603C</t>
  </si>
  <si>
    <t>0,01 н</t>
  </si>
  <si>
    <t>0,01</t>
  </si>
  <si>
    <t>Capacitor_0,15n_10_50V_X7R_0603C</t>
  </si>
  <si>
    <t>0,15 н</t>
  </si>
  <si>
    <t>0,15</t>
  </si>
  <si>
    <t>res_0603_N/A</t>
  </si>
  <si>
    <t>посадочное место 0603 под перемычку</t>
  </si>
  <si>
    <t>N/A</t>
  </si>
  <si>
    <t>Capacitor_2,2u_10_50V_X7R_1206C</t>
  </si>
  <si>
    <t>2200</t>
  </si>
  <si>
    <t>PDTC114ET</t>
  </si>
  <si>
    <t xml:space="preserve">цифровой npn 50в 100мА </t>
  </si>
  <si>
    <t>Schematic\PDTC114ET.SchLib</t>
  </si>
  <si>
    <t>0, 1 А</t>
  </si>
  <si>
    <t>50 В</t>
  </si>
  <si>
    <t>1</t>
  </si>
  <si>
    <t>PowerPAK_SO-8</t>
  </si>
  <si>
    <t>SPRH127</t>
  </si>
  <si>
    <t>Schematic\USB2514BM2.Schlib</t>
  </si>
  <si>
    <t>HTSSOP-20</t>
  </si>
  <si>
    <t>IXDN602</t>
  </si>
  <si>
    <t>Двухканальный драйвер затвора для mosfet и igbt транзисторов</t>
  </si>
  <si>
    <t>LMC555</t>
  </si>
  <si>
    <t>Таймер интегральный прецизионный КМОП</t>
  </si>
  <si>
    <t>MC3306A</t>
  </si>
  <si>
    <t>DC-DC понижающий/повышающий преобразователь, вход: 3 - 40 В, выход: 1,25 - 40 В 1,5 А</t>
  </si>
  <si>
    <t>20MQ100</t>
  </si>
  <si>
    <t>SMBJ16CA</t>
  </si>
  <si>
    <t>Защитный диод двунаправленный 600Вт 16В</t>
  </si>
  <si>
    <t>IRFH7084</t>
  </si>
  <si>
    <t>Schematic\MOSFET_N-channel_8pin.SchLib</t>
  </si>
  <si>
    <t>MOSFET_N-channel_8pin</t>
  </si>
  <si>
    <t>PQFN_5x6</t>
  </si>
  <si>
    <t>100 А</t>
  </si>
  <si>
    <t>Resistor_0.22_1_2512</t>
  </si>
  <si>
    <t>Резистор номиналом 0,22 Ом и точностью 1%</t>
  </si>
  <si>
    <t>JCK1V331</t>
  </si>
  <si>
    <t>Footprints\Capacitors\ECAP_SMD_10,3x10,3.PcbLib</t>
  </si>
  <si>
    <t>ECAP_SMD_10,3x10,3</t>
  </si>
  <si>
    <t>JCK1V101</t>
  </si>
  <si>
    <t>Конденсатор алюминиевый электролитический 100мкФ 35В 20% SMD 6,6x6,6 мм</t>
  </si>
  <si>
    <t>Footprints\Capacitors\ECAP_SMD_6,6x6,6.PcbLib</t>
  </si>
  <si>
    <t>ECAP_SMD_6,6x6,6</t>
  </si>
  <si>
    <t>CDSP43-1R0M</t>
  </si>
  <si>
    <t>CDSPRH127-331M</t>
  </si>
  <si>
    <t>MR60PB-M</t>
  </si>
  <si>
    <t>60 А (40 продолжительно), 3 контакта, прямой отец</t>
  </si>
  <si>
    <t>Footprints\Connectors\MR60PB-M.PcbLib</t>
  </si>
  <si>
    <t>XT90PB-M</t>
  </si>
  <si>
    <t>90 А (60 продолжительно), 2 контакта, прямой отец</t>
  </si>
  <si>
    <t>Footprints\Connectors\XT90PB-M.PcbLib</t>
  </si>
  <si>
    <t>IDC_40_Male conector</t>
  </si>
  <si>
    <t>IDC 40-пиновый разъём прямая вилка</t>
  </si>
  <si>
    <t>Schematic\Connectors\Conn_40pin_double.SchLib</t>
  </si>
  <si>
    <t>Conn_40pin_double</t>
  </si>
  <si>
    <t>Footprints\Connectors\IDC_40_Male conector.PcbLib</t>
  </si>
  <si>
    <t>PESD3V3L1UB</t>
  </si>
  <si>
    <t>DF40C-40DP</t>
  </si>
  <si>
    <t>Разъем плата-плата 40 пинов, мама, шаг 0.4мм</t>
  </si>
  <si>
    <t>DF40C-40DS</t>
  </si>
  <si>
    <t>Разъем плата-плата 40 пинов, папа, шаг 0.4мм</t>
  </si>
  <si>
    <t>BC857</t>
  </si>
  <si>
    <t>0.1 А</t>
  </si>
  <si>
    <t>Биполярный транзистор PNP 45В 0.1А 0.25Вт</t>
  </si>
  <si>
    <t>IPD90P04P405</t>
  </si>
  <si>
    <t>RTL8367RB-VB-CG</t>
  </si>
  <si>
    <t>Управляемый коммутатор второго уровня на 5+2 порта 10/100/1000M</t>
  </si>
  <si>
    <t>LQFP128_14x14_exposed_pad</t>
  </si>
  <si>
    <t>RTL8367RB</t>
  </si>
  <si>
    <t>https://static.chipdip.ru/lib/518/DOC041518607.pdf</t>
  </si>
  <si>
    <t>TS951ILT</t>
  </si>
  <si>
    <t>Операционный усилитель Rail-to-Rail, 1-канальный</t>
  </si>
  <si>
    <t>SOt23-5</t>
  </si>
  <si>
    <t>AP63200</t>
  </si>
  <si>
    <t>DC-DC понижающий преобразователь, Vin: 3.8 - 40 В, adj, 2 А</t>
  </si>
  <si>
    <t>TSOT26</t>
  </si>
  <si>
    <t>SP43-150K</t>
  </si>
  <si>
    <t>Индуктивность на 15 мкГн, номинальный ток 1,3 А</t>
  </si>
  <si>
    <t>SP43</t>
  </si>
  <si>
    <t>Capacitor_100p_10_50V_X7R_0603C</t>
  </si>
  <si>
    <t>100 п</t>
  </si>
  <si>
    <t>0,1</t>
  </si>
  <si>
    <t>M80-4001042</t>
  </si>
  <si>
    <t>5+5-контактный гнездовой DIL-разъём с вертикальным сквозным креплением</t>
  </si>
  <si>
    <t>https://www.harwin.com/products/M80-4001042</t>
  </si>
  <si>
    <t>5+5-контактный гнездовой DIL-разъём с вертикальным сквозным креплением. Посадочное под нестандартные длинные винты м2, чтобы шляпка винта прижималась к плате, а не к разъему. Так выше жесткость.</t>
  </si>
  <si>
    <t>Fucking M80-4001042</t>
  </si>
  <si>
    <t>M80-4001042_govnodelie</t>
  </si>
  <si>
    <t>CM5-DF40HC(3.0)-100DS-0.4v_3mm_1.5mm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</si>
</sst>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11" x14ac:knownFonts="1">
    <font>
      <sz val="11"/>
      <color theme="1"/>
      <name val="Calibri"/>
      <family val="2"/>
      <scheme val="minor"/>
    </font>
    <font>
      <sz val="8"/>
      <name val="Calibri"/>
      <family val="2"/>
    </font>
    <font>
      <sz val="8"/>
      <name val="Calibri"/>
      <family val="2"/>
    </font>
    <font>
      <sz val="8"/>
      <name val="Calibri"/>
      <family val="2"/>
    </font>
    <font>
      <sz val="12"/>
      <color rgb="FF00000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charset val="204"/>
    </font>
    <font>
      <sz val="8"/>
      <name val="Calibri"/>
      <family val="2"/>
      <scheme val="minor"/>
    </font>
    <font>
      <sz val="11"/>
      <color rgb="FF222222"/>
      <name val="Calibri"/>
      <family val="2"/>
      <charset val="204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</fills>
  <borders count="9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40">
    <xf numFmtId="0" fontId="0" fillId="0" borderId="0" xfId="0"/>
    <xf numFmtId="0" fontId="4" fillId="0" borderId="0" xfId="0" applyFont="1"/>
    <xf numFmtId="49" fontId="0" fillId="0" borderId="0" xfId="0" applyNumberFormat="1"/>
    <xf numFmtId="49" fontId="4" fillId="0" borderId="0" xfId="0" applyNumberFormat="1" applyFont="1"/>
    <xf numFmtId="9" fontId="4" fillId="0" borderId="0" xfId="0" applyNumberFormat="1" applyFont="1"/>
    <xf numFmtId="10" fontId="4" fillId="0" borderId="0" xfId="0" applyNumberFormat="1" applyFont="1" applyAlignment="1">
      <alignment horizontal="right"/>
    </xf>
    <xf numFmtId="0" fontId="6" fillId="2" borderId="1" xfId="0" applyFont="1" applyFill="1" applyBorder="1"/>
    <xf numFmtId="0" fontId="6" fillId="2" borderId="2" xfId="0" applyFont="1" applyFill="1" applyBorder="1"/>
    <xf numFmtId="0" fontId="6" fillId="2" borderId="3" xfId="0" applyFont="1" applyFill="1" applyBorder="1"/>
    <xf numFmtId="0" fontId="6" fillId="2" borderId="4" xfId="0" applyFont="1" applyFill="1" applyBorder="1"/>
    <xf numFmtId="49" fontId="5" fillId="0" borderId="0" xfId="0" applyNumberFormat="1" applyFont="1"/>
    <xf numFmtId="9" fontId="0" fillId="0" borderId="0" xfId="0" applyNumberFormat="1"/>
    <xf numFmtId="0" fontId="9" fillId="0" borderId="0" xfId="0" applyFont="1" applyAlignment="1">
      <alignment vertical="center" wrapText="1"/>
    </xf>
    <xf numFmtId="9" fontId="4" fillId="0" borderId="0" xfId="0" quotePrefix="1" applyNumberFormat="1" applyFont="1"/>
    <xf numFmtId="0" fontId="4" fillId="0" borderId="0" xfId="0" applyFont="1" applyAlignment="1">
      <alignment horizontal="left" vertical="center" wrapText="1"/>
    </xf>
    <xf numFmtId="1" fontId="0" fillId="0" borderId="0" xfId="0" applyNumberFormat="1"/>
    <xf numFmtId="1" fontId="0" fillId="0" borderId="0" xfId="0" applyNumberFormat="1" applyAlignment="1">
      <alignment horizontal="right"/>
    </xf>
    <xf numFmtId="164" fontId="4" fillId="0" borderId="0" xfId="0" applyNumberFormat="1" applyFont="1"/>
    <xf numFmtId="164" fontId="0" fillId="0" borderId="0" xfId="0" applyNumberFormat="1"/>
    <xf numFmtId="49" fontId="0" fillId="3" borderId="5" xfId="0" applyNumberFormat="1" applyFill="1" applyBorder="1"/>
    <xf numFmtId="49" fontId="0" fillId="3" borderId="1" xfId="0" applyNumberFormat="1" applyFill="1" applyBorder="1"/>
    <xf numFmtId="49" fontId="4" fillId="3" borderId="5" xfId="0" applyNumberFormat="1" applyFont="1" applyFill="1" applyBorder="1"/>
    <xf numFmtId="49" fontId="4" fillId="3" borderId="1" xfId="0" applyNumberFormat="1" applyFont="1" applyFill="1" applyBorder="1"/>
    <xf numFmtId="0" fontId="10" fillId="0" borderId="0" xfId="1" applyNumberFormat="1"/>
    <xf numFmtId="0" fontId="4" fillId="3" borderId="4" xfId="0" applyFont="1" applyFill="1" applyBorder="1"/>
    <xf numFmtId="0" fontId="4" fillId="0" borderId="4" xfId="0" applyFont="1" applyBorder="1"/>
    <xf numFmtId="9" fontId="0" fillId="3" borderId="1" xfId="0" applyNumberFormat="1" applyFill="1" applyBorder="1"/>
    <xf numFmtId="49" fontId="0" fillId="3" borderId="4" xfId="0" applyNumberFormat="1" applyFill="1" applyBorder="1"/>
    <xf numFmtId="49" fontId="0" fillId="0" borderId="5" xfId="0" applyNumberFormat="1" applyBorder="1"/>
    <xf numFmtId="49" fontId="0" fillId="0" borderId="1" xfId="0" applyNumberFormat="1" applyBorder="1"/>
    <xf numFmtId="9" fontId="0" fillId="0" borderId="1" xfId="0" applyNumberFormat="1" applyBorder="1"/>
    <xf numFmtId="49" fontId="0" fillId="0" borderId="4" xfId="0" applyNumberFormat="1" applyBorder="1"/>
    <xf numFmtId="0" fontId="4" fillId="2" borderId="4" xfId="0" applyFont="1" applyFill="1" applyBorder="1"/>
    <xf numFmtId="0" fontId="4" fillId="3" borderId="6" xfId="0" applyFont="1" applyFill="1" applyBorder="1"/>
    <xf numFmtId="0" fontId="4" fillId="0" borderId="0" xfId="0" applyFont="1" applyAlignment="1">
      <alignment vertical="center"/>
    </xf>
    <xf numFmtId="0" fontId="0" fillId="0" borderId="5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49" fontId="0" fillId="0" borderId="8" xfId="0" applyNumberFormat="1" applyBorder="1"/>
  </cellXfs>
  <cellStyles count="2">
    <cellStyle name="Гиперссылка" xfId="1" builtinId="8"/>
    <cellStyle name="Обычный" xfId="0" builtinId="0"/>
  </cellStyles>
  <dxfs count="138">
    <dxf>
      <numFmt numFmtId="0" formatCode="General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164" formatCode="0.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64" formatCode="0.0"/>
    </dxf>
    <dxf>
      <numFmt numFmtId="1" formatCode="0"/>
    </dxf>
    <dxf>
      <numFmt numFmtId="0" formatCode="General"/>
    </dxf>
    <dxf>
      <numFmt numFmtId="30" formatCode="@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4">
    <xsd:schema xmlns:xsd="http://www.w3.org/2001/XMLSchema" xmlns="">
      <xsd:element nillable="true" name="Chip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5">
    <xsd:schema xmlns:xsd="http://www.w3.org/2001/XMLSchema" xmlns="">
      <xsd:element nillable="true" name="Zen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CurrentNominal" form="unqualified"/>
                  <xsd:element minOccurs="0" nillable="true" type="xsd:string" name="Power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6">
    <xsd:schema xmlns:xsd="http://www.w3.org/2001/XMLSchema" xmlns="">
      <xsd:element nillable="true" name="TV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" form="unqualified"/>
                  <xsd:element minOccurs="0" nillable="true" type="xsd:string" name="Power" form="unqualified"/>
                  <xsd:element minOccurs="0" nillable="true" type="xsd:string" name="Value" form="unqualified"/>
                  <xsd:element minOccurs="0" nillable="true" type="xsd:string" name="Inteface" form="unqualified"/>
                </xsd:sequence>
              </xsd:complexType>
            </xsd:element>
          </xsd:sequence>
        </xsd:complexType>
      </xsd:element>
    </xsd:schema>
  </Schema>
  <Schema ID="Schema8">
    <xsd:schema xmlns:xsd="http://www.w3.org/2001/XMLSchema" xmlns="">
      <xsd:element nillable="true" name="Tran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</xsd:sequence>
              </xsd:complexType>
            </xsd:element>
          </xsd:sequence>
        </xsd:complexType>
      </xsd:element>
    </xsd:schema>
  </Schema>
  <Schema ID="Schema12">
    <xsd:schema xmlns:xsd="http://www.w3.org/2001/XMLSchema" xmlns="">
      <xsd:element nillable="true" name="Connec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0">
    <xsd:schema xmlns:xsd="http://www.w3.org/2001/XMLSchema" xmlns="">
      <xsd:element nillable="true" name="Capaci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FootprintPath5" form="unqualified"/>
                  <xsd:element minOccurs="0" nillable="true" type="xsd:string" name="FootprintRef5" form="unqualified"/>
                  <xsd:element minOccurs="0" nillable="true" type="xsd:string" name="FootprintPath6" form="unqualified"/>
                  <xsd:element minOccurs="0" nillable="true" type="xsd:string" name="FootprintRef6" form="unqualified"/>
                  <xsd:element minOccurs="0" nillable="true" type="xsd:string" name="FootprintPath7" form="unqualified"/>
                  <xsd:element minOccurs="0" nillable="true" type="xsd:string" name="FootprintRef7" form="unqualified"/>
                </xsd:sequence>
              </xsd:complexType>
            </xsd:element>
          </xsd:sequence>
        </xsd:complexType>
      </xsd:element>
    </xsd:schema>
  </Schema>
  <Schema ID="Schema13">
    <xsd:schema xmlns:xsd="http://www.w3.org/2001/XMLSchema" xmlns="">
      <xsd:element nillable="true" name="Schottky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VoltageNominal_V" form="unqualified"/>
                  <xsd:element minOccurs="0" nillable="true" type="xsd:string" name="Current_A" form="unqualified"/>
                </xsd:sequence>
              </xsd:complexType>
            </xsd:element>
          </xsd:sequence>
        </xsd:complexType>
      </xsd:element>
    </xsd:schema>
  </Schema>
  <Schema ID="Schema15">
    <xsd:schema xmlns:xsd="http://www.w3.org/2001/XMLSchema" xmlns="">
      <xsd:element nillable="true" name="Res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</xsd:sequence>
              </xsd:complexType>
            </xsd:element>
          </xsd:sequence>
        </xsd:complexType>
      </xsd:element>
    </xsd:schema>
  </Schema>
  <Schema ID="Schema16">
    <xsd:schema xmlns:xsd="http://www.w3.org/2001/XMLSchema" xmlns="">
      <xsd:element nillable="true" name="Capacitors_ceram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Dielectric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7">
    <xsd:schema xmlns:xsd="http://www.w3.org/2001/XMLSchema" xmlns="">
      <xsd:element nillable="true" name="Capacitors_electrolytic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Value" form="unqualified"/>
                  <xsd:element minOccurs="0" nillable="true" type="xsd:double" name="Tolerance" form="unqualified"/>
                  <xsd:element minOccurs="0" nillable="true" type="xsd:integer" name="Voltage" form="unqualified"/>
                  <xsd:element minOccurs="0" nillable="true" type="xsd:string" name="Type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double" name="Capacity" form="unqualified"/>
                </xsd:sequence>
              </xsd:complexType>
            </xsd:element>
          </xsd:sequence>
        </xsd:complexType>
      </xsd:element>
    </xsd:schema>
  </Schema>
  <Schema ID="Schema18">
    <xsd:schema xmlns:xsd="http://www.w3.org/2001/XMLSchema" xmlns="">
      <xsd:element nillable="true" name="Inductance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  <xsd:element minOccurs="0" nillable="true" type="xsd:string" name="FootprintPath4" form="unqualified"/>
                  <xsd:element minOccurs="0" nillable="true" type="xsd:string" name="FootprintRef4" form="unqualified"/>
                  <xsd:element minOccurs="0" nillable="true" type="xsd:string" name="Inductance" form="unqualified"/>
                  <xsd:element minOccurs="0" nillable="true" type="xsd:string" name="Current" form="unqualified"/>
                  <xsd:element minOccurs="0" nillable="true" type="xsd:string" name="Value" form="unqualified"/>
                </xsd:sequence>
              </xsd:complexType>
            </xsd:element>
          </xsd:sequence>
        </xsd:complexType>
      </xsd:element>
    </xsd:schema>
  </Schema>
  <Schema ID="Schema14">
    <xsd:schema xmlns:xsd="http://www.w3.org/2001/XMLSchema" xmlns="">
      <xsd:element nillable="true" name="Other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FootprintPath3" form="unqualified"/>
                  <xsd:element minOccurs="0" nillable="true" type="xsd:string" name="FootprintRef3" form="unqualified"/>
                </xsd:sequence>
              </xsd:complexType>
            </xsd:element>
          </xsd:sequence>
        </xsd:complexType>
      </xsd:element>
    </xsd:schema>
  </Schema>
  <Schema ID="Schema20">
    <xsd:schema xmlns:xsd="http://www.w3.org/2001/XMLSchema" xmlns="">
      <xsd:element nillable="true" name="Thyristor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FootprintPath2" form="unqualified"/>
                  <xsd:element minOccurs="0" nillable="true" type="xsd:string" name="FootprintRef2" form="unqualified"/>
                  <xsd:element minOccurs="0" nillable="true" type="xsd:string" name="Voltage" form="unqualified"/>
                  <xsd:element minOccurs="0" nillable="true" type="xsd:string" name="Current" form="unqualified"/>
                </xsd:sequence>
              </xsd:complexType>
            </xsd:element>
          </xsd:sequence>
        </xsd:complexType>
      </xsd:element>
    </xsd:schema>
  </Schema>
  <Schema ID="Schema21">
    <xsd:schema xmlns:xsd="http://www.w3.org/2001/XMLSchema" xmlns="">
      <xsd:element nillable="true" name="Rectifier_diodes">
        <xsd:complexType>
          <xsd:sequence minOccurs="0">
            <xsd:element minOccurs="0" maxOccurs="unbounded" nillable="true" name="Part" form="unqualified">
              <xsd:complexType>
                <xsd:sequence minOccurs="0">
                  <xsd:element minOccurs="0" nillable="true" type="xsd:string" name="PartNumber" form="unqualified"/>
                  <xsd:element minOccurs="0" nillable="true" type="xsd:string" name="Description" form="unqualified"/>
                  <xsd:element minOccurs="0" nillable="true" type="xsd:string" name="Comment" form="unqualified"/>
                  <xsd:element minOccurs="0" nillable="true" type="xsd:string" name="LibraryPath" form="unqualified"/>
                  <xsd:element minOccurs="0" nillable="true" type="xsd:string" name="LibraryRef" form="unqualified"/>
                  <xsd:element minOccurs="0" nillable="true" type="xsd:string" name="FootprintPath1" form="unqualified"/>
                  <xsd:element minOccurs="0" nillable="true" type="xsd:string" name="FootprintRef1" form="unqualified"/>
                  <xsd:element minOccurs="0" nillable="true" type="xsd:string" name="RepetitivePeakReverseVoltage" form="unqualified"/>
                  <xsd:element minOccurs="0" nillable="true" type="xsd:string" name="Current" form="unqualified"/>
                  <xsd:element minOccurs="0" nillable="true" type="xsd:string" name="Power" form="unqualified"/>
                </xsd:sequence>
              </xsd:complexType>
            </xsd:element>
          </xsd:sequence>
        </xsd:complexType>
      </xsd:element>
    </xsd:schema>
  </Schema>
  <Map ID="18" Name="Capacitors" RootElement="Capacitors" SchemaID="Schema10" ShowImportExportValidationErrors="false" AutoFit="true" Append="false" PreserveSortAFLayout="true" PreserveFormat="true">
    <DataBinding FileBinding="true" ConnectionID="1" DataBindingLoadMode="1"/>
  </Map>
  <Map ID="43" Name="Capacitors_ceramic" RootElement="Capacitors_ceramic" SchemaID="Schema16" ShowImportExportValidationErrors="false" AutoFit="true" Append="false" PreserveSortAFLayout="true" PreserveFormat="true">
    <DataBinding FileBinding="true" ConnectionID="2" DataBindingLoadMode="1"/>
  </Map>
  <Map ID="53" Name="Capacitors_electrolytic" RootElement="Capacitors_electrolytic" SchemaID="Schema17" ShowImportExportValidationErrors="false" AutoFit="true" Append="false" PreserveSortAFLayout="true" PreserveFormat="true">
    <DataBinding FileBinding="true" ConnectionID="3" DataBindingLoadMode="1"/>
  </Map>
  <Map ID="4" Name="Chips" RootElement="Chips" SchemaID="Schema4" ShowImportExportValidationErrors="false" AutoFit="true" Append="false" PreserveSortAFLayout="true" PreserveFormat="true">
    <DataBinding FileBinding="true" ConnectionID="6" DataBindingLoadMode="1"/>
  </Map>
  <Map ID="12" Name="Connectors" RootElement="Connectors" SchemaID="Schema12" ShowImportExportValidationErrors="false" AutoFit="true" Append="false" PreserveSortAFLayout="true" PreserveFormat="true">
    <DataBinding FileBinding="true" ConnectionID="7" DataBindingLoadMode="1"/>
  </Map>
  <Map ID="66" Name="Inductance" RootElement="Inductance" SchemaID="Schema18" ShowImportExportValidationErrors="false" AutoFit="true" Append="false" PreserveSortAFLayout="true" PreserveFormat="true">
    <DataBinding FileBinding="true" ConnectionID="9" DataBindingLoadMode="1"/>
  </Map>
  <Map ID="73" Name="Other" RootElement="Other" SchemaID="Schema14" ShowImportExportValidationErrors="false" AutoFit="true" Append="false" PreserveSortAFLayout="true" PreserveFormat="true">
    <DataBinding FileBinding="true" ConnectionID="11" DataBindingLoadMode="1"/>
  </Map>
  <Map ID="84" Name="Rectifier_diodes" RootElement="Rectifier_diodes" SchemaID="Schema21" ShowImportExportValidationErrors="false" AutoFit="true" Append="false" PreserveSortAFLayout="true" PreserveFormat="true">
    <DataBinding FileBinding="true" ConnectionID="12" DataBindingLoadMode="1"/>
  </Map>
  <Map ID="38" Name="Resistors" RootElement="Resistors" SchemaID="Schema15" ShowImportExportValidationErrors="false" AutoFit="true" Append="false" PreserveSortAFLayout="true" PreserveFormat="true">
    <DataBinding FileBinding="true" ConnectionID="14" DataBindingLoadMode="1"/>
  </Map>
  <Map ID="30" Name="Schottky" RootElement="Schottky" SchemaID="Schema13" ShowImportExportValidationErrors="false" AutoFit="true" Append="false" PreserveSortAFLayout="true" PreserveFormat="true">
    <DataBinding FileBinding="true" ConnectionID="15" DataBindingLoadMode="1"/>
  </Map>
  <Map ID="81" Name="Thyristors" RootElement="Thyristors" SchemaID="Schema20" ShowImportExportValidationErrors="false" AutoFit="true" Append="false" PreserveSortAFLayout="true" PreserveFormat="true">
    <DataBinding FileBinding="true" ConnectionID="17" DataBindingLoadMode="1"/>
  </Map>
  <Map ID="8" Name="Transistors" RootElement="Transistors" SchemaID="Schema8" ShowImportExportValidationErrors="false" AutoFit="true" Append="false" PreserveSortAFLayout="true" PreserveFormat="true">
    <DataBinding FileBinding="true" ConnectionID="18" DataBindingLoadMode="1"/>
  </Map>
  <Map ID="6" Name="TVS" RootElement="TVS" SchemaID="Schema6" ShowImportExportValidationErrors="false" AutoFit="true" Append="false" PreserveSortAFLayout="true" PreserveFormat="true">
    <DataBinding FileBinding="true" ConnectionID="19" DataBindingLoadMode="1"/>
  </Map>
  <Map ID="5" Name="Zener" RootElement="Zener" SchemaID="Schema5" ShowImportExportValidationErrors="false" AutoFit="true" Append="false" PreserveSortAFLayout="true" PreserveFormat="true">
    <DataBinding FileBinding="true" ConnectionID="20" DataBindingLoadMode="1"/>
  </Map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AFB31A0-B533-4A21-B77D-E415196B9369}" name="Таблица1" displayName="Таблица1" ref="A1:L49" tableType="xml" totalsRowShown="0" headerRowDxfId="137" connectionId="6">
  <autoFilter ref="A1:L49" xr:uid="{DAFB31A0-B533-4A21-B77D-E415196B9369}"/>
  <tableColumns count="12">
    <tableColumn id="1" xr3:uid="{FF514B54-D1F7-467B-A909-8FEBB2C334B2}" uniqueName="PartNumber" name="Part Number">
      <xmlColumnPr mapId="4" xpath="/Chips/Part/PartNumber" xmlDataType="string"/>
    </tableColumn>
    <tableColumn id="2" xr3:uid="{5DBF2FFB-4189-461F-B44D-A253C2A03E0E}" uniqueName="Description" name="Description">
      <xmlColumnPr mapId="4" xpath="/Chips/Part/Description" xmlDataType="string"/>
    </tableColumn>
    <tableColumn id="3" xr3:uid="{2DF6DD3A-9BCE-40C9-80D8-1FF39AD58EAC}" uniqueName="Comment" name="Comment" dataDxfId="136">
      <calculatedColumnFormula>A2</calculatedColumnFormula>
      <xmlColumnPr mapId="4" xpath="/Chips/Part/Comment" xmlDataType="string"/>
    </tableColumn>
    <tableColumn id="4" xr3:uid="{0F75ADCE-5DB1-4694-9079-4F92F37CD551}" uniqueName="LibraryPath" name="Library Path">
      <calculatedColumnFormula>CONCATENATE("Schematic\",A2,".SchLib")</calculatedColumnFormula>
      <xmlColumnPr mapId="4" xpath="/Chips/Part/LibraryPath" xmlDataType="string"/>
    </tableColumn>
    <tableColumn id="5" xr3:uid="{6BF9732B-3268-4329-ACB9-FC59FBD5B694}" uniqueName="LibraryRef" name="Library Ref">
      <calculatedColumnFormula>A2</calculatedColumnFormula>
      <xmlColumnPr mapId="4" xpath="/Chips/Part/LibraryRef" xmlDataType="string"/>
    </tableColumn>
    <tableColumn id="6" xr3:uid="{98C1629C-FFD0-4250-AD2B-871635469449}" uniqueName="FootprintPath1" name="Footprint Path 1">
      <calculatedColumnFormula>CONCATENATE("Footprints\",G2,".PcbLib")</calculatedColumnFormula>
      <xmlColumnPr mapId="4" xpath="/Chips/Part/FootprintPath1" xmlDataType="string"/>
    </tableColumn>
    <tableColumn id="7" xr3:uid="{8E623AA2-A6FC-4B2D-9E76-68BF47415D9D}" uniqueName="FootprintRef1" name="Footprint Ref 1">
      <xmlColumnPr mapId="4" xpath="/Chips/Part/FootprintRef1" xmlDataType="string"/>
    </tableColumn>
    <tableColumn id="8" xr3:uid="{1E3AE0E6-07C5-4DAD-A7CE-128AAEFF9504}" uniqueName="8" name="Footprint Path 2"/>
    <tableColumn id="9" xr3:uid="{B5D0C196-009B-4050-8472-8DB4327649CF}" uniqueName="9" name="Footprint Ref 2"/>
    <tableColumn id="10" xr3:uid="{1746F659-6C71-4AC6-81FD-CDB87ABC30FE}" uniqueName="10" name="Footprint Path 3"/>
    <tableColumn id="11" xr3:uid="{9DF5800D-525F-4E51-BCE1-8C260284527A}" uniqueName="11" name="Footprint Ref 3"/>
    <tableColumn id="12" xr3:uid="{1886CC45-D490-4A28-8BD7-4CBB8CE1AD47}" uniqueName="12" name="Datashee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0AF4724-F3FA-4EC9-A9A8-6A4D71195C38}" name="Таблица4" displayName="Таблица4" ref="A1:J12" tableType="xml" totalsRowShown="0" connectionId="15">
  <autoFilter ref="A1:J12" xr:uid="{10AF4724-F3FA-4EC9-A9A8-6A4D71195C38}"/>
  <tableColumns count="10">
    <tableColumn id="1" xr3:uid="{7D13120A-3712-4674-B308-2AEA3E990A24}" uniqueName="PartNumber" name="Part Number">
      <xmlColumnPr mapId="30" xpath="/Schottky/Part/PartNumber" xmlDataType="string"/>
    </tableColumn>
    <tableColumn id="2" xr3:uid="{CADA28FD-43A2-47CB-9A36-0A4A2A891FB9}" uniqueName="Description" name="Description" dataDxfId="135">
      <calculatedColumnFormula>CONCATENATE("Диод шоттки на ", H2," В, ном. ток ", I2," А")</calculatedColumnFormula>
      <xmlColumnPr mapId="30" xpath="/Schottky/Part/Description" xmlDataType="string"/>
    </tableColumn>
    <tableColumn id="3" xr3:uid="{BE3CF0C9-327A-42F9-ACB4-407A1BC9970A}" uniqueName="Comment" name="Comment">
      <calculatedColumnFormula>A2</calculatedColumnFormula>
      <xmlColumnPr mapId="30" xpath="/Schottky/Part/Comment" xmlDataType="string"/>
    </tableColumn>
    <tableColumn id="4" xr3:uid="{3008B321-7083-456E-B42A-A53374F172FE}" uniqueName="LibraryPath" name="Library Path">
      <xmlColumnPr mapId="30" xpath="/Schottky/Part/LibraryPath" xmlDataType="string"/>
    </tableColumn>
    <tableColumn id="5" xr3:uid="{846CE11C-F91C-4596-8153-50317948BC6F}" uniqueName="LibraryRef" name="Library Ref">
      <xmlColumnPr mapId="30" xpath="/Schottky/Part/LibraryRef" xmlDataType="string"/>
    </tableColumn>
    <tableColumn id="6" xr3:uid="{BCD8A720-500C-483E-BAED-40F0E593D191}" uniqueName="FootprintPath1" name="Footprint Path 1">
      <calculatedColumnFormula>CONCATENATE("Footprints\",G2,".PcbLib")</calculatedColumnFormula>
      <xmlColumnPr mapId="30" xpath="/Schottky/Part/FootprintPath1" xmlDataType="string"/>
    </tableColumn>
    <tableColumn id="7" xr3:uid="{66DB4247-2A84-40E9-89F9-BA7F8535732B}" uniqueName="FootprintRef1" name="Footprint Ref 1">
      <xmlColumnPr mapId="30" xpath="/Schottky/Part/FootprintRef1" xmlDataType="string"/>
    </tableColumn>
    <tableColumn id="8" xr3:uid="{F3EDED53-D850-4EFD-AF14-D9C22E10E8B0}" uniqueName="VoltageNominal_V" name="Voltage nominal (V)" dataDxfId="134">
      <xmlColumnPr mapId="30" xpath="/Schottky/Part/VoltageNominal_V" xmlDataType="string"/>
    </tableColumn>
    <tableColumn id="9" xr3:uid="{431126AD-34DC-40A1-9CB6-D627B7878BEA}" uniqueName="Current_A" name="Current (A)" dataDxfId="133">
      <xmlColumnPr mapId="30" xpath="/Schottky/Part/Current_A" xmlDataType="string"/>
    </tableColumn>
    <tableColumn id="10" xr3:uid="{B7CD8CD5-DC3A-421F-BFDB-0658B29C8200}" uniqueName="10" name="Datasheet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CD13EE0-E53C-485B-863E-D7FAF9FE1DB1}" name="Таблица2" displayName="Таблица2" ref="A1:M5" tableType="xml" totalsRowShown="0" connectionId="20">
  <autoFilter ref="A1:M5" xr:uid="{9CD13EE0-E53C-485B-863E-D7FAF9FE1DB1}"/>
  <tableColumns count="13">
    <tableColumn id="1" xr3:uid="{CEDA0E99-369D-4D19-B546-9AAC32676B0B}" uniqueName="PartNumber" name="Part Number">
      <xmlColumnPr mapId="5" xpath="/Zener/Part/PartNumber" xmlDataType="string"/>
    </tableColumn>
    <tableColumn id="2" xr3:uid="{1A43BE7E-9AAC-4973-AC64-2F97612F4435}" uniqueName="Description" name="Description">
      <xmlColumnPr mapId="5" xpath="/Zener/Part/Description" xmlDataType="string"/>
    </tableColumn>
    <tableColumn id="3" xr3:uid="{49D3DAB1-6D79-4F4F-BB8D-79A17FF03917}" uniqueName="Comment" name="Comment">
      <xmlColumnPr mapId="5" xpath="/Zener/Part/Comment" xmlDataType="string"/>
    </tableColumn>
    <tableColumn id="4" xr3:uid="{182DACB5-F162-4398-9C74-66E180C5E23A}" uniqueName="LibraryPath" name="Library Path">
      <xmlColumnPr mapId="5" xpath="/Zener/Part/LibraryPath" xmlDataType="string"/>
    </tableColumn>
    <tableColumn id="5" xr3:uid="{B562CDC7-2EE1-4F91-883B-7B14555F14C0}" uniqueName="LibraryRef" name="Library Ref">
      <xmlColumnPr mapId="5" xpath="/Zener/Part/LibraryRef" xmlDataType="string"/>
    </tableColumn>
    <tableColumn id="6" xr3:uid="{84A33A6D-D3D8-4003-88F5-4726CE5AF957}" uniqueName="FootprintPath1" name="Footprint Path 1">
      <xmlColumnPr mapId="5" xpath="/Zener/Part/FootprintPath1" xmlDataType="string"/>
    </tableColumn>
    <tableColumn id="7" xr3:uid="{D543FD13-5C55-44FD-9EAE-AE7259E67BF1}" uniqueName="FootprintRef1" name="Footprint Ref 1">
      <xmlColumnPr mapId="5" xpath="/Zener/Part/FootprintRef1" xmlDataType="string"/>
    </tableColumn>
    <tableColumn id="8" xr3:uid="{4104DF45-8CF0-44D2-95F3-3425F94E79DA}" uniqueName="VoltageNominal" name="Voltage nominal (V)">
      <xmlColumnPr mapId="5" xpath="/Zener/Part/VoltageNominal" xmlDataType="string"/>
    </tableColumn>
    <tableColumn id="9" xr3:uid="{4B987DAD-1E1D-453A-A90A-FF65EAF2AE26}" uniqueName="CurrentNominal" name="Current nominal (mA)">
      <xmlColumnPr mapId="5" xpath="/Zener/Part/CurrentNominal" xmlDataType="string"/>
    </tableColumn>
    <tableColumn id="10" xr3:uid="{8128437B-5737-40AC-A22E-0586BC9F6EDD}" uniqueName="Power" name="Power (W)">
      <xmlColumnPr mapId="5" xpath="/Zener/Part/Power" xmlDataType="string"/>
    </tableColumn>
    <tableColumn id="11" xr3:uid="{C622244B-29E9-4E9E-873E-3F7443A151DA}" uniqueName="Value" name="Value">
      <xmlColumnPr mapId="5" xpath="/Zener/Part/Value" xmlDataType="string"/>
    </tableColumn>
    <tableColumn id="12" xr3:uid="{442B8C7A-EC5E-436F-858C-FE55AF61AA4B}" uniqueName="12" name="Accuracy"/>
    <tableColumn id="13" xr3:uid="{D9DB6DFC-4B85-43F6-9AD8-F96BE5A90DBD}" uniqueName="13" name="Datasheet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5EAFB53-5120-48E8-B7CF-F527619EF3EB}" name="Таблица3" displayName="Таблица3" ref="A1:L11" tableType="xml" totalsRowShown="0" dataDxfId="132" connectionId="19">
  <autoFilter ref="A1:L11" xr:uid="{35EAFB53-5120-48E8-B7CF-F527619EF3EB}"/>
  <tableColumns count="12">
    <tableColumn id="1" xr3:uid="{8FF51BCB-1CBC-41C4-B0E3-6994AEB249EF}" uniqueName="PartNumber" name="Part Number" dataDxfId="131">
      <xmlColumnPr mapId="6" xpath="/TVS/Part/PartNumber" xmlDataType="string"/>
    </tableColumn>
    <tableColumn id="2" xr3:uid="{254709FF-71DC-4C18-A11E-3F482A74905F}" uniqueName="Description" name="Description" dataDxfId="130">
      <calculatedColumnFormula xml:space="preserve"> IF(K2="RS-485","Защитный диод для линии RS-485",CONCATENATE("Защитный диод на ", H2," В, рассеиваемая мощность ", I2," Вт"))</calculatedColumnFormula>
      <xmlColumnPr mapId="6" xpath="/TVS/Part/Description" xmlDataType="string"/>
    </tableColumn>
    <tableColumn id="3" xr3:uid="{2C6333B7-5457-4608-BA0E-6E70CD858A2C}" uniqueName="Comment" name="Comment" dataDxfId="129">
      <calculatedColumnFormula>A2</calculatedColumnFormula>
      <xmlColumnPr mapId="6" xpath="/TVS/Part/Comment" xmlDataType="string"/>
    </tableColumn>
    <tableColumn id="4" xr3:uid="{83178ADA-1817-4EF5-A805-49E80CF47276}" uniqueName="LibraryPath" name="Library Path" dataDxfId="128">
      <calculatedColumnFormula>CONCATENATE("Schematic\TVS\",E2,".SchLib")</calculatedColumnFormula>
      <xmlColumnPr mapId="6" xpath="/TVS/Part/LibraryPath" xmlDataType="string"/>
    </tableColumn>
    <tableColumn id="5" xr3:uid="{B80EE288-DA51-4B26-9FFB-D0707D8FC628}" uniqueName="LibraryRef" name="Library Ref" dataDxfId="127">
      <xmlColumnPr mapId="6" xpath="/TVS/Part/LibraryRef" xmlDataType="string"/>
    </tableColumn>
    <tableColumn id="6" xr3:uid="{C5C7E783-B9B8-469C-B255-FC24F12E71DC}" uniqueName="FootprintPath1" name="Footprint Path 1" dataDxfId="126">
      <calculatedColumnFormula>CONCATENATE("Footprints\",G2,".PcbLib")</calculatedColumnFormula>
      <xmlColumnPr mapId="6" xpath="/TVS/Part/FootprintPath1" xmlDataType="string"/>
    </tableColumn>
    <tableColumn id="7" xr3:uid="{3A293D26-6880-4FA2-86FA-6BF6FC855D7F}" uniqueName="FootprintRef1" name="Footprint Ref 1" dataDxfId="125">
      <xmlColumnPr mapId="6" xpath="/TVS/Part/FootprintRef1" xmlDataType="string"/>
    </tableColumn>
    <tableColumn id="8" xr3:uid="{16B3AEE3-BEA7-4870-9494-F8A0EC5E9CCD}" uniqueName="VoltageNominal" name="Voltage nominal (V)" dataDxfId="124">
      <xmlColumnPr mapId="6" xpath="/TVS/Part/VoltageNominal" xmlDataType="string"/>
    </tableColumn>
    <tableColumn id="9" xr3:uid="{7DDE345A-D145-4A55-B781-91F88095B1FE}" uniqueName="Power" name="Power (W)" dataDxfId="123">
      <xmlColumnPr mapId="6" xpath="/TVS/Part/Power" xmlDataType="string"/>
    </tableColumn>
    <tableColumn id="10" xr3:uid="{EBB777BC-3BC6-4EF4-AC63-F94C7CFCFC0E}" uniqueName="Value" name="Value" dataDxfId="122">
      <calculatedColumnFormula xml:space="preserve"> CONCATENATE(H2," В")</calculatedColumnFormula>
      <xmlColumnPr mapId="6" xpath="/TVS/Part/Value" xmlDataType="string"/>
    </tableColumn>
    <tableColumn id="11" xr3:uid="{031238E8-E993-4BD3-9F1D-0FAC431BDD7F}" uniqueName="Inteface" name="Interface" dataDxfId="121">
      <xmlColumnPr mapId="6" xpath="/TVS/Part/Inteface" xmlDataType="string"/>
    </tableColumn>
    <tableColumn id="12" xr3:uid="{2FC69434-3445-47B6-BAFF-5BDCB5CA78D9}" uniqueName="12" name="Datasheet" dataDxfId="12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1DAD5D3-6841-4BFD-8583-65DE6E00D680}" name="Таблица5" displayName="Таблица5" ref="A1:L15" tableType="xml" totalsRowShown="0" headerRowDxfId="119" connectionId="18">
  <autoFilter ref="A1:L15" xr:uid="{11DAD5D3-6841-4BFD-8583-65DE6E00D680}"/>
  <tableColumns count="12">
    <tableColumn id="1" xr3:uid="{59488B22-9EFD-4960-9418-72616CC8F6CC}" uniqueName="PartNumber" name="Part Number" dataDxfId="118">
      <xmlColumnPr mapId="8" xpath="/Transistors/Part/PartNumber" xmlDataType="string"/>
    </tableColumn>
    <tableColumn id="2" xr3:uid="{B6051881-2BC5-4D5F-9AEE-A86DF4412A4C}" uniqueName="Description" name="Description" dataDxfId="117">
      <xmlColumnPr mapId="8" xpath="/Transistors/Part/Description" xmlDataType="string"/>
    </tableColumn>
    <tableColumn id="3" xr3:uid="{377CEA9C-B3A1-4F57-920A-BA1AC9164370}" uniqueName="Comment" name="Comment" dataDxfId="116">
      <calculatedColumnFormula>A2</calculatedColumnFormula>
      <xmlColumnPr mapId="8" xpath="/Transistors/Part/Comment" xmlDataType="string"/>
    </tableColumn>
    <tableColumn id="4" xr3:uid="{31DE2397-F193-4851-8DCA-0C374AAAE178}" uniqueName="LibraryPath" name="Library Path" dataDxfId="115">
      <xmlColumnPr mapId="8" xpath="/Transistors/Part/LibraryPath" xmlDataType="string"/>
    </tableColumn>
    <tableColumn id="5" xr3:uid="{02693066-D721-4B47-BEE5-D678B96A10FB}" uniqueName="LibraryRef" name="Library Ref" dataDxfId="114">
      <xmlColumnPr mapId="8" xpath="/Transistors/Part/LibraryRef" xmlDataType="string"/>
    </tableColumn>
    <tableColumn id="6" xr3:uid="{F440944E-5EE7-4673-9D0E-B7FE3DF245DB}" uniqueName="FootprintPath1" name="Footprint Path 1">
      <calculatedColumnFormula>CONCATENATE("Footprints\",G2,".PcbLib")</calculatedColumnFormula>
      <xmlColumnPr mapId="8" xpath="/Transistors/Part/FootprintPath1" xmlDataType="string"/>
    </tableColumn>
    <tableColumn id="7" xr3:uid="{D511F7D2-DAB9-49F0-A15D-7C4724C5B288}" uniqueName="FootprintRef1" name="Footprint Ref 1" dataDxfId="113">
      <xmlColumnPr mapId="8" xpath="/Transistors/Part/FootprintRef1" xmlDataType="string"/>
    </tableColumn>
    <tableColumn id="8" xr3:uid="{E67B97DF-DA51-427C-AAA5-3EBF6C5C9757}" uniqueName="FootprintPath2" name="Footprint Path 2">
      <xmlColumnPr mapId="8" xpath="/Transistors/Part/FootprintPath2" xmlDataType="string"/>
    </tableColumn>
    <tableColumn id="9" xr3:uid="{7E70164B-198F-4AEC-A12A-6FAD2068DAF9}" uniqueName="FootprintRef2" name="Footprint Ref 2">
      <xmlColumnPr mapId="8" xpath="/Transistors/Part/FootprintRef2" xmlDataType="string"/>
    </tableColumn>
    <tableColumn id="10" xr3:uid="{D9B40BF4-079F-41F7-A5ED-803690AD2026}" uniqueName="10" name="Напряжение С-И/К-Э"/>
    <tableColumn id="11" xr3:uid="{A8391E42-FCF2-470E-9ACA-7F95E4B05661}" uniqueName="11" name="Ток макс. "/>
    <tableColumn id="12" xr3:uid="{70029206-5F57-4035-A733-E124F95F4901}" uniqueName="12" name="Datashee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2061886-A591-4FD8-8C5B-3D1D2DB1F417}" name="Таблица6" displayName="Таблица6" ref="A1:N181" tableType="xml" totalsRowShown="0" headerRowDxfId="112" dataDxfId="111" connectionId="14">
  <autoFilter ref="A1:N181" xr:uid="{02061886-A591-4FD8-8C5B-3D1D2DB1F417}"/>
  <tableColumns count="14">
    <tableColumn id="1" xr3:uid="{1DE1C76C-B7F9-47FB-9EB0-156A2D87FD9E}" uniqueName="PartNumber" name="Part Number" dataDxfId="110">
      <xmlColumnPr mapId="38" xpath="/Resistors/Part/PartNumber" xmlDataType="string"/>
    </tableColumn>
    <tableColumn id="2" xr3:uid="{64E60790-EB9B-4A0D-B52C-7CB5A6F82DE8}" uniqueName="Description" name="Description" dataDxfId="109">
      <xmlColumnPr mapId="38" xpath="/Resistors/Part/Description" xmlDataType="string"/>
    </tableColumn>
    <tableColumn id="3" xr3:uid="{497E7478-3EE2-4F8D-A572-C738B7321387}" uniqueName="Comment" name="Comment" dataDxfId="108">
      <xmlColumnPr mapId="38" xpath="/Resistors/Part/Comment" xmlDataType="string"/>
    </tableColumn>
    <tableColumn id="4" xr3:uid="{255B034D-70D9-458C-8FA7-FEB8317A497F}" uniqueName="LibraryPath" name="Library Path" dataDxfId="107">
      <xmlColumnPr mapId="38" xpath="/Resistors/Part/LibraryPath" xmlDataType="string"/>
    </tableColumn>
    <tableColumn id="5" xr3:uid="{A3865419-9EA5-4AAA-B07F-FF52D437DC02}" uniqueName="LibraryRef" name="Library Ref" dataDxfId="106">
      <xmlColumnPr mapId="38" xpath="/Resistors/Part/LibraryRef" xmlDataType="string"/>
    </tableColumn>
    <tableColumn id="6" xr3:uid="{CE64E0F7-2F9E-477F-8D1B-040D90CB5685}" uniqueName="Value" name="Value" dataDxfId="105">
      <xmlColumnPr mapId="38" xpath="/Resistors/Part/Value" xmlDataType="string"/>
    </tableColumn>
    <tableColumn id="7" xr3:uid="{41F7703B-5A2D-47F6-B9C9-B9D386FC3CF8}" uniqueName="Tolerance" name="Tolerance" dataDxfId="104">
      <xmlColumnPr mapId="38" xpath="/Resistors/Part/Tolerance" xmlDataType="double"/>
    </tableColumn>
    <tableColumn id="8" xr3:uid="{429E7452-DB30-417B-B5E7-8F2AA238A5A4}" uniqueName="FootprintPath1" name="Footprint Path 1" dataDxfId="103">
      <xmlColumnPr mapId="38" xpath="/Resistors/Part/FootprintPath1" xmlDataType="string"/>
    </tableColumn>
    <tableColumn id="9" xr3:uid="{298A4272-57F5-45C2-AFCD-965909B2DD40}" uniqueName="FootprintRef1" name="Footprint Ref 1" dataDxfId="102">
      <xmlColumnPr mapId="38" xpath="/Resistors/Part/FootprintRef1" xmlDataType="string"/>
    </tableColumn>
    <tableColumn id="10" xr3:uid="{0DFE9A6B-806A-476A-90DD-58A133FB25CD}" uniqueName="10" name="Footprint Path 2" dataDxfId="101"/>
    <tableColumn id="11" xr3:uid="{5972F9B7-4E29-40F8-85A0-ADFB6C3B63D0}" uniqueName="11" name="Footprint Ref 2" dataDxfId="100"/>
    <tableColumn id="12" xr3:uid="{2BA89A40-2C66-4CDA-B275-A463CA193B24}" uniqueName="12" name="Footprint Path 3" dataDxfId="99"/>
    <tableColumn id="13" xr3:uid="{EB6CB4D4-35E1-4CE3-A4E3-74A449E2B85B}" uniqueName="13" name="Footprint Ref 3" dataDxfId="98"/>
    <tableColumn id="14" xr3:uid="{B126E269-CC34-4371-BF7F-84DF0C0ADEDC}" uniqueName="14" name="Datasheet" dataDxfId="97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A29CC993-9C97-4A73-9D5A-85F4F6169F0D}" name="Таблица215" displayName="Таблица215" ref="A1:K3" tableType="xml" totalsRowShown="0" dataDxfId="96" connectionId="12">
  <autoFilter ref="A1:K3" xr:uid="{A29CC993-9C97-4A73-9D5A-85F4F6169F0D}"/>
  <tableColumns count="11">
    <tableColumn id="1" xr3:uid="{E7E6BB90-3474-4E90-9662-90728792951F}" uniqueName="PartNumber" name="Part Number" dataDxfId="95">
      <xmlColumnPr mapId="84" xpath="/Rectifier_diodes/Part/PartNumber" xmlDataType="string"/>
    </tableColumn>
    <tableColumn id="2" xr3:uid="{98A92000-AA1B-456E-BA64-C1F29B956DE5}" uniqueName="Description" name="Description" dataDxfId="94">
      <xmlColumnPr mapId="84" xpath="/Rectifier_diodes/Part/Description" xmlDataType="string"/>
    </tableColumn>
    <tableColumn id="3" xr3:uid="{B4AB4090-17C1-4AE7-9CAE-97918340114E}" uniqueName="Comment" name="Comment" dataDxfId="93">
      <xmlColumnPr mapId="84" xpath="/Rectifier_diodes/Part/Comment" xmlDataType="string"/>
    </tableColumn>
    <tableColumn id="4" xr3:uid="{37B831E9-0546-4F3D-869B-DCA849A60D6D}" uniqueName="LibraryPath" name="Library Path" dataDxfId="92">
      <xmlColumnPr mapId="84" xpath="/Rectifier_diodes/Part/LibraryPath" xmlDataType="string"/>
    </tableColumn>
    <tableColumn id="5" xr3:uid="{D6CB281C-3F3F-4F98-A962-C06645057757}" uniqueName="LibraryRef" name="Library Ref" dataDxfId="91">
      <xmlColumnPr mapId="84" xpath="/Rectifier_diodes/Part/LibraryRef" xmlDataType="string"/>
    </tableColumn>
    <tableColumn id="6" xr3:uid="{A8BCEECB-ED11-4B88-BF6F-96CF63D897BC}" uniqueName="FootprintPath1" name="Footprint Path 1" dataDxfId="90">
      <xmlColumnPr mapId="84" xpath="/Rectifier_diodes/Part/FootprintPath1" xmlDataType="string"/>
    </tableColumn>
    <tableColumn id="7" xr3:uid="{7B9CD19C-2EC8-4C56-940C-1504C11DD55E}" uniqueName="FootprintRef1" name="Footprint Ref 1" dataDxfId="89">
      <xmlColumnPr mapId="84" xpath="/Rectifier_diodes/Part/FootprintRef1" xmlDataType="string"/>
    </tableColumn>
    <tableColumn id="8" xr3:uid="{1881FA4C-96EB-4255-BF42-6B45DFA2BB91}" uniqueName="RepetitivePeakReverseVoltage" name="Repetitive peak reverse voltage (Vrrm)" dataDxfId="88">
      <xmlColumnPr mapId="84" xpath="/Rectifier_diodes/Part/RepetitivePeakReverseVoltage" xmlDataType="string"/>
    </tableColumn>
    <tableColumn id="9" xr3:uid="{EB5ACFA6-079B-4694-9B63-C1A08D4A6545}" uniqueName="Current" name="Current (A)" dataDxfId="87">
      <xmlColumnPr mapId="84" xpath="/Rectifier_diodes/Part/Current" xmlDataType="string"/>
    </tableColumn>
    <tableColumn id="10" xr3:uid="{A56E2E46-8996-40FE-9125-8C74FA00102E}" uniqueName="Power" name="Power (W)" dataDxfId="86">
      <xmlColumnPr mapId="84" xpath="/Rectifier_diodes/Part/Power" xmlDataType="string"/>
    </tableColumn>
    <tableColumn id="14" xr3:uid="{97A2782D-2BBA-490A-A60F-15D84AFDCD53}" uniqueName="0" name="Datasheet" dataDxfId="85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041C5C1-00FD-47DC-8B7C-9DEBE212D9D4}" name="Таблица7" displayName="Таблица7" ref="A1:U3" tableType="xml" totalsRowShown="0" headerRowDxfId="84" dataDxfId="83" connectionId="1">
  <autoFilter ref="A1:U3" xr:uid="{1041C5C1-00FD-47DC-8B7C-9DEBE212D9D4}"/>
  <tableColumns count="21">
    <tableColumn id="1" xr3:uid="{55BDD111-6381-449E-BF2B-3FEC8107762D}" uniqueName="PartNumber" name="Part Number" dataDxfId="82">
      <xmlColumnPr mapId="18" xpath="/Capacitors/Part/PartNumber" xmlDataType="string"/>
    </tableColumn>
    <tableColumn id="2" xr3:uid="{0D3E1F2C-B0CC-4A36-A41B-2F2DAEC98E3B}" uniqueName="Description" name="Description" dataDxfId="81">
      <xmlColumnPr mapId="18" xpath="/Capacitors/Part/Description" xmlDataType="string"/>
    </tableColumn>
    <tableColumn id="3" xr3:uid="{16739D52-8082-4E8D-B1E1-B82F60766E2A}" uniqueName="Comment" name="Comment" dataDxfId="80">
      <xmlColumnPr mapId="18" xpath="/Capacitors/Part/Comment" xmlDataType="string"/>
    </tableColumn>
    <tableColumn id="4" xr3:uid="{AC1F3F2E-0C78-451D-9178-0A9D15C49726}" uniqueName="LibraryPath" name="Library Path" dataDxfId="79">
      <xmlColumnPr mapId="18" xpath="/Capacitors/Part/LibraryPath" xmlDataType="string"/>
    </tableColumn>
    <tableColumn id="5" xr3:uid="{9169ABA3-E41E-40E0-B785-3D3B749D70BB}" uniqueName="LibraryRef" name="Library Ref" dataDxfId="78">
      <xmlColumnPr mapId="18" xpath="/Capacitors/Part/LibraryRef" xmlDataType="string"/>
    </tableColumn>
    <tableColumn id="6" xr3:uid="{01EADD2D-36E6-41EE-B894-B537CCE6649E}" uniqueName="Value" name="Value" dataDxfId="77">
      <xmlColumnPr mapId="18" xpath="/Capacitors/Part/Value" xmlDataType="string"/>
    </tableColumn>
    <tableColumn id="7" xr3:uid="{EC779EF2-47DD-4E8F-A8D2-159E83C79180}" uniqueName="FootprintPath1" name="Footprint Path 1" dataDxfId="76">
      <xmlColumnPr mapId="18" xpath="/Capacitors/Part/FootprintPath1" xmlDataType="string"/>
    </tableColumn>
    <tableColumn id="8" xr3:uid="{C244A49A-3E6F-4B22-983D-FFA97DB3DFF6}" uniqueName="FootprintRef1" name="Footprint Ref 1" dataDxfId="75">
      <xmlColumnPr mapId="18" xpath="/Capacitors/Part/FootprintRef1" xmlDataType="string"/>
    </tableColumn>
    <tableColumn id="9" xr3:uid="{85136BD9-A68F-40E0-9A6F-E71ECA929F04}" uniqueName="FootprintPath2" name="Footprint Path 2" dataDxfId="74">
      <xmlColumnPr mapId="18" xpath="/Capacitors/Part/FootprintPath2" xmlDataType="string"/>
    </tableColumn>
    <tableColumn id="10" xr3:uid="{9FB3A5B2-04CB-44F8-A289-C2FB25F43941}" uniqueName="FootprintRef2" name="Footprint Ref 2" dataDxfId="73">
      <xmlColumnPr mapId="18" xpath="/Capacitors/Part/FootprintRef2" xmlDataType="string"/>
    </tableColumn>
    <tableColumn id="11" xr3:uid="{50FA7750-FC9E-444C-8D52-C6B51BBD63C1}" uniqueName="FootprintPath3" name="Footprint Path 3" dataDxfId="72">
      <xmlColumnPr mapId="18" xpath="/Capacitors/Part/FootprintPath3" xmlDataType="string"/>
    </tableColumn>
    <tableColumn id="12" xr3:uid="{CB4B7F73-4E19-42EF-9940-4C2907529981}" uniqueName="FootprintRef3" name="Footprint Ref 3" dataDxfId="71">
      <xmlColumnPr mapId="18" xpath="/Capacitors/Part/FootprintRef3" xmlDataType="string"/>
    </tableColumn>
    <tableColumn id="13" xr3:uid="{6B23463C-82AA-426D-ACBC-49A19C1D46FA}" uniqueName="FootprintPath4" name="Footprint Path 4" dataDxfId="70">
      <xmlColumnPr mapId="18" xpath="/Capacitors/Part/FootprintPath4" xmlDataType="string"/>
    </tableColumn>
    <tableColumn id="14" xr3:uid="{AD691620-AB1F-42E2-B1E4-053F5C2B80E9}" uniqueName="FootprintRef4" name="Footprint Ref 4" dataDxfId="69">
      <xmlColumnPr mapId="18" xpath="/Capacitors/Part/FootprintRef4" xmlDataType="string"/>
    </tableColumn>
    <tableColumn id="15" xr3:uid="{FD0F620C-73A8-49FB-B6E9-F06F81ED3185}" uniqueName="FootprintPath5" name="Footprint Path 5" dataDxfId="68">
      <xmlColumnPr mapId="18" xpath="/Capacitors/Part/FootprintPath5" xmlDataType="string"/>
    </tableColumn>
    <tableColumn id="16" xr3:uid="{F3B1D3FD-D16A-41B6-BA7D-FAFB3CCAEEC4}" uniqueName="FootprintRef5" name="Footprint Ref 5" dataDxfId="67">
      <xmlColumnPr mapId="18" xpath="/Capacitors/Part/FootprintRef5" xmlDataType="string"/>
    </tableColumn>
    <tableColumn id="17" xr3:uid="{130B1CD3-35EC-447E-93DF-ED8F8DC7A59A}" uniqueName="FootprintPath6" name="Footprint Path 6" dataDxfId="66">
      <xmlColumnPr mapId="18" xpath="/Capacitors/Part/FootprintPath6" xmlDataType="string"/>
    </tableColumn>
    <tableColumn id="18" xr3:uid="{77AF5D99-AE0B-40E5-8972-14E04BB93BB4}" uniqueName="FootprintRef6" name="Footprint Ref 6" dataDxfId="65">
      <xmlColumnPr mapId="18" xpath="/Capacitors/Part/FootprintRef6" xmlDataType="string"/>
    </tableColumn>
    <tableColumn id="19" xr3:uid="{6809872D-01AC-4EF6-B33F-6B8DA2D054C9}" uniqueName="FootprintPath7" name="Footprint Path 7" dataDxfId="64">
      <xmlColumnPr mapId="18" xpath="/Capacitors/Part/FootprintPath7" xmlDataType="string"/>
    </tableColumn>
    <tableColumn id="20" xr3:uid="{352E5BAE-89D3-4F1C-AA92-CDC22EDD2B11}" uniqueName="FootprintRef7" name="Footprint Ref 7" dataDxfId="63">
      <xmlColumnPr mapId="18" xpath="/Capacitors/Part/FootprintRef7" xmlDataType="string"/>
    </tableColumn>
    <tableColumn id="21" xr3:uid="{A4B57C00-6D54-4DAD-902D-06A5DE02018A}" uniqueName="21" name="Datasheet" dataDxfId="6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327E2CF9-785D-47F4-832A-C43F8CC576C1}" name="Таблица11" displayName="Таблица11" ref="A1:N47" tableType="xml" totalsRowShown="0" headerRowDxfId="61" headerRowBorderDxfId="60" tableBorderDxfId="59" connectionId="2">
  <autoFilter ref="A1:N47" xr:uid="{327E2CF9-785D-47F4-832A-C43F8CC576C1}"/>
  <tableColumns count="14">
    <tableColumn id="1" xr3:uid="{2D0493C6-3702-49E5-A0C3-4E2E8E195E17}" uniqueName="PartNumber" name="Part Number" dataDxfId="58">
      <xmlColumnPr mapId="43" xpath="/Capacitors_ceramic/Part/PartNumber" xmlDataType="string"/>
    </tableColumn>
    <tableColumn id="2" xr3:uid="{3FA58AD0-DEA9-402B-AF51-421884AC47BB}" uniqueName="Description" name="Description" dataDxfId="57">
      <xmlColumnPr mapId="43" xpath="/Capacitors_ceramic/Part/Description" xmlDataType="string"/>
    </tableColumn>
    <tableColumn id="4" xr3:uid="{EC600B45-0E9F-4512-A8BA-DAE1BBEF89DB}" uniqueName="LibraryPath" name="Library Path" dataDxfId="56">
      <xmlColumnPr mapId="43" xpath="/Capacitors_ceramic/Part/LibraryPath" xmlDataType="string"/>
    </tableColumn>
    <tableColumn id="5" xr3:uid="{140603B1-BC32-4AD5-86F2-E6EF9CFD08BC}" uniqueName="LibraryRef" name="Comment" dataDxfId="55">
      <xmlColumnPr mapId="43" xpath="/Capacitors_ceramic/Part/LibraryRef" xmlDataType="string"/>
    </tableColumn>
    <tableColumn id="6" xr3:uid="{BE700CC2-03BD-4386-A2EC-27DBA3DED288}" uniqueName="Value" name="Library Path2" dataDxfId="54">
      <xmlColumnPr mapId="43" xpath="/Capacitors_ceramic/Part/Value" xmlDataType="string"/>
    </tableColumn>
    <tableColumn id="7" xr3:uid="{825A321C-E6A0-4EAF-AEC4-F451D6437D35}" uniqueName="Tolerance" name="Library Ref" dataDxfId="53">
      <xmlColumnPr mapId="43" xpath="/Capacitors_ceramic/Part/Tolerance" xmlDataType="double"/>
    </tableColumn>
    <tableColumn id="8" xr3:uid="{6BBE44D9-FFC5-457D-8041-DAABC8C7BA50}" uniqueName="Voltage" name="Value" dataDxfId="52">
      <xmlColumnPr mapId="43" xpath="/Capacitors_ceramic/Part/Voltage" xmlDataType="integer"/>
    </tableColumn>
    <tableColumn id="9" xr3:uid="{40615D5C-FAC6-4DE7-AD52-985B05512BA6}" uniqueName="Dielectric" name="Tolerance" dataDxfId="51">
      <xmlColumnPr mapId="43" xpath="/Capacitors_ceramic/Part/Dielectric" xmlDataType="string"/>
    </tableColumn>
    <tableColumn id="10" xr3:uid="{A0E5BE7F-C8F6-4C6F-887E-2AC1E17340A3}" uniqueName="FootprintPath1" name="Voltage (V)" dataDxfId="50">
      <xmlColumnPr mapId="43" xpath="/Capacitors_ceramic/Part/FootprintPath1" xmlDataType="string"/>
    </tableColumn>
    <tableColumn id="11" xr3:uid="{1125B898-8A5A-4932-9E6A-70BE1D0B17C2}" uniqueName="FootprintRef1" name="Dielectric" dataDxfId="49">
      <xmlColumnPr mapId="43" xpath="/Capacitors_ceramic/Part/FootprintRef1" xmlDataType="string"/>
    </tableColumn>
    <tableColumn id="12" xr3:uid="{A0B20E33-F9DE-4128-B3C1-A5F5EF419A6A}" uniqueName="Capacity" name="Footprint Path 1" dataDxfId="48">
      <xmlColumnPr mapId="43" xpath="/Capacitors_ceramic/Part/Capacity" xmlDataType="double"/>
    </tableColumn>
    <tableColumn id="3" xr3:uid="{3CA4A3C4-175F-4D31-8C1D-DB8BDFEC6751}" uniqueName="3" name="Footprint Ref 1" dataDxfId="47"/>
    <tableColumn id="13" xr3:uid="{AC6DF023-DF8E-4431-956C-EF5B1E686C64}" uniqueName="13" name="Capacity (nF)" dataDxfId="46"/>
    <tableColumn id="14" xr3:uid="{F581E0EF-A6A3-43F4-9E9D-EE0565B490AB}" uniqueName="14" name="Datasheet" dataDxfId="45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BAA15FD-ABBE-4E3B-BBD6-157FBCC145C2}" name="Таблица12" displayName="Таблица12" ref="A1:O27" tableType="xml" totalsRowShown="0" headerRowDxfId="44" headerRowBorderDxfId="43" tableBorderDxfId="42" connectionId="3">
  <autoFilter ref="A1:O27" xr:uid="{6BAA15FD-ABBE-4E3B-BBD6-157FBCC145C2}"/>
  <tableColumns count="15">
    <tableColumn id="1" xr3:uid="{1BFAA82D-8066-48D6-A001-B22252B37444}" uniqueName="PartNumber" name="Part Number">
      <xmlColumnPr mapId="53" xpath="/Capacitors_electrolytic/Part/PartNumber" xmlDataType="string"/>
    </tableColumn>
    <tableColumn id="2" xr3:uid="{FF4F36BB-F11C-486F-A5C4-983A2DB08A96}" uniqueName="Description" name="Description">
      <xmlColumnPr mapId="53" xpath="/Capacitors_electrolytic/Part/Description" xmlDataType="string"/>
    </tableColumn>
    <tableColumn id="3" xr3:uid="{BEC41446-468A-4A16-864F-519A30FFE72F}" uniqueName="Comment" name="Comment">
      <xmlColumnPr mapId="53" xpath="/Capacitors_electrolytic/Part/Comment" xmlDataType="string"/>
    </tableColumn>
    <tableColumn id="4" xr3:uid="{BEF68B8A-5D4E-47EC-B9BC-09552A03245D}" uniqueName="LibraryPath" name="Library Path">
      <xmlColumnPr mapId="53" xpath="/Capacitors_electrolytic/Part/LibraryPath" xmlDataType="string"/>
    </tableColumn>
    <tableColumn id="5" xr3:uid="{4F65182C-E2DD-4C3D-88A4-4D673DED6ECE}" uniqueName="LibraryRef" name="Library Ref">
      <xmlColumnPr mapId="53" xpath="/Capacitors_electrolytic/Part/LibraryRef" xmlDataType="string"/>
    </tableColumn>
    <tableColumn id="6" xr3:uid="{7F108627-2B41-49F3-B60F-3415F8305165}" uniqueName="Value" name="Value">
      <xmlColumnPr mapId="53" xpath="/Capacitors_electrolytic/Part/Value" xmlDataType="string"/>
    </tableColumn>
    <tableColumn id="7" xr3:uid="{C594C173-E647-4347-A3DD-237CA9CC8079}" uniqueName="Tolerance" name="Tolerance">
      <xmlColumnPr mapId="53" xpath="/Capacitors_electrolytic/Part/Tolerance" xmlDataType="double"/>
    </tableColumn>
    <tableColumn id="8" xr3:uid="{B132BA1A-1E4B-44F1-B154-69BDCAAB4976}" uniqueName="Voltage" name="Voltage (V)">
      <xmlColumnPr mapId="53" xpath="/Capacitors_electrolytic/Part/Voltage" xmlDataType="integer"/>
    </tableColumn>
    <tableColumn id="9" xr3:uid="{EC0DBD37-738F-4443-B182-2781C069F1F0}" uniqueName="Type" name="Type">
      <xmlColumnPr mapId="53" xpath="/Capacitors_electrolytic/Part/Type" xmlDataType="string"/>
    </tableColumn>
    <tableColumn id="10" xr3:uid="{6580EFD1-4616-4754-913D-A3A6B7955BB5}" uniqueName="FootprintPath1" name="Footprint Path 1">
      <xmlColumnPr mapId="53" xpath="/Capacitors_electrolytic/Part/FootprintPath1" xmlDataType="string"/>
    </tableColumn>
    <tableColumn id="11" xr3:uid="{A11C24B2-8680-4B23-9BF5-50D9BEDB20FA}" uniqueName="FootprintRef1" name="Footprint Ref 1">
      <xmlColumnPr mapId="53" xpath="/Capacitors_electrolytic/Part/FootprintRef1" xmlDataType="string"/>
    </tableColumn>
    <tableColumn id="12" xr3:uid="{3DF30B02-1BB3-45E8-9C1A-85C254C87AB9}" uniqueName="Capacity" name="Capacity (uF)">
      <xmlColumnPr mapId="53" xpath="/Capacitors_electrolytic/Part/Capacity" xmlDataType="double"/>
    </tableColumn>
    <tableColumn id="13" xr3:uid="{8232F98C-234A-48A8-99F4-12472173C323}" uniqueName="13" name="Footprint Path 2"/>
    <tableColumn id="14" xr3:uid="{0386C5B7-AA81-49BE-9A6A-CF882486AD69}" uniqueName="14" name="Footprint Ref 2"/>
    <tableColumn id="15" xr3:uid="{E8581AAE-5FA5-4D6E-8ED9-4E73C79F3A9E}" uniqueName="15" name="Datasheet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95ACB2B-3C85-4F71-84FF-CAC97F2B3EF2}" name="Таблица10" displayName="Таблица10" ref="A1:Q18" tableType="xml" totalsRowShown="0" headerRowDxfId="41" connectionId="9">
  <autoFilter ref="A1:Q18" xr:uid="{495ACB2B-3C85-4F71-84FF-CAC97F2B3EF2}"/>
  <tableColumns count="17">
    <tableColumn id="1" xr3:uid="{4F8F63B8-3A4B-4AE4-B421-1BAE93F6BD1F}" uniqueName="PartNumber" name="Part Number">
      <xmlColumnPr mapId="66" xpath="/Inductance/Part/PartNumber" xmlDataType="string"/>
    </tableColumn>
    <tableColumn id="2" xr3:uid="{F21E8DDA-9A5D-4FAB-8B15-416C8B37F128}" uniqueName="Description" name="Description">
      <xmlColumnPr mapId="66" xpath="/Inductance/Part/Description" xmlDataType="string"/>
    </tableColumn>
    <tableColumn id="3" xr3:uid="{31E5D42E-C1C1-47D6-BF83-ADB5E383E42F}" uniqueName="Comment" name="Comment">
      <calculatedColumnFormula>A2</calculatedColumnFormula>
      <xmlColumnPr mapId="66" xpath="/Inductance/Part/Comment" xmlDataType="string"/>
    </tableColumn>
    <tableColumn id="6" xr3:uid="{B20A2C26-0A57-4D17-B1C4-AE6EEC65742A}" uniqueName="FootprintPath1" name="Library Path" dataDxfId="40"/>
    <tableColumn id="7" xr3:uid="{49B409CD-94AC-4F2C-BC5E-E8FF519C8D6F}" uniqueName="FootprintRef1" name="Library Ref" dataDxfId="39"/>
    <tableColumn id="8" xr3:uid="{71017A8D-C83B-4D64-80AC-6C5EC84419D6}" uniqueName="FootprintPath1" name="Footprint Path 1" dataDxfId="38">
      <calculatedColumnFormula>CONCATENATE("Footprints\Inductance\",G2,".PcbLib")</calculatedColumnFormula>
      <xmlColumnPr mapId="66" xpath="/Inductance/Part/FootprintPath1" xmlDataType="string"/>
    </tableColumn>
    <tableColumn id="9" xr3:uid="{C86E75F1-D335-4444-9B57-0EA51020BBA8}" uniqueName="FootprintRef1" name="Footprint Ref 1" dataDxfId="37">
      <xmlColumnPr mapId="66" xpath="/Inductance/Part/FootprintRef1" xmlDataType="string"/>
    </tableColumn>
    <tableColumn id="10" xr3:uid="{14D45471-DB98-4B30-AE3F-A5F2151147AD}" uniqueName="FootprintPath2" name="Footprint Path 2" dataDxfId="36">
      <calculatedColumnFormula>CONCATENATE("Footprints\Inductance\",I2,".PcbLib")</calculatedColumnFormula>
      <xmlColumnPr mapId="66" xpath="/Inductance/Part/FootprintPath2" xmlDataType="string"/>
    </tableColumn>
    <tableColumn id="11" xr3:uid="{09835F57-BCA9-49C7-8953-8937D96DD0F8}" uniqueName="FootprintRef2" name="Footprint Ref 2" dataDxfId="35">
      <xmlColumnPr mapId="66" xpath="/Inductance/Part/FootprintRef2" xmlDataType="string"/>
    </tableColumn>
    <tableColumn id="12" xr3:uid="{32F2E3FF-9422-4CF5-B324-9B3A82F8F97B}" uniqueName="FootprintPath3" name="Footprint Path 3" dataDxfId="34">
      <calculatedColumnFormula>CONCATENATE("Footprints\Inductance\",K2,".PcbLib")</calculatedColumnFormula>
      <xmlColumnPr mapId="66" xpath="/Inductance/Part/FootprintPath3" xmlDataType="string"/>
    </tableColumn>
    <tableColumn id="13" xr3:uid="{0F00A487-9BBA-425A-B854-C2436CFC7F37}" uniqueName="FootprintRef3" name="Footprint Ref 3" dataDxfId="33">
      <xmlColumnPr mapId="66" xpath="/Inductance/Part/FootprintRef3" xmlDataType="string"/>
    </tableColumn>
    <tableColumn id="14" xr3:uid="{182C547A-FB6B-4C10-86F9-E53125E130E2}" uniqueName="FootprintPath4" name="Footprint Path 4" dataDxfId="32">
      <calculatedColumnFormula>CONCATENATE("Footprints\Inductance\",M2,".PcbLib")</calculatedColumnFormula>
      <xmlColumnPr mapId="66" xpath="/Inductance/Part/FootprintPath4" xmlDataType="string"/>
    </tableColumn>
    <tableColumn id="15" xr3:uid="{5FE1EE35-D929-4CA7-893F-0504DA489EBA}" uniqueName="FootprintRef4" name="Footprint Ref 4" dataDxfId="31">
      <xmlColumnPr mapId="66" xpath="/Inductance/Part/FootprintRef4" xmlDataType="string"/>
    </tableColumn>
    <tableColumn id="4" xr3:uid="{CA7AF69B-83D2-4752-8493-BAD0C62EE720}" uniqueName="Inductance" name="Inductance (μH)" dataDxfId="30">
      <xmlColumnPr mapId="66" xpath="/Inductance/Part/Inductance" xmlDataType="string"/>
    </tableColumn>
    <tableColumn id="5" xr3:uid="{C2963412-5B9C-4A2F-B88B-CC5D53C10CE2}" uniqueName="Current" name="Current (A)" dataDxfId="29">
      <xmlColumnPr mapId="66" xpath="/Inductance/Part/Current" xmlDataType="string"/>
    </tableColumn>
    <tableColumn id="16" xr3:uid="{CFC80C7F-7597-4120-91B5-A73734ECE731}" uniqueName="Value" name="Value" dataDxfId="28">
      <calculatedColumnFormula>N2</calculatedColumnFormula>
      <xmlColumnPr mapId="66" xpath="/Inductance/Part/Value" xmlDataType="string"/>
    </tableColumn>
    <tableColumn id="17" xr3:uid="{DB18D733-DCBB-42CD-A7F1-D6C243B2530A}" uniqueName="17" name="Datasheet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523FF41B-502F-41EE-9522-BC048BB41D0B}" name="Таблица1014" displayName="Таблица1014" ref="A1:L2" tableType="xml" totalsRowShown="0" headerRowDxfId="27" connectionId="17">
  <autoFilter ref="A1:L2" xr:uid="{523FF41B-502F-41EE-9522-BC048BB41D0B}"/>
  <tableColumns count="12">
    <tableColumn id="1" xr3:uid="{2E8FD8B9-A9A7-4EE2-8B12-737F5906881B}" uniqueName="PartNumber" name="Part Number">
      <xmlColumnPr mapId="81" xpath="/Thyristors/Part/PartNumber" xmlDataType="string"/>
    </tableColumn>
    <tableColumn id="2" xr3:uid="{81A2FB66-A866-48A0-AF62-BA15825172EE}" uniqueName="Description" name="Description">
      <xmlColumnPr mapId="81" xpath="/Thyristors/Part/Description" xmlDataType="string"/>
    </tableColumn>
    <tableColumn id="3" xr3:uid="{BD3B658D-A432-477E-8803-2863DDE2C8AF}" uniqueName="Comment" name="Comment">
      <calculatedColumnFormula>A2</calculatedColumnFormula>
      <xmlColumnPr mapId="81" xpath="/Thyristors/Part/Comment" xmlDataType="string"/>
    </tableColumn>
    <tableColumn id="6" xr3:uid="{029C3C10-89D8-4F79-A0A7-B58EBC3A8DA2}" uniqueName="LibraryPath" name="Library Path" dataDxfId="26">
      <xmlColumnPr mapId="81" xpath="/Thyristors/Part/LibraryPath" xmlDataType="string"/>
    </tableColumn>
    <tableColumn id="7" xr3:uid="{80B3F569-C3F5-47F7-8D7B-28E201DA2617}" uniqueName="LibraryRef" name="Library Ref" dataDxfId="25">
      <xmlColumnPr mapId="81" xpath="/Thyristors/Part/LibraryRef" xmlDataType="string"/>
    </tableColumn>
    <tableColumn id="8" xr3:uid="{89EB4D75-A298-4A70-95A0-C55A38516DD5}" uniqueName="FootprintPath1" name="Footprint Path 1" dataDxfId="24">
      <calculatedColumnFormula>CONCATENATE("Footprints\",G2,".PcbLib")</calculatedColumnFormula>
      <xmlColumnPr mapId="81" xpath="/Thyristors/Part/FootprintPath1" xmlDataType="string"/>
    </tableColumn>
    <tableColumn id="9" xr3:uid="{439415E8-61F6-45EF-9A19-926E9A6CD888}" uniqueName="FootprintRef1" name="Footprint Ref 1" dataDxfId="23">
      <xmlColumnPr mapId="81" xpath="/Thyristors/Part/FootprintRef1" xmlDataType="string"/>
    </tableColumn>
    <tableColumn id="10" xr3:uid="{9EE91FEA-9669-439B-8C30-DE7C5C8EDEAC}" uniqueName="FootprintPath2" name="Footprint Path 2" dataDxfId="22">
      <calculatedColumnFormula>CONCATENATE("Footprints\Inductance\",I2,".PcbLib")</calculatedColumnFormula>
      <xmlColumnPr mapId="81" xpath="/Thyristors/Part/FootprintPath2" xmlDataType="string"/>
    </tableColumn>
    <tableColumn id="11" xr3:uid="{A35CF89F-5150-4EF4-B739-74350667EADC}" uniqueName="FootprintRef2" name="Footprint Ref 2" dataDxfId="21">
      <xmlColumnPr mapId="81" xpath="/Thyristors/Part/FootprintRef2" xmlDataType="string"/>
    </tableColumn>
    <tableColumn id="12" xr3:uid="{FBA8999D-4F5F-4375-B94D-80D73962B6E9}" uniqueName="Voltage" name="Напряжение" dataDxfId="20">
      <calculatedColumnFormula>CONCATENATE("Footprints\Inductance\",K2,".PcbLib")</calculatedColumnFormula>
      <xmlColumnPr mapId="81" xpath="/Thyristors/Part/Voltage" xmlDataType="string"/>
    </tableColumn>
    <tableColumn id="13" xr3:uid="{0950CE86-337E-4242-A1A5-09226B830B8C}" uniqueName="Current" name="Ток макс" dataDxfId="19">
      <xmlColumnPr mapId="81" xpath="/Thyristors/Part/Current" xmlDataType="string"/>
    </tableColumn>
    <tableColumn id="14" xr3:uid="{DB8175AF-F0C6-47C1-8F0E-9BE83B53E316}" uniqueName="Power" name="Datasheet" dataDxfId="18">
      <calculatedColumnFormula>CONCATENATE("Footprints\Inductance\",M2,".PcbLib")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71F457A-0F82-4CD6-80C4-65E86DBEF353}" name="Таблица8" displayName="Таблица8" ref="A1:L16" tableType="xml" totalsRowShown="0" headerRowDxfId="17" dataDxfId="16" connectionId="11">
  <autoFilter ref="A1:L16" xr:uid="{071F457A-0F82-4CD6-80C4-65E86DBEF353}"/>
  <tableColumns count="12">
    <tableColumn id="1" xr3:uid="{AE9DCB61-0A9B-41D9-AC76-56D9ED6F9D71}" uniqueName="PartNumber" name="Part Number" dataDxfId="15">
      <xmlColumnPr mapId="73" xpath="/Other/Part/PartNumber" xmlDataType="string"/>
    </tableColumn>
    <tableColumn id="2" xr3:uid="{8662C04B-9C7C-48A2-ACC7-0FAAF1F41588}" uniqueName="Description" name="Description" dataDxfId="14">
      <xmlColumnPr mapId="73" xpath="/Other/Part/Description" xmlDataType="string"/>
    </tableColumn>
    <tableColumn id="3" xr3:uid="{7CF3CA75-1923-4F19-999C-14E1807BD3F5}" uniqueName="Comment" name="Comment" dataDxfId="13">
      <calculatedColumnFormula>A2</calculatedColumnFormula>
      <xmlColumnPr mapId="73" xpath="/Other/Part/Comment" xmlDataType="string"/>
    </tableColumn>
    <tableColumn id="4" xr3:uid="{AE8575DE-9481-4BD2-8D67-971D478B86A8}" uniqueName="LibraryPath" name="Library Path" dataDxfId="12">
      <calculatedColumnFormula>CONCATENATE("Schematic\",A2,".SchLib")</calculatedColumnFormula>
      <xmlColumnPr mapId="73" xpath="/Other/Part/LibraryPath" xmlDataType="string"/>
    </tableColumn>
    <tableColumn id="5" xr3:uid="{DEAA0346-D720-43E0-9F6E-0E8FAE6BA472}" uniqueName="LibraryRef" name="Library Ref" dataDxfId="11">
      <calculatedColumnFormula>A2</calculatedColumnFormula>
      <xmlColumnPr mapId="73" xpath="/Other/Part/LibraryRef" xmlDataType="string"/>
    </tableColumn>
    <tableColumn id="6" xr3:uid="{CA687DBF-73CB-4644-B24C-5B51FA2C0FDE}" uniqueName="FootprintPath1" name="Footprint Path 1" dataDxfId="10">
      <xmlColumnPr mapId="73" xpath="/Other/Part/FootprintPath1" xmlDataType="string"/>
    </tableColumn>
    <tableColumn id="7" xr3:uid="{78484622-732C-4ACF-9F43-B1AC2CDD73FA}" uniqueName="FootprintRef1" name="Footprint Ref 1" dataDxfId="9">
      <xmlColumnPr mapId="73" xpath="/Other/Part/FootprintRef1" xmlDataType="string"/>
    </tableColumn>
    <tableColumn id="8" xr3:uid="{9B1D9BE1-3884-44C5-88CA-6A2CCE154C24}" uniqueName="FootprintPath2" name="Footprint Path 2" dataDxfId="8">
      <xmlColumnPr mapId="73" xpath="/Other/Part/FootprintPath2" xmlDataType="string"/>
    </tableColumn>
    <tableColumn id="9" xr3:uid="{41DD9B28-B52E-42E2-980C-18F4A1B9EC96}" uniqueName="FootprintRef2" name="Footprint Ref 2" dataDxfId="7">
      <xmlColumnPr mapId="73" xpath="/Other/Part/FootprintRef2" xmlDataType="string"/>
    </tableColumn>
    <tableColumn id="10" xr3:uid="{93223D18-9C09-4B7B-8F23-E7B288A9B36F}" uniqueName="FootprintPath3" name="Footprint Path 3" dataDxfId="6">
      <calculatedColumnFormula>CONCATENATE("Footprints\",K2,".PcbLib")</calculatedColumnFormula>
      <xmlColumnPr mapId="73" xpath="/Other/Part/FootprintPath3" xmlDataType="string"/>
    </tableColumn>
    <tableColumn id="11" xr3:uid="{9E23D293-059B-465C-B84D-2C3996CC2902}" uniqueName="FootprintRef3" name="Footprint Ref 3" dataDxfId="5">
      <xmlColumnPr mapId="73" xpath="/Other/Part/FootprintRef3" xmlDataType="string"/>
    </tableColumn>
    <tableColumn id="12" xr3:uid="{7C7EE8D3-0879-4E51-BE9D-9FFCF5159E00}" uniqueName="12" name="Datasheet" dataDxfId="4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A41BD32-B698-4872-A86C-4CAC56B9AD83}" name="Таблица9" displayName="Таблица9" ref="A1:K53" tableType="xml" totalsRowShown="0" headerRowDxfId="3" connectionId="7">
  <autoFilter ref="A1:K53" xr:uid="{1A41BD32-B698-4872-A86C-4CAC56B9AD83}"/>
  <tableColumns count="11">
    <tableColumn id="1" xr3:uid="{5E853534-9C69-46FC-A2C5-4B246BD0992E}" uniqueName="PartNumber" name="Part Number">
      <xmlColumnPr mapId="12" xpath="/Connectors/Part/PartNumber" xmlDataType="string"/>
    </tableColumn>
    <tableColumn id="2" xr3:uid="{9FE885CC-1744-4C1C-A2CD-CD274044F84E}" uniqueName="Description" name="Description">
      <xmlColumnPr mapId="12" xpath="/Connectors/Part/Description" xmlDataType="string"/>
    </tableColumn>
    <tableColumn id="3" xr3:uid="{B62F7FA5-31CE-42B0-98F7-AB6EDEF1D975}" uniqueName="Comment" name="Comment" dataDxfId="2">
      <xmlColumnPr mapId="12" xpath="/Connectors/Part/Comment" xmlDataType="string"/>
    </tableColumn>
    <tableColumn id="4" xr3:uid="{380EC291-D984-459A-9EA9-43539735BE21}" uniqueName="LibraryPath" name="Library Path" dataDxfId="1">
      <xmlColumnPr mapId="12" xpath="/Connectors/Part/LibraryPath" xmlDataType="string"/>
    </tableColumn>
    <tableColumn id="5" xr3:uid="{43D9150A-4AEB-4A49-B4F9-D5A0C121AEE7}" uniqueName="LibraryRef" name="Library Ref">
      <xmlColumnPr mapId="12" xpath="/Connectors/Part/LibraryRef" xmlDataType="string"/>
    </tableColumn>
    <tableColumn id="6" xr3:uid="{AFA88BAC-F0F2-4C7E-9BD7-DEA8B99C1003}" uniqueName="FootprintPath1" name="Footprint Path 1" dataDxfId="0">
      <xmlColumnPr mapId="12" xpath="/Connectors/Part/FootprintPath1" xmlDataType="string"/>
    </tableColumn>
    <tableColumn id="7" xr3:uid="{2C166BC8-6FB5-4C2F-BF98-47EA0AF5F6A2}" uniqueName="FootprintRef1" name="Footprint Ref 1">
      <xmlColumnPr mapId="12" xpath="/Connectors/Part/FootprintRef1" xmlDataType="string"/>
    </tableColumn>
    <tableColumn id="8" xr3:uid="{6506E5E1-BD75-4018-BC77-56F1247393F0}" uniqueName="8" name="Footprint Path 2"/>
    <tableColumn id="9" xr3:uid="{AC585549-0EAD-436F-9DD9-F86F3A258836}" uniqueName="9" name="Footprint Ref 2"/>
    <tableColumn id="10" xr3:uid="{AB591CA9-4BFD-4ADE-8457-4E30C50A63B3}" uniqueName="10" name="Datasheet"/>
    <tableColumn id="11" xr3:uid="{BD4626D3-A995-48DD-8E72-1BEF4055339D}" uniqueName="11" name="System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hyperlink" Target="https://aliexpress.ru/item/1005005620368789.html?sku_id=12000033777723210&amp;srcSns=sns_More&amp;businessType=ProductDetail&amp;spreadType=socialShare&amp;tt=MG&amp;utm_medium=sharing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T49"/>
  <sheetViews>
    <sheetView tabSelected="1" topLeftCell="C31" zoomScale="85" zoomScaleNormal="85" workbookViewId="0">
      <selection activeCell="F55" sqref="F55"/>
    </sheetView>
  </sheetViews>
  <sheetFormatPr defaultRowHeight="14.4" x14ac:dyDescent="0.3"/>
  <cols>
    <col min="1" max="1" width="21.44140625" bestFit="1" customWidth="1"/>
    <col min="2" max="2" width="103.109375" bestFit="1" customWidth="1"/>
    <col min="3" max="3" width="21.44140625" bestFit="1" customWidth="1"/>
    <col min="4" max="4" width="38" bestFit="1" customWidth="1"/>
    <col min="5" max="5" width="21.44140625" bestFit="1" customWidth="1"/>
    <col min="6" max="6" width="38.109375" bestFit="1" customWidth="1"/>
    <col min="7" max="7" width="21.44140625" bestFit="1" customWidth="1"/>
    <col min="8" max="8" width="22.88671875" bestFit="1" customWidth="1"/>
    <col min="9" max="9" width="18.109375" bestFit="1" customWidth="1"/>
    <col min="10" max="10" width="16.44140625" customWidth="1"/>
    <col min="11" max="11" width="14.5546875" customWidth="1"/>
    <col min="12" max="12" width="13.10937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48</v>
      </c>
      <c r="B2" s="2" t="s">
        <v>49</v>
      </c>
      <c r="C2" s="2" t="str">
        <f>A2</f>
        <v>STM32F407VGT6</v>
      </c>
      <c r="D2" s="2" t="str">
        <f>CONCATENATE("Schematic\",A2,".SchLib")</f>
        <v>Schematic\STM32F407VGT6.SchLib</v>
      </c>
      <c r="E2" s="2" t="str">
        <f>A2</f>
        <v>STM32F407VGT6</v>
      </c>
      <c r="F2" s="2" t="str">
        <f>CONCATENATE("Footprints\",G2,".PcbLib")</f>
        <v>Footprints\LQFP100.PcbLib</v>
      </c>
      <c r="G2" s="2" t="s">
        <v>53</v>
      </c>
    </row>
    <row r="3" spans="1:20" x14ac:dyDescent="0.3">
      <c r="A3" s="2" t="s">
        <v>50</v>
      </c>
      <c r="B3" s="2" t="s">
        <v>51</v>
      </c>
      <c r="C3" s="2" t="str">
        <f>A3</f>
        <v>USBLC6-4</v>
      </c>
      <c r="D3" s="2" t="str">
        <f>CONCATENATE("Schematic\",A3,".SchLib")</f>
        <v>Schematic\USBLC6-4.SchLib</v>
      </c>
      <c r="E3" s="2" t="str">
        <f>A3</f>
        <v>USBLC6-4</v>
      </c>
      <c r="F3" s="2" t="str">
        <f>CONCATENATE("Footprints\",G3,".PcbLib")</f>
        <v>Footprints\SOT23-6.PcbLib</v>
      </c>
      <c r="G3" s="2" t="s">
        <v>52</v>
      </c>
    </row>
    <row r="4" spans="1:20" x14ac:dyDescent="0.3">
      <c r="A4" s="2" t="s">
        <v>76</v>
      </c>
      <c r="B4" s="2" t="s">
        <v>77</v>
      </c>
      <c r="C4" s="2" t="str">
        <f>A4</f>
        <v>MAX485CSA</v>
      </c>
      <c r="D4" s="2" t="str">
        <f>CONCATENATE("Schematic\",A4,".SchLib")</f>
        <v>Schematic\MAX485CSA.SchLib</v>
      </c>
      <c r="E4" s="2" t="str">
        <f>A4</f>
        <v>MAX485CSA</v>
      </c>
      <c r="F4" s="2" t="str">
        <f>CONCATENATE("Footprints\",G4,".PcbLib")</f>
        <v>Footprints\SOIC-8.PcbLib</v>
      </c>
      <c r="G4" s="2" t="s">
        <v>78</v>
      </c>
    </row>
    <row r="5" spans="1:20" x14ac:dyDescent="0.3">
      <c r="A5" t="s">
        <v>89</v>
      </c>
      <c r="B5" t="s">
        <v>49</v>
      </c>
      <c r="C5" s="2" t="str">
        <f t="shared" ref="C5:C10" si="0">A5</f>
        <v>STM32F103C8T6</v>
      </c>
      <c r="D5" t="str">
        <f t="shared" ref="D5:D10" si="1">CONCATENATE("Schematic\",A5,".SchLib")</f>
        <v>Schematic\STM32F103C8T6.SchLib</v>
      </c>
      <c r="E5" t="str">
        <f t="shared" ref="E5:E10" si="2">A5</f>
        <v>STM32F103C8T6</v>
      </c>
      <c r="F5" t="str">
        <f t="shared" ref="F5:F11" si="3">CONCATENATE("Footprints\",G5,".PcbLib")</f>
        <v>Footprints\LQFP48.PcbLib</v>
      </c>
      <c r="G5" t="s">
        <v>90</v>
      </c>
    </row>
    <row r="6" spans="1:20" x14ac:dyDescent="0.3">
      <c r="A6" t="s">
        <v>91</v>
      </c>
      <c r="B6" t="s">
        <v>92</v>
      </c>
      <c r="C6" s="2" t="str">
        <f t="shared" si="0"/>
        <v>LM2594HVM-ADJ</v>
      </c>
      <c r="D6" t="str">
        <f t="shared" si="1"/>
        <v>Schematic\LM2594HVM-ADJ.SchLib</v>
      </c>
      <c r="E6" t="str">
        <f t="shared" si="2"/>
        <v>LM2594HVM-ADJ</v>
      </c>
      <c r="F6" t="str">
        <f t="shared" si="3"/>
        <v>Footprints\SOIC-8.PcbLib</v>
      </c>
      <c r="G6" t="s">
        <v>78</v>
      </c>
    </row>
    <row r="7" spans="1:20" x14ac:dyDescent="0.3">
      <c r="A7" t="s">
        <v>93</v>
      </c>
      <c r="B7" t="s">
        <v>94</v>
      </c>
      <c r="C7" s="2" t="str">
        <f t="shared" si="0"/>
        <v>LD1117S33CTR</v>
      </c>
      <c r="D7" t="str">
        <f t="shared" si="1"/>
        <v>Schematic\LD1117S33CTR.SchLib</v>
      </c>
      <c r="E7" t="str">
        <f t="shared" si="2"/>
        <v>LD1117S33CTR</v>
      </c>
      <c r="F7" t="str">
        <f t="shared" si="3"/>
        <v>Footprints\SOT223.PcbLib</v>
      </c>
      <c r="G7" t="s">
        <v>95</v>
      </c>
    </row>
    <row r="8" spans="1:20" x14ac:dyDescent="0.3">
      <c r="A8" t="s">
        <v>96</v>
      </c>
      <c r="B8" t="s">
        <v>97</v>
      </c>
      <c r="C8" s="2" t="str">
        <f t="shared" si="0"/>
        <v>CD4050B</v>
      </c>
      <c r="D8" t="str">
        <f t="shared" si="1"/>
        <v>Schematic\CD4050B.SchLib</v>
      </c>
      <c r="E8" t="str">
        <f t="shared" si="2"/>
        <v>CD4050B</v>
      </c>
      <c r="F8" t="str">
        <f>CONCATENATE("Footprints\",G8,".PcbLib")</f>
        <v>Footprints\SOIC-16.PcbLib</v>
      </c>
      <c r="G8" t="s">
        <v>375</v>
      </c>
      <c r="H8" t="s">
        <v>974</v>
      </c>
      <c r="I8" t="s">
        <v>973</v>
      </c>
      <c r="J8" t="s">
        <v>974</v>
      </c>
      <c r="K8" t="s">
        <v>1040</v>
      </c>
    </row>
    <row r="9" spans="1:20" x14ac:dyDescent="0.3">
      <c r="A9" t="s">
        <v>98</v>
      </c>
      <c r="B9" t="s">
        <v>99</v>
      </c>
      <c r="C9" s="2" t="str">
        <f t="shared" si="0"/>
        <v>ADM2483BRWZ</v>
      </c>
      <c r="D9" t="str">
        <f t="shared" si="1"/>
        <v>Schematic\ADM2483BRWZ.SchLib</v>
      </c>
      <c r="E9" t="str">
        <f t="shared" si="2"/>
        <v>ADM2483BRWZ</v>
      </c>
      <c r="F9" t="str">
        <f t="shared" si="3"/>
        <v>Footprints\SOIC-16W.PcbLib</v>
      </c>
      <c r="G9" t="s">
        <v>100</v>
      </c>
    </row>
    <row r="10" spans="1:20" x14ac:dyDescent="0.3">
      <c r="A10" t="s">
        <v>101</v>
      </c>
      <c r="B10" t="s">
        <v>94</v>
      </c>
      <c r="C10" s="2" t="str">
        <f t="shared" si="0"/>
        <v>LD1117S50CTR</v>
      </c>
      <c r="D10" t="str">
        <f t="shared" si="1"/>
        <v>Schematic\LD1117S50CTR.SchLib</v>
      </c>
      <c r="E10" t="str">
        <f t="shared" si="2"/>
        <v>LD1117S50CTR</v>
      </c>
      <c r="F10" t="str">
        <f t="shared" si="3"/>
        <v>Footprints\SOT223.PcbLib</v>
      </c>
      <c r="G10" t="s">
        <v>95</v>
      </c>
    </row>
    <row r="11" spans="1:20" x14ac:dyDescent="0.3">
      <c r="A11" t="s">
        <v>322</v>
      </c>
      <c r="B11" t="s">
        <v>323</v>
      </c>
      <c r="C11" s="2" t="str">
        <f>A11</f>
        <v>VND5025</v>
      </c>
      <c r="D11" t="str">
        <f>CONCATENATE("Schematic\",A11,".SchLib")</f>
        <v>Schematic\VND5025.SchLib</v>
      </c>
      <c r="E11" t="str">
        <f>A11</f>
        <v>VND5025</v>
      </c>
      <c r="F11" t="str">
        <f t="shared" si="3"/>
        <v>Footprints\POWERSSO24.PcbLib</v>
      </c>
      <c r="G11" t="s">
        <v>324</v>
      </c>
    </row>
    <row r="12" spans="1:20" x14ac:dyDescent="0.3">
      <c r="A12" t="s">
        <v>325</v>
      </c>
      <c r="B12" t="s">
        <v>326</v>
      </c>
      <c r="C12" s="2" t="str">
        <f>A12</f>
        <v>SN74LVC1G17DCKR</v>
      </c>
      <c r="D12" t="str">
        <f>CONCATENATE("Schematic\",A12,".SchLib")</f>
        <v>Schematic\SN74LVC1G17DCKR.SchLib</v>
      </c>
      <c r="E12" t="str">
        <f>A12</f>
        <v>SN74LVC1G17DCKR</v>
      </c>
      <c r="F12" t="str">
        <f>CONCATENATE("Footprints\",G12,".PcbLib")</f>
        <v>Footprints\SC-70-5.PcbLib</v>
      </c>
      <c r="G12" t="s">
        <v>1120</v>
      </c>
    </row>
    <row r="13" spans="1:20" x14ac:dyDescent="0.3">
      <c r="A13" t="s">
        <v>327</v>
      </c>
      <c r="B13" t="s">
        <v>328</v>
      </c>
      <c r="C13" s="2" t="str">
        <f>A13</f>
        <v>74LVC1G74DP,125</v>
      </c>
      <c r="D13" t="str">
        <f>CONCATENATE("Schematic\",A13,".SchLib")</f>
        <v>Schematic\74LVC1G74DP,125.SchLib</v>
      </c>
      <c r="E13" t="str">
        <f>A13</f>
        <v>74LVC1G74DP,125</v>
      </c>
      <c r="F13" t="str">
        <f>CONCATENATE("Footprints\",G13,".PcbLib")</f>
        <v>Footprints\SOP65P400X110-8N.PcbLib</v>
      </c>
      <c r="G13" t="s">
        <v>329</v>
      </c>
    </row>
    <row r="14" spans="1:20" x14ac:dyDescent="0.3">
      <c r="A14" t="s">
        <v>330</v>
      </c>
      <c r="B14" t="s">
        <v>331</v>
      </c>
      <c r="C14" s="2" t="s">
        <v>330</v>
      </c>
      <c r="D14" t="str">
        <f>CONCATENATE("Schematic\",A14,".SchLib")</f>
        <v>Schematic\RT8279GSP.SchLib</v>
      </c>
      <c r="E14" t="str">
        <f>A14</f>
        <v>RT8279GSP</v>
      </c>
      <c r="F14" t="str">
        <f>CONCATENATE("Footprints\",G14,".PcbLib")</f>
        <v>Footprints\8SOP(Exposed_Pad).PcbLib</v>
      </c>
      <c r="G14" t="s">
        <v>332</v>
      </c>
    </row>
    <row r="15" spans="1:20" x14ac:dyDescent="0.3">
      <c r="A15" t="s">
        <v>843</v>
      </c>
      <c r="B15" t="s">
        <v>844</v>
      </c>
      <c r="C15" s="2" t="str">
        <f>A15</f>
        <v>TP4056</v>
      </c>
      <c r="D15" t="str">
        <f t="shared" ref="D15:D16" si="4">CONCATENATE("Schematic\",A15,".SchLib")</f>
        <v>Schematic\TP4056.SchLib</v>
      </c>
      <c r="E15" t="str">
        <f t="shared" ref="E15:E16" si="5">A15</f>
        <v>TP4056</v>
      </c>
      <c r="F15" t="str">
        <f t="shared" ref="F15:F17" si="6">CONCATENATE("Footprints\",G15,".PcbLib")</f>
        <v>Footprints\8SOP(Exposed_Pad).PcbLib</v>
      </c>
      <c r="G15" t="s">
        <v>332</v>
      </c>
    </row>
    <row r="16" spans="1:20" x14ac:dyDescent="0.3">
      <c r="A16" t="s">
        <v>845</v>
      </c>
      <c r="B16" t="s">
        <v>846</v>
      </c>
      <c r="C16" s="2" t="str">
        <f>A16</f>
        <v>LM2623AMMX</v>
      </c>
      <c r="D16" t="str">
        <f t="shared" si="4"/>
        <v>Schematic\LM2623AMMX.SchLib</v>
      </c>
      <c r="E16" t="str">
        <f t="shared" si="5"/>
        <v>LM2623AMMX</v>
      </c>
      <c r="F16" t="str">
        <f t="shared" si="6"/>
        <v>Footprints\VSSOP-8.PcbLib</v>
      </c>
      <c r="G16" t="s">
        <v>847</v>
      </c>
    </row>
    <row r="17" spans="1:9" x14ac:dyDescent="0.3">
      <c r="A17" t="s">
        <v>848</v>
      </c>
      <c r="B17" t="s">
        <v>849</v>
      </c>
      <c r="C17" s="2" t="str">
        <f>A17</f>
        <v>DW01</v>
      </c>
      <c r="D17" t="str">
        <f>CONCATENATE("Schematic\",A17,".SchLib")</f>
        <v>Schematic\DW01.SchLib</v>
      </c>
      <c r="E17" t="str">
        <f>A17</f>
        <v>DW01</v>
      </c>
      <c r="F17" t="str">
        <f t="shared" si="6"/>
        <v>Footprints\SOT23-6.PcbLib</v>
      </c>
      <c r="G17" t="s">
        <v>52</v>
      </c>
    </row>
    <row r="18" spans="1:9" x14ac:dyDescent="0.3">
      <c r="A18" t="s">
        <v>870</v>
      </c>
      <c r="B18" t="s">
        <v>871</v>
      </c>
      <c r="C18" s="2" t="str">
        <f>A18</f>
        <v>arduino_nano</v>
      </c>
      <c r="D18" t="str">
        <f>CONCATENATE("Schematic\",A18,".SchLib")</f>
        <v>Schematic\arduino_nano.SchLib</v>
      </c>
      <c r="E18" t="str">
        <f>A18</f>
        <v>arduino_nano</v>
      </c>
      <c r="F18" t="str">
        <f>CONCATENATE("Footprints\",G18,".PcbLib")</f>
        <v>Footprints\arduino_nano.PcbLib</v>
      </c>
      <c r="G18" t="s">
        <v>870</v>
      </c>
    </row>
    <row r="19" spans="1:9" x14ac:dyDescent="0.3">
      <c r="A19" t="s">
        <v>872</v>
      </c>
      <c r="B19" t="s">
        <v>873</v>
      </c>
      <c r="C19" s="2" t="str">
        <f>A19</f>
        <v>TPS61088</v>
      </c>
      <c r="D19" t="str">
        <f>CONCATENATE("Schematic\",A19,".SchLib")</f>
        <v>Schematic\TPS61088.SchLib</v>
      </c>
      <c r="E19" t="str">
        <f>A19</f>
        <v>TPS61088</v>
      </c>
      <c r="F19" t="str">
        <f>CONCATENATE("Footprints\",G19,".PcbLib")</f>
        <v>Footprints\VQFN-RHL.PcbLib</v>
      </c>
      <c r="G19" t="s">
        <v>874</v>
      </c>
    </row>
    <row r="20" spans="1:9" x14ac:dyDescent="0.3">
      <c r="A20" s="12" t="s">
        <v>875</v>
      </c>
      <c r="B20" t="s">
        <v>876</v>
      </c>
      <c r="C20" s="2" t="str">
        <f t="shared" ref="C20" si="7">A20</f>
        <v>RT8509A</v>
      </c>
      <c r="D20" t="str">
        <f t="shared" ref="D20" si="8">CONCATENATE("Schematic\",A20,".SchLib")</f>
        <v>Schematic\RT8509A.SchLib</v>
      </c>
      <c r="E20" t="str">
        <f t="shared" ref="E20" si="9">A20</f>
        <v>RT8509A</v>
      </c>
      <c r="F20" t="str">
        <f t="shared" ref="F20" si="10">CONCATENATE("Footprints\",G20,".PcbLib")</f>
        <v>Footprints\WDFN5x5-12.PcbLib</v>
      </c>
      <c r="G20" t="s">
        <v>877</v>
      </c>
    </row>
    <row r="21" spans="1:9" x14ac:dyDescent="0.3">
      <c r="A21" t="s">
        <v>885</v>
      </c>
      <c r="B21" t="s">
        <v>886</v>
      </c>
      <c r="C21" s="2" t="s">
        <v>885</v>
      </c>
      <c r="D21" t="str">
        <f>CONCATENATE("Schematic\",A21,".SchLib")</f>
        <v>Schematic\VN7140AS.SchLib</v>
      </c>
      <c r="E21" t="str">
        <f>A21</f>
        <v>VN7140AS</v>
      </c>
      <c r="F21" t="str">
        <f>CONCATENATE("Footprints\",G21,".PcbLib")</f>
        <v>Footprints\SOP8.PcbLib</v>
      </c>
      <c r="G21" t="s">
        <v>864</v>
      </c>
    </row>
    <row r="22" spans="1:9" x14ac:dyDescent="0.3">
      <c r="A22" t="s">
        <v>899</v>
      </c>
      <c r="B22" t="s">
        <v>900</v>
      </c>
      <c r="C22" s="2" t="str">
        <f>A22</f>
        <v>74HC4051PW,118</v>
      </c>
      <c r="D22" t="str">
        <f>CONCATENATE("Schematic\",A22,".SchLib")</f>
        <v>Schematic\74HC4051PW,118.SchLib</v>
      </c>
      <c r="E22" t="str">
        <f>A22</f>
        <v>74HC4051PW,118</v>
      </c>
      <c r="F22" t="str">
        <f>CONCATENATE("Footprints\",G22,".PcbLib")</f>
        <v>Footprints\TSSOP-16.PcbLib</v>
      </c>
      <c r="G22" t="s">
        <v>898</v>
      </c>
    </row>
    <row r="23" spans="1:9" x14ac:dyDescent="0.3">
      <c r="A23" t="s">
        <v>903</v>
      </c>
      <c r="B23" t="s">
        <v>904</v>
      </c>
      <c r="C23" s="2" t="str">
        <f>A23</f>
        <v>sim800l</v>
      </c>
      <c r="D23" t="str">
        <f>CONCATENATE("Schematic\",A23,".SchLib")</f>
        <v>Schematic\sim800l.SchLib</v>
      </c>
      <c r="E23" t="str">
        <f>A23</f>
        <v>sim800l</v>
      </c>
      <c r="F23" t="str">
        <f>CONCATENATE("Footprints\",G23,".PcbLib")</f>
        <v>Footprints\sim800l.PcbLib</v>
      </c>
      <c r="G23" t="s">
        <v>903</v>
      </c>
    </row>
    <row r="24" spans="1:9" x14ac:dyDescent="0.3">
      <c r="A24" t="s">
        <v>920</v>
      </c>
      <c r="B24" t="s">
        <v>922</v>
      </c>
      <c r="C24" s="2" t="str">
        <f>A24</f>
        <v>74HC139D,653</v>
      </c>
      <c r="D24" t="str">
        <f>CONCATENATE("Schematic\",A24,".SchLib")</f>
        <v>Schematic\74HC139D,653.SchLib</v>
      </c>
      <c r="E24" t="str">
        <f>A24</f>
        <v>74HC139D,653</v>
      </c>
      <c r="F24" t="str">
        <f>CONCATENATE("Footprints\",G24,".PcbLib")</f>
        <v>Footprints\SOIC-16.PcbLib</v>
      </c>
      <c r="G24" t="s">
        <v>375</v>
      </c>
    </row>
    <row r="25" spans="1:9" x14ac:dyDescent="0.3">
      <c r="A25" t="s">
        <v>921</v>
      </c>
      <c r="B25" t="s">
        <v>923</v>
      </c>
      <c r="C25" s="2" t="str">
        <f>A25</f>
        <v>CD4555BM</v>
      </c>
      <c r="D25" t="str">
        <f>CONCATENATE("Schematic\",A25,".SchLib")</f>
        <v>Schematic\CD4555BM.SchLib</v>
      </c>
      <c r="E25" t="str">
        <f>A25</f>
        <v>CD4555BM</v>
      </c>
      <c r="F25" t="str">
        <f>CONCATENATE("Footprints\",G25,".PcbLib")</f>
        <v>Footprints\SOIC-16.PcbLib</v>
      </c>
      <c r="G25" t="s">
        <v>375</v>
      </c>
    </row>
    <row r="26" spans="1:9" x14ac:dyDescent="0.3">
      <c r="A26" t="s">
        <v>924</v>
      </c>
      <c r="B26" t="s">
        <v>925</v>
      </c>
      <c r="C26" s="2" t="s">
        <v>924</v>
      </c>
      <c r="D26" t="s">
        <v>926</v>
      </c>
      <c r="E26" t="s">
        <v>924</v>
      </c>
      <c r="F26" t="s">
        <v>927</v>
      </c>
      <c r="G26" t="s">
        <v>375</v>
      </c>
    </row>
    <row r="27" spans="1:9" x14ac:dyDescent="0.3">
      <c r="A27" t="s">
        <v>951</v>
      </c>
      <c r="B27" t="s">
        <v>952</v>
      </c>
      <c r="C27" s="2" t="str">
        <f t="shared" ref="C27:C32" si="11">A27</f>
        <v>MT3608</v>
      </c>
      <c r="D27" t="str">
        <f t="shared" ref="D27:D32" si="12">CONCATENATE("Schematic\",A27,".SchLib")</f>
        <v>Schematic\MT3608.SchLib</v>
      </c>
      <c r="E27" t="str">
        <f t="shared" ref="E27:E32" si="13">A27</f>
        <v>MT3608</v>
      </c>
      <c r="F27" t="str">
        <f>CONCATENATE("Footprints\",G27,".PcbLib")</f>
        <v>Footprints\SOT23-6.PcbLib</v>
      </c>
      <c r="G27" t="s">
        <v>52</v>
      </c>
    </row>
    <row r="28" spans="1:9" x14ac:dyDescent="0.3">
      <c r="A28" t="s">
        <v>969</v>
      </c>
      <c r="B28" t="s">
        <v>970</v>
      </c>
      <c r="C28" s="2" t="str">
        <f t="shared" si="11"/>
        <v>CD4013BE</v>
      </c>
      <c r="D28" t="str">
        <f t="shared" si="12"/>
        <v>Schematic\CD4013BE.SchLib</v>
      </c>
      <c r="E28" t="str">
        <f t="shared" si="13"/>
        <v>CD4013BE</v>
      </c>
      <c r="F28" t="s">
        <v>972</v>
      </c>
      <c r="G28" t="s">
        <v>971</v>
      </c>
      <c r="H28" t="s">
        <v>972</v>
      </c>
      <c r="I28" t="s">
        <v>1039</v>
      </c>
    </row>
    <row r="29" spans="1:9" x14ac:dyDescent="0.3">
      <c r="A29" t="s">
        <v>1025</v>
      </c>
      <c r="B29" t="s">
        <v>1026</v>
      </c>
      <c r="C29" s="2" t="str">
        <f t="shared" si="11"/>
        <v>STM32F103C8T6_board</v>
      </c>
      <c r="D29" t="str">
        <f t="shared" si="12"/>
        <v>Schematic\STM32F103C8T6_board.SchLib</v>
      </c>
      <c r="E29" t="str">
        <f t="shared" si="13"/>
        <v>STM32F103C8T6_board</v>
      </c>
      <c r="F29" t="str">
        <f t="shared" ref="F29:F34" si="14">CONCATENATE("Footprints\",G29,".PcbLib")</f>
        <v>Footprints\STM32F103C8T6_board.PcbLib</v>
      </c>
      <c r="G29" t="s">
        <v>1025</v>
      </c>
    </row>
    <row r="30" spans="1:9" x14ac:dyDescent="0.3">
      <c r="A30" t="s">
        <v>1027</v>
      </c>
      <c r="B30" t="s">
        <v>1055</v>
      </c>
      <c r="C30" s="2" t="str">
        <f t="shared" si="11"/>
        <v>RPI</v>
      </c>
      <c r="D30" t="str">
        <f t="shared" si="12"/>
        <v>Schematic\RPI.SchLib</v>
      </c>
      <c r="E30" t="str">
        <f t="shared" si="13"/>
        <v>RPI</v>
      </c>
      <c r="F30" t="str">
        <f t="shared" si="14"/>
        <v>Footprints\RPI.PcbLib</v>
      </c>
      <c r="G30" t="s">
        <v>1027</v>
      </c>
    </row>
    <row r="31" spans="1:9" x14ac:dyDescent="0.3">
      <c r="A31" t="s">
        <v>1028</v>
      </c>
      <c r="B31" t="s">
        <v>1054</v>
      </c>
      <c r="C31" s="2" t="str">
        <f t="shared" si="11"/>
        <v>LTC4418</v>
      </c>
      <c r="D31" t="str">
        <f t="shared" si="12"/>
        <v>Schematic\LTC4418.SchLib</v>
      </c>
      <c r="E31" t="str">
        <f t="shared" si="13"/>
        <v>LTC4418</v>
      </c>
      <c r="F31" t="str">
        <f t="shared" si="14"/>
        <v>Footprints\QFN50.PcbLib</v>
      </c>
      <c r="G31" t="s">
        <v>1029</v>
      </c>
    </row>
    <row r="32" spans="1:9" x14ac:dyDescent="0.3">
      <c r="A32" t="s">
        <v>1050</v>
      </c>
      <c r="B32" t="s">
        <v>1051</v>
      </c>
      <c r="C32" s="2" t="str">
        <f t="shared" si="11"/>
        <v>NE555</v>
      </c>
      <c r="D32" t="str">
        <f t="shared" si="12"/>
        <v>Schematic\NE555.SchLib</v>
      </c>
      <c r="E32" t="str">
        <f t="shared" si="13"/>
        <v>NE555</v>
      </c>
      <c r="F32" t="str">
        <f t="shared" si="14"/>
        <v>Footprints\SOIC-8.PcbLib</v>
      </c>
      <c r="G32" t="s">
        <v>78</v>
      </c>
    </row>
    <row r="33" spans="1:12" x14ac:dyDescent="0.3">
      <c r="A33" t="s">
        <v>1052</v>
      </c>
      <c r="B33" t="s">
        <v>1053</v>
      </c>
      <c r="C33" s="2" t="str">
        <f>A33</f>
        <v>LM393</v>
      </c>
      <c r="D33" t="str">
        <f>CONCATENATE("Schematic\",A33,".SchLib")</f>
        <v>Schematic\LM393.SchLib</v>
      </c>
      <c r="E33" t="str">
        <f>A33</f>
        <v>LM393</v>
      </c>
      <c r="F33" t="str">
        <f t="shared" si="14"/>
        <v>Footprints\SOIC-8.PcbLib</v>
      </c>
      <c r="G33" t="s">
        <v>78</v>
      </c>
    </row>
    <row r="34" spans="1:12" x14ac:dyDescent="0.3">
      <c r="A34" t="s">
        <v>1069</v>
      </c>
      <c r="B34" t="s">
        <v>1070</v>
      </c>
      <c r="C34" s="2" t="str">
        <f>A34</f>
        <v>LD7575</v>
      </c>
      <c r="D34" t="str">
        <f>CONCATENATE("Schematic\",A34,".SchLib")</f>
        <v>Schematic\LD7575.SchLib</v>
      </c>
      <c r="E34" t="str">
        <f>A34</f>
        <v>LD7575</v>
      </c>
      <c r="F34" t="str">
        <f t="shared" si="14"/>
        <v>Footprints\SOP8.PcbLib</v>
      </c>
      <c r="G34" t="s">
        <v>864</v>
      </c>
    </row>
    <row r="35" spans="1:12" x14ac:dyDescent="0.3">
      <c r="A35" t="s">
        <v>1073</v>
      </c>
      <c r="B35" t="s">
        <v>1071</v>
      </c>
      <c r="C35" s="2" t="str">
        <f>A35</f>
        <v>MAX668</v>
      </c>
      <c r="D35" t="str">
        <f>CONCATENATE("Schematic\",A35,".SchLib")</f>
        <v>Schematic\MAX668.SchLib</v>
      </c>
      <c r="E35" t="str">
        <f>A35</f>
        <v>MAX668</v>
      </c>
      <c r="F35" t="str">
        <f>CONCATENATE("Footprints\",G35,".PcbLib")</f>
        <v>Footprints\uSOP10.PcbLib</v>
      </c>
      <c r="G35" t="s">
        <v>1072</v>
      </c>
    </row>
    <row r="36" spans="1:12" x14ac:dyDescent="0.3">
      <c r="A36" t="s">
        <v>1081</v>
      </c>
      <c r="B36" t="s">
        <v>1082</v>
      </c>
      <c r="C36" s="2" t="str">
        <f>A36</f>
        <v>LTV354T</v>
      </c>
      <c r="D36" t="str">
        <f>CONCATENATE("Schematic\",E36,".SchLib")</f>
        <v>Schematic\LTV354.SchLib</v>
      </c>
      <c r="E36" t="s">
        <v>1080</v>
      </c>
      <c r="F36" t="str">
        <f>CONCATENATE("Footprints\",G36,".PcbLib")</f>
        <v>Footprints\SOP4-2_54.PcbLib</v>
      </c>
      <c r="G36" t="s">
        <v>1083</v>
      </c>
    </row>
    <row r="37" spans="1:12" x14ac:dyDescent="0.3">
      <c r="A37" t="s">
        <v>1119</v>
      </c>
      <c r="B37" t="s">
        <v>1118</v>
      </c>
      <c r="C37" s="2" t="str">
        <f>A37</f>
        <v>SN74LVC1G14DCKR</v>
      </c>
      <c r="D37" t="str">
        <f>CONCATENATE("Schematic\",A37,".SchLib")</f>
        <v>Schematic\SN74LVC1G14DCKR.SchLib</v>
      </c>
      <c r="E37" t="str">
        <f>A37</f>
        <v>SN74LVC1G14DCKR</v>
      </c>
      <c r="F37" t="str">
        <f>CONCATENATE("Footprints\",G37,".PcbLib")</f>
        <v>Footprints\SC-70-5.PcbLib</v>
      </c>
      <c r="G37" t="s">
        <v>1120</v>
      </c>
    </row>
    <row r="38" spans="1:12" x14ac:dyDescent="0.3">
      <c r="A38" t="s">
        <v>1212</v>
      </c>
      <c r="B38" t="s">
        <v>1213</v>
      </c>
      <c r="C38" s="2" t="str">
        <f t="shared" ref="C38" si="15">A38</f>
        <v>USB2514BM2</v>
      </c>
      <c r="D38" t="s">
        <v>1310</v>
      </c>
      <c r="E38" s="2" t="s">
        <v>1212</v>
      </c>
      <c r="F38" t="str">
        <f>CONCATENATE("Footprints\",G38,".PcbLib")</f>
        <v>Footprints\VFQFN-36.PcbLib</v>
      </c>
      <c r="G38" t="s">
        <v>1214</v>
      </c>
    </row>
    <row r="39" spans="1:12" x14ac:dyDescent="0.3">
      <c r="A39" t="s">
        <v>1215</v>
      </c>
      <c r="B39" t="s">
        <v>1216</v>
      </c>
      <c r="C39" s="2" t="s">
        <v>1215</v>
      </c>
      <c r="D39" t="str">
        <f>CONCATENATE("Schematic\",A39,".SchLib")</f>
        <v>Schematic\RTL8367N-VB-CG.SchLib</v>
      </c>
      <c r="E39" t="str">
        <f>A39</f>
        <v>RTL8367N-VB-CG</v>
      </c>
      <c r="F39" t="str">
        <f>CONCATENATE("Footprints\",G39,".PcbLib")</f>
        <v>Footprints\QFN40.PcbLib</v>
      </c>
      <c r="G39" t="s">
        <v>1217</v>
      </c>
    </row>
    <row r="40" spans="1:12" x14ac:dyDescent="0.3">
      <c r="A40" t="s">
        <v>1218</v>
      </c>
      <c r="C40" s="2" t="str">
        <f>A40</f>
        <v>CM4</v>
      </c>
      <c r="D40" t="str">
        <f>CONCATENATE("Schematic\",A40,".SchLib")</f>
        <v>Schematic\CM4.SchLib</v>
      </c>
      <c r="E40" t="str">
        <f>A40</f>
        <v>CM4</v>
      </c>
      <c r="F40" t="str">
        <f>CONCATENATE("Footprints\CM4.PcbLib")</f>
        <v>Footprints\CM4.PcbLib</v>
      </c>
      <c r="G40" t="s">
        <v>1219</v>
      </c>
    </row>
    <row r="41" spans="1:12" x14ac:dyDescent="0.3">
      <c r="A41" t="s">
        <v>1220</v>
      </c>
      <c r="C41" s="2" t="str">
        <f>A41</f>
        <v>CM5</v>
      </c>
      <c r="D41" t="str">
        <f>CONCATENATE("Schematic\CM4.SchLib")</f>
        <v>Schematic\CM4.SchLib</v>
      </c>
      <c r="E41" t="str">
        <f>A41</f>
        <v>CM5</v>
      </c>
      <c r="F41" t="str">
        <f>CONCATENATE("Footprints\CM4.PcbLib")</f>
        <v>Footprints\CM4.PcbLib</v>
      </c>
      <c r="G41" t="s">
        <v>1380</v>
      </c>
    </row>
    <row r="42" spans="1:12" x14ac:dyDescent="0.3">
      <c r="A42" t="s">
        <v>1221</v>
      </c>
      <c r="B42" t="s">
        <v>1222</v>
      </c>
      <c r="C42" s="2" t="str">
        <f t="shared" ref="C42:C43" si="16">A42</f>
        <v>ADP2301AUJZ-R7</v>
      </c>
      <c r="D42" t="str">
        <f>CONCATENATE("Schematic\",E42,".SchLib")</f>
        <v>Schematic\ADP2300.SchLib</v>
      </c>
      <c r="E42" t="s">
        <v>1223</v>
      </c>
      <c r="F42" t="str">
        <f>CONCATENATE("Footprints\",G27,".PcbLib")</f>
        <v>Footprints\SOT23-6.PcbLib</v>
      </c>
      <c r="G42" t="s">
        <v>52</v>
      </c>
    </row>
    <row r="43" spans="1:12" x14ac:dyDescent="0.3">
      <c r="A43" t="s">
        <v>1265</v>
      </c>
      <c r="B43" t="s">
        <v>1266</v>
      </c>
      <c r="C43" s="2" t="str">
        <f t="shared" si="16"/>
        <v>LM5116MH</v>
      </c>
      <c r="D43" t="str">
        <f>CONCATENATE("Schematic\",A43,".SchLib")</f>
        <v>Schematic\LM5116MH.SchLib</v>
      </c>
      <c r="E43" t="str">
        <f>A43</f>
        <v>LM5116MH</v>
      </c>
      <c r="F43" t="str">
        <f t="shared" ref="F43:F48" si="17">CONCATENATE("Footprints\",G43,".PcbLib")</f>
        <v>Footprints\HTSSOP-20.PcbLib</v>
      </c>
      <c r="G43" t="s">
        <v>1311</v>
      </c>
    </row>
    <row r="44" spans="1:12" x14ac:dyDescent="0.3">
      <c r="A44" s="35" t="s">
        <v>1312</v>
      </c>
      <c r="B44" s="36" t="s">
        <v>1313</v>
      </c>
      <c r="C44" s="29" t="str">
        <f t="shared" ref="C44:C49" si="18">A44</f>
        <v>IXDN602</v>
      </c>
      <c r="D44" s="36" t="str">
        <f>CONCATENATE("Schematic\",A44,".SchLib")</f>
        <v>Schematic\IXDN602.SchLib</v>
      </c>
      <c r="E44" s="36" t="str">
        <f>A44</f>
        <v>IXDN602</v>
      </c>
      <c r="F44" s="36" t="str">
        <f t="shared" si="17"/>
        <v>Footprints\SOIC-8.PcbLib</v>
      </c>
      <c r="G44" s="36" t="s">
        <v>78</v>
      </c>
    </row>
    <row r="45" spans="1:12" x14ac:dyDescent="0.3">
      <c r="A45" t="s">
        <v>1314</v>
      </c>
      <c r="B45" t="s">
        <v>1315</v>
      </c>
      <c r="C45" s="2" t="str">
        <f t="shared" si="18"/>
        <v>LMC555</v>
      </c>
      <c r="D45" t="str">
        <f>CONCATENATE("Schematic\",A33,".SchLib")</f>
        <v>Schematic\LM393.SchLib</v>
      </c>
      <c r="E45" t="str">
        <f>A33</f>
        <v>LM393</v>
      </c>
      <c r="F45" t="str">
        <f t="shared" si="17"/>
        <v>Footprints\SOIC-8.PcbLib</v>
      </c>
      <c r="G45" t="s">
        <v>78</v>
      </c>
      <c r="H45" s="2"/>
    </row>
    <row r="46" spans="1:12" x14ac:dyDescent="0.3">
      <c r="A46" s="37" t="s">
        <v>1316</v>
      </c>
      <c r="B46" s="38" t="s">
        <v>1317</v>
      </c>
      <c r="C46" s="39" t="str">
        <f t="shared" si="18"/>
        <v>MC3306A</v>
      </c>
      <c r="D46" s="38" t="str">
        <f>CONCATENATE("Schematic\",A46,".SchLib")</f>
        <v>Schematic\MC3306A.SchLib</v>
      </c>
      <c r="E46" s="38" t="str">
        <f>A46</f>
        <v>MC3306A</v>
      </c>
      <c r="F46" s="38" t="str">
        <f t="shared" si="17"/>
        <v>Footprints\SOIC-8.PcbLib</v>
      </c>
      <c r="G46" s="38" t="s">
        <v>78</v>
      </c>
    </row>
    <row r="47" spans="1:12" x14ac:dyDescent="0.3">
      <c r="A47" t="s">
        <v>1357</v>
      </c>
      <c r="B47" t="s">
        <v>1358</v>
      </c>
      <c r="C47" s="2" t="str">
        <f t="shared" si="18"/>
        <v>RTL8367RB-VB-CG</v>
      </c>
      <c r="D47" t="str">
        <f>CONCATENATE("Schematic\",E47,".SchLib")</f>
        <v>Schematic\RTL8367RB.SchLib</v>
      </c>
      <c r="E47" t="s">
        <v>1360</v>
      </c>
      <c r="F47" t="str">
        <f t="shared" si="17"/>
        <v>Footprints\LQFP128_14x14_exposed_pad.PcbLib</v>
      </c>
      <c r="G47" t="s">
        <v>1359</v>
      </c>
      <c r="L47" t="s">
        <v>1361</v>
      </c>
    </row>
    <row r="48" spans="1:12" x14ac:dyDescent="0.3">
      <c r="A48" s="37" t="s">
        <v>1362</v>
      </c>
      <c r="B48" s="38" t="s">
        <v>1363</v>
      </c>
      <c r="C48" s="39" t="str">
        <f t="shared" si="18"/>
        <v>TS951ILT</v>
      </c>
      <c r="D48" s="38" t="str">
        <f>CONCATENATE("Schematic\",A48,".SchLib")</f>
        <v>Schematic\TS951ILT.SchLib</v>
      </c>
      <c r="E48" s="38" t="str">
        <f>A48</f>
        <v>TS951ILT</v>
      </c>
      <c r="F48" s="38" t="str">
        <f t="shared" si="17"/>
        <v>Footprints\SOt23-5.PcbLib</v>
      </c>
      <c r="G48" s="38" t="s">
        <v>1364</v>
      </c>
    </row>
    <row r="49" spans="1:7" x14ac:dyDescent="0.3">
      <c r="A49" t="s">
        <v>1365</v>
      </c>
      <c r="B49" t="s">
        <v>1366</v>
      </c>
      <c r="C49" s="2" t="str">
        <f t="shared" si="18"/>
        <v>AP63200</v>
      </c>
      <c r="D49" t="str">
        <f>CONCATENATE("Schematic\",A49,".SchLib")</f>
        <v>Schematic\AP63200.SchLib</v>
      </c>
      <c r="E49" t="str">
        <f>A49</f>
        <v>AP63200</v>
      </c>
      <c r="F49" t="str">
        <f>CONCATENATE("Footprints\",G49,".PcbLib")</f>
        <v>Footprints\TSOT26.PcbLib</v>
      </c>
      <c r="G49" t="s">
        <v>1367</v>
      </c>
    </row>
  </sheetData>
  <phoneticPr fontId="2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398C48-58C0-43FC-B9F7-EB6794AD5C45}">
  <dimension ref="A1:J12"/>
  <sheetViews>
    <sheetView workbookViewId="0">
      <selection activeCell="J20" sqref="J20"/>
    </sheetView>
  </sheetViews>
  <sheetFormatPr defaultRowHeight="14.4" x14ac:dyDescent="0.3"/>
  <cols>
    <col min="1" max="1" width="13.5546875" customWidth="1"/>
    <col min="2" max="2" width="33.5546875" bestFit="1" customWidth="1"/>
    <col min="3" max="3" width="11.109375" customWidth="1"/>
    <col min="4" max="4" width="31.109375" bestFit="1" customWidth="1"/>
    <col min="5" max="5" width="14.88671875" bestFit="1" customWidth="1"/>
    <col min="6" max="6" width="25.109375" bestFit="1" customWidth="1"/>
    <col min="7" max="7" width="16.5546875" bestFit="1" customWidth="1"/>
    <col min="8" max="8" width="19.5546875" customWidth="1"/>
    <col min="9" max="9" width="12.109375" style="18" customWidth="1"/>
    <col min="10" max="10" width="13.109375" customWidth="1"/>
  </cols>
  <sheetData>
    <row r="1" spans="1:10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s="18" t="s">
        <v>84</v>
      </c>
      <c r="J1" t="s">
        <v>1137</v>
      </c>
    </row>
    <row r="2" spans="1:10" x14ac:dyDescent="0.3">
      <c r="A2" s="2" t="s">
        <v>85</v>
      </c>
      <c r="B2" t="str">
        <f t="shared" ref="B2:B7" si="0">CONCATENATE("Диод шоттки на ", H2," В, ном. ток ", I2," А")</f>
        <v>Диод шоттки на 30 В, ном. ток 3 А</v>
      </c>
      <c r="C2" s="2" t="str">
        <f t="shared" ref="C2:C7" si="1">A2</f>
        <v>SK33</v>
      </c>
      <c r="D2" s="2" t="s">
        <v>86</v>
      </c>
      <c r="E2" s="2" t="s">
        <v>87</v>
      </c>
      <c r="F2" s="2" t="str">
        <f t="shared" ref="F2:F7" si="2">CONCATENATE("Footprints\",G2,".PcbLib")</f>
        <v>Footprints\SMC.PcbLib</v>
      </c>
      <c r="G2" s="2" t="s">
        <v>88</v>
      </c>
      <c r="H2" s="15">
        <v>30</v>
      </c>
      <c r="I2" s="18">
        <v>3</v>
      </c>
    </row>
    <row r="3" spans="1:10" x14ac:dyDescent="0.3">
      <c r="A3" s="2" t="s">
        <v>866</v>
      </c>
      <c r="B3" t="str">
        <f t="shared" si="0"/>
        <v>Диод шоттки на 20 В, ном. ток 3 А</v>
      </c>
      <c r="C3" s="2" t="str">
        <f t="shared" si="1"/>
        <v>SK32</v>
      </c>
      <c r="D3" s="2" t="s">
        <v>86</v>
      </c>
      <c r="E3" s="2" t="s">
        <v>87</v>
      </c>
      <c r="F3" s="2" t="str">
        <f t="shared" si="2"/>
        <v>Footprints\SMC.PcbLib</v>
      </c>
      <c r="G3" s="2" t="s">
        <v>88</v>
      </c>
      <c r="H3" s="16" t="s">
        <v>390</v>
      </c>
      <c r="I3" s="18">
        <v>3</v>
      </c>
    </row>
    <row r="4" spans="1:10" x14ac:dyDescent="0.3">
      <c r="A4" t="s">
        <v>342</v>
      </c>
      <c r="B4" t="str">
        <f t="shared" si="0"/>
        <v>Диод шоттки на 30 В, ном. ток 0,2 А</v>
      </c>
      <c r="C4" t="str">
        <f t="shared" si="1"/>
        <v>BAT54WS</v>
      </c>
      <c r="D4" s="2" t="s">
        <v>86</v>
      </c>
      <c r="E4" t="s">
        <v>87</v>
      </c>
      <c r="F4" t="str">
        <f t="shared" si="2"/>
        <v>Footprints\SOD-323.PcbLib</v>
      </c>
      <c r="G4" t="s">
        <v>72</v>
      </c>
      <c r="H4" s="15">
        <v>30</v>
      </c>
      <c r="I4" s="18">
        <v>0.2</v>
      </c>
    </row>
    <row r="5" spans="1:10" x14ac:dyDescent="0.3">
      <c r="A5" t="s">
        <v>343</v>
      </c>
      <c r="B5" t="str">
        <f t="shared" si="0"/>
        <v>Диод шоттки на 45 В, ном. ток 10 А</v>
      </c>
      <c r="C5" t="str">
        <f t="shared" si="1"/>
        <v>10S45SP</v>
      </c>
      <c r="D5" s="2" t="s">
        <v>86</v>
      </c>
      <c r="E5" t="s">
        <v>87</v>
      </c>
      <c r="F5" t="str">
        <f t="shared" si="2"/>
        <v>Footprints\TO-277.PcbLib</v>
      </c>
      <c r="G5" t="s">
        <v>344</v>
      </c>
      <c r="H5" s="15">
        <v>45</v>
      </c>
      <c r="I5" s="18">
        <v>10</v>
      </c>
    </row>
    <row r="6" spans="1:10" x14ac:dyDescent="0.3">
      <c r="A6" t="s">
        <v>881</v>
      </c>
      <c r="B6" t="str">
        <f t="shared" si="0"/>
        <v>Диод шоттки на 100 В, ном. ток 8 А</v>
      </c>
      <c r="C6" t="str">
        <f t="shared" si="1"/>
        <v>SK810</v>
      </c>
      <c r="D6" s="2" t="s">
        <v>86</v>
      </c>
      <c r="E6" t="s">
        <v>87</v>
      </c>
      <c r="F6" t="str">
        <f t="shared" si="2"/>
        <v>Footprints\SMC.PcbLib</v>
      </c>
      <c r="G6" t="s">
        <v>88</v>
      </c>
      <c r="H6" s="15">
        <v>100</v>
      </c>
      <c r="I6" s="18">
        <v>8</v>
      </c>
    </row>
    <row r="7" spans="1:10" x14ac:dyDescent="0.3">
      <c r="A7" t="s">
        <v>955</v>
      </c>
      <c r="B7" t="str">
        <f t="shared" si="0"/>
        <v>Диод шоттки на 40 В, ном. ток 2,1 А</v>
      </c>
      <c r="C7" t="str">
        <f t="shared" si="1"/>
        <v>15MQ040N</v>
      </c>
      <c r="D7" s="2" t="s">
        <v>86</v>
      </c>
      <c r="E7" t="s">
        <v>87</v>
      </c>
      <c r="F7" t="str">
        <f t="shared" si="2"/>
        <v>Footprints\SMA.PcbLib</v>
      </c>
      <c r="G7" t="s">
        <v>130</v>
      </c>
      <c r="H7" s="15">
        <v>40</v>
      </c>
      <c r="I7" s="18">
        <v>2.1</v>
      </c>
    </row>
    <row r="8" spans="1:10" x14ac:dyDescent="0.3">
      <c r="A8" t="s">
        <v>1030</v>
      </c>
      <c r="B8" t="str">
        <f>CONCATENATE("Диод шоттки на ", H8," В, ном. ток ", I8," А")</f>
        <v>Диод шоттки на 70 В, ном. ток 0,7 А</v>
      </c>
      <c r="C8" t="str">
        <f>A8</f>
        <v>BAS70-04-7-F</v>
      </c>
      <c r="D8" s="2" t="s">
        <v>1032</v>
      </c>
      <c r="E8" t="s">
        <v>1030</v>
      </c>
      <c r="F8" t="str">
        <f>CONCATENATE("Footprints\",G8,".PcbLib")</f>
        <v>Footprints\SOT23.PcbLib</v>
      </c>
      <c r="G8" t="s">
        <v>1031</v>
      </c>
      <c r="H8" s="15">
        <v>70</v>
      </c>
      <c r="I8" s="18">
        <v>0.7</v>
      </c>
    </row>
    <row r="9" spans="1:10" x14ac:dyDescent="0.3">
      <c r="A9" t="s">
        <v>1041</v>
      </c>
      <c r="B9" t="str">
        <f>CONCATENATE("Диод шоттки на ", H9," В, ном. ток ", I9," А")</f>
        <v>Диод шоттки на 60 В, ном. ток 5 А</v>
      </c>
      <c r="C9" t="str">
        <f>A9</f>
        <v>SK56</v>
      </c>
      <c r="D9" s="2" t="s">
        <v>86</v>
      </c>
      <c r="E9" t="s">
        <v>87</v>
      </c>
      <c r="F9" t="str">
        <f>CONCATENATE("Footprints\",G9,".PcbLib")</f>
        <v>Footprints\SMC.PcbLib</v>
      </c>
      <c r="G9" s="2" t="s">
        <v>88</v>
      </c>
      <c r="H9" s="15">
        <v>60</v>
      </c>
      <c r="I9" s="18">
        <v>5</v>
      </c>
    </row>
    <row r="10" spans="1:10" x14ac:dyDescent="0.3">
      <c r="A10" t="s">
        <v>1042</v>
      </c>
      <c r="B10" t="str">
        <f>CONCATENATE("Диод шоттки на ", H10," В, ном. ток ", I10," А")</f>
        <v>Диод шоттки на 40 В, ном. ток 5 А</v>
      </c>
      <c r="C10" t="str">
        <f>A10</f>
        <v>SK54</v>
      </c>
      <c r="D10" s="2" t="s">
        <v>86</v>
      </c>
      <c r="E10" t="s">
        <v>87</v>
      </c>
      <c r="F10" t="str">
        <f>CONCATENATE("Footprints\",G10,".PcbLib")</f>
        <v>Footprints\SMC.PcbLib</v>
      </c>
      <c r="G10" s="2" t="s">
        <v>88</v>
      </c>
      <c r="H10" s="15">
        <v>40</v>
      </c>
      <c r="I10" s="18">
        <v>5</v>
      </c>
    </row>
    <row r="11" spans="1:10" x14ac:dyDescent="0.3">
      <c r="A11" t="s">
        <v>1046</v>
      </c>
      <c r="B11" t="str">
        <f>CONCATENATE("Диод шоттки на ", H11," В, ном. ток ", I11," А")</f>
        <v>Диод шоттки на 50 В, ном. ток 5 А</v>
      </c>
      <c r="C11" t="str">
        <f>A11</f>
        <v>B550C</v>
      </c>
      <c r="D11" s="2" t="s">
        <v>86</v>
      </c>
      <c r="E11" t="s">
        <v>87</v>
      </c>
      <c r="F11" t="str">
        <f>CONCATENATE("Footprints\",G11,".PcbLib")</f>
        <v>Footprints\SMC.PcbLib</v>
      </c>
      <c r="G11" s="2" t="s">
        <v>88</v>
      </c>
      <c r="H11" s="15">
        <v>50</v>
      </c>
      <c r="I11" s="18">
        <v>5</v>
      </c>
    </row>
    <row r="12" spans="1:10" x14ac:dyDescent="0.3">
      <c r="A12" t="s">
        <v>1318</v>
      </c>
      <c r="B12" t="str">
        <f>CONCATENATE("Диод шоттки на ", H12," В, ном. ток ", I12," А")</f>
        <v>Диод шоттки на 100 В, ном. ток 2 А</v>
      </c>
      <c r="C12" t="str">
        <f>A12</f>
        <v>20MQ100</v>
      </c>
      <c r="D12" t="s">
        <v>86</v>
      </c>
      <c r="E12" t="s">
        <v>87</v>
      </c>
      <c r="F12" t="str">
        <f>CONCATENATE("Footprints\",G12,".PcbLib")</f>
        <v>Footprints\SMA.PcbLib</v>
      </c>
      <c r="G12" t="s">
        <v>130</v>
      </c>
      <c r="H12" s="15">
        <v>100</v>
      </c>
      <c r="I12" s="18">
        <v>2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/>
  <dimension ref="A1:M21"/>
  <sheetViews>
    <sheetView zoomScaleNormal="100" workbookViewId="0">
      <selection activeCell="B34" sqref="B34"/>
    </sheetView>
  </sheetViews>
  <sheetFormatPr defaultRowHeight="14.4" x14ac:dyDescent="0.3"/>
  <cols>
    <col min="1" max="1" width="13.88671875" bestFit="1" customWidth="1"/>
    <col min="2" max="2" width="46.88671875" bestFit="1" customWidth="1"/>
    <col min="3" max="3" width="11.44140625" bestFit="1" customWidth="1"/>
    <col min="4" max="4" width="20.5546875" bestFit="1" customWidth="1"/>
    <col min="5" max="5" width="12" bestFit="1" customWidth="1"/>
    <col min="6" max="6" width="23.44140625" bestFit="1" customWidth="1"/>
    <col min="7" max="7" width="15.88671875" bestFit="1" customWidth="1"/>
    <col min="8" max="8" width="19.88671875" bestFit="1" customWidth="1"/>
    <col min="9" max="9" width="21.5546875" bestFit="1" customWidth="1"/>
    <col min="10" max="10" width="12" bestFit="1" customWidth="1"/>
    <col min="11" max="11" width="7.88671875" bestFit="1" customWidth="1"/>
    <col min="12" max="12" width="10.6640625" customWidth="1"/>
    <col min="13" max="13" width="15.109375" customWidth="1"/>
  </cols>
  <sheetData>
    <row r="1" spans="1:13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69</v>
      </c>
      <c r="J1" t="s">
        <v>71</v>
      </c>
      <c r="K1" t="s">
        <v>25</v>
      </c>
      <c r="L1" t="s">
        <v>1067</v>
      </c>
      <c r="M1" t="s">
        <v>1137</v>
      </c>
    </row>
    <row r="2" spans="1:13" ht="12.9" customHeight="1" x14ac:dyDescent="0.3">
      <c r="A2" s="2" t="s">
        <v>70</v>
      </c>
      <c r="B2" s="2" t="s">
        <v>774</v>
      </c>
      <c r="C2" s="2" t="s">
        <v>70</v>
      </c>
      <c r="D2" s="2" t="s">
        <v>73</v>
      </c>
      <c r="E2" s="2" t="s">
        <v>74</v>
      </c>
      <c r="F2" s="2" t="s">
        <v>775</v>
      </c>
      <c r="G2" s="2" t="s">
        <v>72</v>
      </c>
      <c r="H2" s="2" t="s">
        <v>385</v>
      </c>
      <c r="I2" s="2" t="s">
        <v>776</v>
      </c>
      <c r="J2" s="2" t="s">
        <v>777</v>
      </c>
      <c r="K2" s="2" t="s">
        <v>778</v>
      </c>
      <c r="L2" s="11">
        <v>0.05</v>
      </c>
    </row>
    <row r="3" spans="1:13" x14ac:dyDescent="0.3">
      <c r="A3" t="s">
        <v>933</v>
      </c>
      <c r="B3" s="2" t="s">
        <v>934</v>
      </c>
      <c r="C3" t="s">
        <v>933</v>
      </c>
      <c r="D3" s="2" t="s">
        <v>73</v>
      </c>
      <c r="E3" s="2" t="s">
        <v>74</v>
      </c>
      <c r="F3" s="2" t="s">
        <v>935</v>
      </c>
      <c r="G3" t="s">
        <v>936</v>
      </c>
      <c r="H3" s="2" t="s">
        <v>937</v>
      </c>
      <c r="I3" s="2">
        <v>5</v>
      </c>
      <c r="J3" s="2" t="s">
        <v>1064</v>
      </c>
      <c r="K3" s="2" t="s">
        <v>938</v>
      </c>
      <c r="L3" s="11">
        <v>0.02</v>
      </c>
    </row>
    <row r="4" spans="1:13" x14ac:dyDescent="0.3">
      <c r="A4" t="s">
        <v>1060</v>
      </c>
      <c r="B4" s="2" t="s">
        <v>1061</v>
      </c>
      <c r="C4" t="s">
        <v>1060</v>
      </c>
      <c r="D4" s="2" t="s">
        <v>1062</v>
      </c>
      <c r="E4" t="s">
        <v>1063</v>
      </c>
      <c r="F4" s="2" t="s">
        <v>1068</v>
      </c>
      <c r="G4" t="s">
        <v>18</v>
      </c>
      <c r="H4" s="2" t="s">
        <v>384</v>
      </c>
      <c r="I4" s="2">
        <v>5</v>
      </c>
      <c r="J4" s="2" t="s">
        <v>1065</v>
      </c>
      <c r="K4" s="2" t="s">
        <v>1066</v>
      </c>
      <c r="L4" s="11">
        <v>0.02</v>
      </c>
    </row>
    <row r="5" spans="1:13" x14ac:dyDescent="0.3">
      <c r="A5" t="s">
        <v>1122</v>
      </c>
      <c r="B5" t="s">
        <v>1121</v>
      </c>
      <c r="C5" t="s">
        <v>1122</v>
      </c>
      <c r="D5" s="2" t="s">
        <v>73</v>
      </c>
      <c r="E5" s="2" t="s">
        <v>74</v>
      </c>
      <c r="F5" s="2" t="s">
        <v>935</v>
      </c>
      <c r="G5" t="s">
        <v>936</v>
      </c>
      <c r="H5" s="2" t="s">
        <v>385</v>
      </c>
      <c r="I5" s="2" t="s">
        <v>776</v>
      </c>
      <c r="J5" s="2" t="s">
        <v>1064</v>
      </c>
      <c r="K5" s="2" t="s">
        <v>778</v>
      </c>
      <c r="L5" s="11">
        <v>0.02</v>
      </c>
    </row>
    <row r="6" spans="1:13" x14ac:dyDescent="0.3">
      <c r="H6" s="2"/>
      <c r="I6" s="2"/>
      <c r="J6" s="2"/>
      <c r="K6" s="2"/>
    </row>
    <row r="7" spans="1:13" x14ac:dyDescent="0.3">
      <c r="H7" s="2"/>
      <c r="I7" s="2"/>
      <c r="J7" s="2"/>
      <c r="K7" s="2"/>
    </row>
    <row r="8" spans="1:13" x14ac:dyDescent="0.3">
      <c r="H8" s="2"/>
      <c r="I8" s="2"/>
      <c r="J8" s="2"/>
      <c r="K8" s="2"/>
    </row>
    <row r="9" spans="1:13" x14ac:dyDescent="0.3">
      <c r="H9" s="2"/>
      <c r="I9" s="2"/>
      <c r="J9" s="2"/>
      <c r="K9" s="2"/>
    </row>
    <row r="10" spans="1:13" x14ac:dyDescent="0.3">
      <c r="H10" s="2"/>
      <c r="I10" s="2"/>
      <c r="J10" s="2"/>
      <c r="K10" s="2"/>
    </row>
    <row r="11" spans="1:13" x14ac:dyDescent="0.3">
      <c r="H11" s="2"/>
      <c r="I11" s="2"/>
      <c r="J11" s="2"/>
      <c r="K11" s="2"/>
    </row>
    <row r="12" spans="1:13" x14ac:dyDescent="0.3">
      <c r="H12" s="2"/>
      <c r="I12" s="2"/>
      <c r="J12" s="2"/>
      <c r="K12" s="2"/>
    </row>
    <row r="13" spans="1:13" x14ac:dyDescent="0.3">
      <c r="H13" s="2"/>
      <c r="I13" s="2"/>
      <c r="J13" s="2"/>
      <c r="K13" s="2"/>
    </row>
    <row r="14" spans="1:13" x14ac:dyDescent="0.3">
      <c r="H14" s="2"/>
      <c r="I14" s="2"/>
      <c r="J14" s="2"/>
      <c r="K14" s="2"/>
    </row>
    <row r="15" spans="1:13" x14ac:dyDescent="0.3">
      <c r="H15" s="2"/>
      <c r="I15" s="2"/>
      <c r="J15" s="2"/>
      <c r="K15" s="2"/>
    </row>
    <row r="16" spans="1:13" x14ac:dyDescent="0.3">
      <c r="H16" s="2"/>
      <c r="I16" s="2"/>
      <c r="J16" s="2"/>
      <c r="K16" s="2"/>
    </row>
    <row r="17" spans="8:11" x14ac:dyDescent="0.3">
      <c r="H17" s="2"/>
      <c r="I17" s="2"/>
      <c r="J17" s="2"/>
      <c r="K17" s="2"/>
    </row>
    <row r="18" spans="8:11" x14ac:dyDescent="0.3">
      <c r="H18" s="2"/>
      <c r="I18" s="2"/>
      <c r="J18" s="2"/>
      <c r="K18" s="2"/>
    </row>
    <row r="19" spans="8:11" x14ac:dyDescent="0.3">
      <c r="H19" s="2"/>
      <c r="I19" s="2"/>
      <c r="J19" s="2"/>
      <c r="K19" s="2"/>
    </row>
    <row r="20" spans="8:11" x14ac:dyDescent="0.3">
      <c r="H20" s="2"/>
      <c r="I20" s="2"/>
      <c r="J20" s="2"/>
      <c r="K20" s="2"/>
    </row>
    <row r="21" spans="8:11" x14ac:dyDescent="0.3">
      <c r="H21" s="2"/>
      <c r="I21" s="2"/>
      <c r="J21" s="2"/>
      <c r="K21" s="2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L11"/>
  <sheetViews>
    <sheetView topLeftCell="B1" workbookViewId="0">
      <selection activeCell="H23" sqref="H23"/>
    </sheetView>
  </sheetViews>
  <sheetFormatPr defaultRowHeight="14.4" x14ac:dyDescent="0.3"/>
  <cols>
    <col min="1" max="1" width="20.44140625" customWidth="1"/>
    <col min="2" max="2" width="49.5546875" customWidth="1"/>
    <col min="3" max="3" width="15.88671875" customWidth="1"/>
    <col min="4" max="4" width="26.44140625" customWidth="1"/>
    <col min="5" max="5" width="11.88671875" customWidth="1"/>
    <col min="6" max="6" width="16.44140625" customWidth="1"/>
    <col min="7" max="7" width="15.44140625" customWidth="1"/>
    <col min="8" max="8" width="19.5546875" customWidth="1"/>
    <col min="9" max="9" width="11.88671875" customWidth="1"/>
    <col min="10" max="10" width="8" bestFit="1" customWidth="1"/>
    <col min="11" max="11" width="10.44140625" customWidth="1"/>
    <col min="12" max="12" width="13.10937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68</v>
      </c>
      <c r="I1" t="s">
        <v>71</v>
      </c>
      <c r="J1" t="s">
        <v>25</v>
      </c>
      <c r="K1" t="s">
        <v>82</v>
      </c>
      <c r="L1" t="s">
        <v>1137</v>
      </c>
    </row>
    <row r="2" spans="1:12" x14ac:dyDescent="0.3">
      <c r="A2" t="s">
        <v>75</v>
      </c>
      <c r="B2" t="str">
        <f t="shared" ref="B2:B7" si="0" xml:space="preserve"> IF(K2="RS-485","Защитный диод для линии RS-485",CONCATENATE("Защитный диод на ", H2," В, рассеиваемая мощность ", I2," Вт"))</f>
        <v>Защитный диод на 24 В, рассеиваемая мощность 600 Вт</v>
      </c>
      <c r="C2" t="str">
        <f t="shared" ref="C2:C7" si="1">A2</f>
        <v>SMBJ24A</v>
      </c>
      <c r="D2" t="str">
        <f t="shared" ref="D2:D7" si="2">CONCATENATE("Schematic\TVS\",E2,".SchLib")</f>
        <v>Schematic\TVS\TVS_1_1dir.SchLib</v>
      </c>
      <c r="E2" t="s">
        <v>80</v>
      </c>
      <c r="F2" t="str">
        <f t="shared" ref="F2:F7" si="3">CONCATENATE("Footprints\",G2,".PcbLib")</f>
        <v>Footprints\SMB.PcbLib</v>
      </c>
      <c r="G2" t="s">
        <v>341</v>
      </c>
      <c r="H2">
        <v>24</v>
      </c>
      <c r="I2">
        <v>600</v>
      </c>
      <c r="J2" t="str">
        <f t="shared" ref="J2:J5" si="4" xml:space="preserve"> CONCATENATE(H2," В")</f>
        <v>24 В</v>
      </c>
    </row>
    <row r="3" spans="1:12" x14ac:dyDescent="0.3">
      <c r="A3" t="s">
        <v>79</v>
      </c>
      <c r="B3" t="str">
        <f t="shared" si="0"/>
        <v>Защитный диод для линии RS-485</v>
      </c>
      <c r="C3" t="str">
        <f t="shared" si="1"/>
        <v>PSM712</v>
      </c>
      <c r="D3" t="str">
        <f t="shared" si="2"/>
        <v>Schematic\TVS\TVS_2_2dir.SchLib</v>
      </c>
      <c r="E3" t="s">
        <v>81</v>
      </c>
      <c r="F3" t="str">
        <f t="shared" si="3"/>
        <v>Footprints\SOT23-3.PcbLib</v>
      </c>
      <c r="G3" t="s">
        <v>18</v>
      </c>
      <c r="K3" t="s">
        <v>83</v>
      </c>
    </row>
    <row r="4" spans="1:12" x14ac:dyDescent="0.3">
      <c r="A4" t="s">
        <v>129</v>
      </c>
      <c r="B4" t="str">
        <f t="shared" si="0"/>
        <v>Защитный диод на 12 В, рассеиваемая мощность 400 Вт</v>
      </c>
      <c r="C4" t="str">
        <f t="shared" si="1"/>
        <v>SMAJ12CA</v>
      </c>
      <c r="D4" t="str">
        <f t="shared" si="2"/>
        <v>Schematic\TVS\TVS_1_1dir.SchLib</v>
      </c>
      <c r="E4" t="s">
        <v>80</v>
      </c>
      <c r="F4" t="str">
        <f t="shared" si="3"/>
        <v>Footprints\SMA.PcbLib</v>
      </c>
      <c r="G4" t="s">
        <v>130</v>
      </c>
      <c r="H4">
        <v>12</v>
      </c>
      <c r="I4">
        <v>400</v>
      </c>
      <c r="J4" t="str">
        <f t="shared" si="4"/>
        <v>12 В</v>
      </c>
    </row>
    <row r="5" spans="1:12" x14ac:dyDescent="0.3">
      <c r="A5" t="s">
        <v>333</v>
      </c>
      <c r="B5" t="str">
        <f t="shared" si="0"/>
        <v>Защитный диод на 18 В, рассеиваемая мощность 600 Вт</v>
      </c>
      <c r="C5" t="str">
        <f t="shared" si="1"/>
        <v>SMBJ18A</v>
      </c>
      <c r="D5" t="str">
        <f t="shared" si="2"/>
        <v>Schematic\TVS\TVS_1_1dir.SchLib</v>
      </c>
      <c r="E5" t="s">
        <v>80</v>
      </c>
      <c r="F5" t="str">
        <f t="shared" si="3"/>
        <v>Footprints\SMB.PcbLib</v>
      </c>
      <c r="G5" t="s">
        <v>341</v>
      </c>
      <c r="H5">
        <v>18</v>
      </c>
      <c r="I5">
        <v>600</v>
      </c>
      <c r="J5" t="str">
        <f t="shared" si="4"/>
        <v>18 В</v>
      </c>
    </row>
    <row r="6" spans="1:12" x14ac:dyDescent="0.3">
      <c r="A6" t="s">
        <v>850</v>
      </c>
      <c r="B6" t="str">
        <f t="shared" si="0"/>
        <v>Защитный диод на 5 В, рассеиваемая мощность 330 Вт</v>
      </c>
      <c r="C6" t="str">
        <f t="shared" si="1"/>
        <v>PESD5V0S1UB</v>
      </c>
      <c r="D6" t="str">
        <f t="shared" si="2"/>
        <v>Schematic\TVS\TVS_1_1dir.SchLib</v>
      </c>
      <c r="E6" t="s">
        <v>80</v>
      </c>
      <c r="F6" t="str">
        <f t="shared" si="3"/>
        <v>Footprints\SOD523.PcbLib</v>
      </c>
      <c r="G6" t="s">
        <v>851</v>
      </c>
      <c r="H6">
        <v>5</v>
      </c>
      <c r="I6">
        <v>330</v>
      </c>
      <c r="J6" t="str">
        <f xml:space="preserve"> CONCATENATE(H6," В")</f>
        <v>5 В</v>
      </c>
    </row>
    <row r="7" spans="1:12" x14ac:dyDescent="0.3">
      <c r="A7" t="s">
        <v>915</v>
      </c>
      <c r="B7" t="str">
        <f t="shared" si="0"/>
        <v>Защитный диод на 15 В, рассеиваемая мощность 600 Вт</v>
      </c>
      <c r="C7" t="str">
        <f t="shared" si="1"/>
        <v>SMBJ15A</v>
      </c>
      <c r="D7" t="str">
        <f t="shared" si="2"/>
        <v>Schematic\TVS\TVS_1_1dir.SchLib</v>
      </c>
      <c r="E7" t="s">
        <v>80</v>
      </c>
      <c r="F7" t="str">
        <f t="shared" si="3"/>
        <v>Footprints\SMB.PcbLib</v>
      </c>
      <c r="G7" t="s">
        <v>341</v>
      </c>
      <c r="H7">
        <v>15</v>
      </c>
      <c r="I7">
        <v>600</v>
      </c>
      <c r="J7" t="str">
        <f xml:space="preserve"> CONCATENATE(H7," В")</f>
        <v>15 В</v>
      </c>
    </row>
    <row r="8" spans="1:12" x14ac:dyDescent="0.3">
      <c r="A8" t="s">
        <v>932</v>
      </c>
      <c r="B8" t="str">
        <f xml:space="preserve"> IF(K8="RS-485","Защитный диод для линии RS-485",CONCATENATE("Защитный диод на ", H8," В, рассеиваемая мощность ", I8," Вт"))</f>
        <v>Защитный диод на 13 В, рассеиваемая мощность 600 Вт</v>
      </c>
      <c r="C8" t="str">
        <f>A8</f>
        <v>SMBJ13A-TR</v>
      </c>
      <c r="D8" t="str">
        <f>CONCATENATE("Schematic\TVS\",E8,".SchLib")</f>
        <v>Schematic\TVS\TVS_1_1dir.SchLib</v>
      </c>
      <c r="E8" t="s">
        <v>80</v>
      </c>
      <c r="F8" t="str">
        <f>CONCATENATE("Footprints\",G8,".PcbLib")</f>
        <v>Footprints\SMB.PcbLib</v>
      </c>
      <c r="G8" t="s">
        <v>341</v>
      </c>
      <c r="H8">
        <v>13</v>
      </c>
      <c r="I8">
        <v>600</v>
      </c>
      <c r="J8" t="str">
        <f xml:space="preserve"> CONCATENATE(H8," В")</f>
        <v>13 В</v>
      </c>
    </row>
    <row r="9" spans="1:12" x14ac:dyDescent="0.3">
      <c r="A9" t="s">
        <v>1092</v>
      </c>
      <c r="B9" t="str">
        <f xml:space="preserve"> IF(K9="RS-485","Защитный диод для линии RS-485",CONCATENATE("Защитный диод на ", H9," В, рассеиваемая мощность ", I9," Вт"))</f>
        <v>Защитный диод на 30 В, рассеиваемая мощность 1500 Вт</v>
      </c>
      <c r="C9" t="str">
        <f>A9</f>
        <v>SM15T33A</v>
      </c>
      <c r="D9" t="str">
        <f>CONCATENATE("Schematic\TVS\",E9,".SchLib")</f>
        <v>Schematic\TVS\TVS_1_1dir.SchLib</v>
      </c>
      <c r="E9" t="s">
        <v>80</v>
      </c>
      <c r="F9" t="str">
        <f>CONCATENATE("Footprints\",G9,".PcbLib")</f>
        <v>Footprints\SMC.PcbLib</v>
      </c>
      <c r="G9" t="s">
        <v>88</v>
      </c>
      <c r="H9">
        <v>30</v>
      </c>
      <c r="I9">
        <v>1500</v>
      </c>
      <c r="J9" t="str">
        <f xml:space="preserve"> CONCATENATE(H9," В")</f>
        <v>30 В</v>
      </c>
    </row>
    <row r="10" spans="1:12" x14ac:dyDescent="0.3">
      <c r="A10" t="s">
        <v>1319</v>
      </c>
      <c r="B10" t="s">
        <v>1320</v>
      </c>
      <c r="C10" t="str">
        <f>A10</f>
        <v>SMBJ16CA</v>
      </c>
      <c r="D10" t="str">
        <f>CONCATENATE("Schematic\TVS\",E10,".SchLib")</f>
        <v>Schematic\TVS\TVS_1_1dir.SchLib</v>
      </c>
      <c r="E10" t="s">
        <v>80</v>
      </c>
      <c r="F10" t="str">
        <f>CONCATENATE("Footprints\",G10,".PcbLib")</f>
        <v>Footprints\SMB.PcbLib</v>
      </c>
      <c r="G10" t="s">
        <v>341</v>
      </c>
      <c r="H10">
        <v>16</v>
      </c>
      <c r="I10">
        <v>600</v>
      </c>
      <c r="J10" t="str">
        <f t="shared" ref="J10" si="5" xml:space="preserve"> CONCATENATE(H10," В")</f>
        <v>16 В</v>
      </c>
    </row>
    <row r="11" spans="1:12" x14ac:dyDescent="0.3">
      <c r="A11" t="s">
        <v>1348</v>
      </c>
      <c r="B11" t="str">
        <f xml:space="preserve"> IF(K11="RS-485","Защитный диод для линии RS-485",CONCATENATE("Защитный диод на ", H11," В, рассеиваемая мощность ", I11," Вт"))</f>
        <v>Защитный диод на 3,3 В, рассеиваемая мощность 45 Вт</v>
      </c>
      <c r="C11" t="str">
        <f>A11</f>
        <v>PESD3V3L1UB</v>
      </c>
      <c r="D11" t="str">
        <f>CONCATENATE("Schematic\TVS\",E11,".SchLib")</f>
        <v>Schematic\TVS\TVS_1_1dir.SchLib</v>
      </c>
      <c r="E11" t="s">
        <v>80</v>
      </c>
      <c r="F11" t="str">
        <f>CONCATENATE("Footprints\",G11,".PcbLib")</f>
        <v>Footprints\SOD523.PcbLib</v>
      </c>
      <c r="G11" t="s">
        <v>851</v>
      </c>
      <c r="H11">
        <v>3.3</v>
      </c>
      <c r="I11">
        <v>45</v>
      </c>
      <c r="J11" t="str">
        <f xml:space="preserve"> CONCATENATE(H11," В")</f>
        <v>3,3 В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S15"/>
  <sheetViews>
    <sheetView zoomScale="85" zoomScaleNormal="85" workbookViewId="0">
      <selection activeCell="I17" sqref="I17"/>
    </sheetView>
  </sheetViews>
  <sheetFormatPr defaultRowHeight="14.4" x14ac:dyDescent="0.3"/>
  <cols>
    <col min="1" max="1" width="14.88671875" customWidth="1"/>
    <col min="2" max="2" width="93.109375" customWidth="1"/>
    <col min="3" max="3" width="12.44140625" bestFit="1" customWidth="1"/>
    <col min="4" max="4" width="35.88671875" bestFit="1" customWidth="1"/>
    <col min="5" max="5" width="24.44140625" bestFit="1" customWidth="1"/>
    <col min="6" max="6" width="23.109375" bestFit="1" customWidth="1"/>
    <col min="7" max="7" width="16.88671875" customWidth="1"/>
    <col min="8" max="8" width="29.88671875" bestFit="1" customWidth="1"/>
    <col min="9" max="9" width="16.88671875" customWidth="1"/>
    <col min="12" max="12" width="13.88671875" customWidth="1"/>
  </cols>
  <sheetData>
    <row r="1" spans="1:19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943</v>
      </c>
      <c r="K1" s="1" t="s">
        <v>944</v>
      </c>
      <c r="L1" s="1" t="s">
        <v>1137</v>
      </c>
      <c r="M1" s="1"/>
      <c r="N1" s="1"/>
      <c r="O1" s="1"/>
      <c r="P1" s="1"/>
      <c r="Q1" s="1"/>
      <c r="R1" s="1"/>
      <c r="S1" s="1"/>
    </row>
    <row r="2" spans="1:19" ht="15.6" x14ac:dyDescent="0.3">
      <c r="A2" s="3" t="s">
        <v>4</v>
      </c>
      <c r="B2" s="3" t="s">
        <v>5</v>
      </c>
      <c r="C2" s="2" t="str">
        <f t="shared" ref="C2:C7" si="0">A2</f>
        <v>50N06</v>
      </c>
      <c r="D2" s="3" t="s">
        <v>10</v>
      </c>
      <c r="E2" s="3" t="s">
        <v>11</v>
      </c>
      <c r="F2" s="2" t="str">
        <f t="shared" ref="F2:F8" si="1">CONCATENATE("Footprints\",G2,".PcbLib")</f>
        <v>Footprints\DPAK.PcbLib</v>
      </c>
      <c r="G2" s="3" t="s">
        <v>6</v>
      </c>
      <c r="H2" s="2" t="str">
        <f>CONCATENATE("Footprints\",I2,".PcbLib")</f>
        <v>Footprints\DPAK_termopad.PcbLib</v>
      </c>
      <c r="I2" s="2" t="s">
        <v>7</v>
      </c>
      <c r="J2" t="s">
        <v>1089</v>
      </c>
      <c r="K2" t="s">
        <v>1090</v>
      </c>
    </row>
    <row r="3" spans="1:19" ht="15.6" x14ac:dyDescent="0.3">
      <c r="A3" s="3" t="s">
        <v>15</v>
      </c>
      <c r="B3" s="3" t="s">
        <v>5</v>
      </c>
      <c r="C3" s="2" t="str">
        <f t="shared" si="0"/>
        <v>100N03A</v>
      </c>
      <c r="D3" s="3" t="s">
        <v>10</v>
      </c>
      <c r="E3" s="3" t="s">
        <v>11</v>
      </c>
      <c r="F3" s="2" t="str">
        <f t="shared" si="1"/>
        <v>Footprints\DPAK.PcbLib</v>
      </c>
      <c r="G3" s="3" t="s">
        <v>6</v>
      </c>
      <c r="H3" s="2" t="str">
        <f>CONCATENATE("Footprints\",I3,".PcbLib")</f>
        <v>Footprints\DPAK_termopad.PcbLib</v>
      </c>
      <c r="I3" s="2" t="s">
        <v>7</v>
      </c>
      <c r="J3" t="s">
        <v>947</v>
      </c>
      <c r="K3" t="s">
        <v>1091</v>
      </c>
    </row>
    <row r="4" spans="1:19" ht="15.6" x14ac:dyDescent="0.3">
      <c r="A4" s="3" t="s">
        <v>16</v>
      </c>
      <c r="B4" s="3" t="s">
        <v>5</v>
      </c>
      <c r="C4" s="2" t="str">
        <f t="shared" si="0"/>
        <v>AO3400A</v>
      </c>
      <c r="D4" s="3" t="s">
        <v>10</v>
      </c>
      <c r="E4" s="3" t="s">
        <v>17</v>
      </c>
      <c r="F4" s="2" t="str">
        <f t="shared" si="1"/>
        <v>Footprints\SOT23-3.PcbLib</v>
      </c>
      <c r="G4" s="3" t="s">
        <v>18</v>
      </c>
      <c r="H4" s="3"/>
      <c r="I4" s="2"/>
    </row>
    <row r="5" spans="1:19" ht="15.6" x14ac:dyDescent="0.3">
      <c r="A5" s="3" t="s">
        <v>19</v>
      </c>
      <c r="B5" s="3" t="s">
        <v>21</v>
      </c>
      <c r="C5" s="2" t="str">
        <f t="shared" si="0"/>
        <v>AO3401A</v>
      </c>
      <c r="D5" s="3" t="s">
        <v>20</v>
      </c>
      <c r="E5" s="3" t="s">
        <v>22</v>
      </c>
      <c r="F5" s="2" t="str">
        <f t="shared" si="1"/>
        <v>Footprints\SOT23-3.PcbLib</v>
      </c>
      <c r="G5" s="3" t="s">
        <v>18</v>
      </c>
      <c r="H5" s="2"/>
      <c r="I5" s="2"/>
    </row>
    <row r="6" spans="1:19" ht="15.6" x14ac:dyDescent="0.3">
      <c r="A6" s="3" t="s">
        <v>23</v>
      </c>
      <c r="B6" s="3" t="s">
        <v>21</v>
      </c>
      <c r="C6" s="2" t="str">
        <f t="shared" si="0"/>
        <v>SUD50P06-15</v>
      </c>
      <c r="D6" s="3" t="s">
        <v>20</v>
      </c>
      <c r="E6" s="3" t="s">
        <v>24</v>
      </c>
      <c r="F6" s="2" t="str">
        <f t="shared" si="1"/>
        <v>Footprints\DPAK.PcbLib</v>
      </c>
      <c r="G6" s="3" t="s">
        <v>6</v>
      </c>
      <c r="H6" s="2" t="str">
        <f>CONCATENATE("Footprints\",I6,".PcbLib")</f>
        <v>Footprints\DPAK_termopad.PcbLib</v>
      </c>
      <c r="I6" s="2" t="s">
        <v>7</v>
      </c>
    </row>
    <row r="7" spans="1:19" ht="15.6" x14ac:dyDescent="0.3">
      <c r="A7" s="1" t="s">
        <v>837</v>
      </c>
      <c r="B7" s="3" t="s">
        <v>21</v>
      </c>
      <c r="C7" s="2" t="str">
        <f t="shared" si="0"/>
        <v>AO4411</v>
      </c>
      <c r="D7" s="3" t="s">
        <v>838</v>
      </c>
      <c r="E7" s="3" t="s">
        <v>839</v>
      </c>
      <c r="F7" t="str">
        <f t="shared" si="1"/>
        <v>Footprints\SOIC-8.PcbLib</v>
      </c>
      <c r="G7" s="1" t="s">
        <v>78</v>
      </c>
      <c r="H7" s="2"/>
    </row>
    <row r="8" spans="1:19" ht="15.6" x14ac:dyDescent="0.3">
      <c r="A8" s="1" t="s">
        <v>840</v>
      </c>
      <c r="B8" s="1" t="s">
        <v>841</v>
      </c>
      <c r="C8" s="2" t="str">
        <f t="shared" ref="C8:C13" si="2">A8</f>
        <v>AO4812</v>
      </c>
      <c r="D8" s="3" t="s">
        <v>842</v>
      </c>
      <c r="E8" s="1" t="s">
        <v>840</v>
      </c>
      <c r="F8" t="str">
        <f t="shared" si="1"/>
        <v>Footprints\SOP8.PcbLib</v>
      </c>
      <c r="G8" s="1" t="s">
        <v>864</v>
      </c>
      <c r="J8" t="s">
        <v>947</v>
      </c>
      <c r="K8" t="s">
        <v>948</v>
      </c>
    </row>
    <row r="9" spans="1:19" ht="15.6" x14ac:dyDescent="0.3">
      <c r="A9" s="1" t="s">
        <v>939</v>
      </c>
      <c r="B9" s="1" t="s">
        <v>940</v>
      </c>
      <c r="C9" s="2" t="str">
        <f t="shared" si="2"/>
        <v>bc807</v>
      </c>
      <c r="D9" s="3" t="s">
        <v>942</v>
      </c>
      <c r="E9" s="1" t="s">
        <v>941</v>
      </c>
      <c r="F9" t="str">
        <f>CONCATENATE("Footprints\",G9,".PcbLib")</f>
        <v>Footprints\SOT23-3.PcbLib</v>
      </c>
      <c r="G9" s="3" t="s">
        <v>18</v>
      </c>
      <c r="J9" t="s">
        <v>945</v>
      </c>
      <c r="K9" t="s">
        <v>946</v>
      </c>
    </row>
    <row r="10" spans="1:19" ht="15.6" x14ac:dyDescent="0.3">
      <c r="A10" s="1" t="s">
        <v>965</v>
      </c>
      <c r="B10" s="1" t="s">
        <v>968</v>
      </c>
      <c r="C10" s="2" t="str">
        <f t="shared" si="2"/>
        <v>AUIRF1405ZSTRL</v>
      </c>
      <c r="D10" s="3" t="s">
        <v>10</v>
      </c>
      <c r="E10" s="3" t="s">
        <v>11</v>
      </c>
      <c r="F10" s="2" t="str">
        <f t="shared" ref="F10" si="3">CONCATENATE("Footprints\",G10,".PcbLib")</f>
        <v>Footprints\D2PAK.PcbLib</v>
      </c>
      <c r="G10" s="3" t="s">
        <v>1088</v>
      </c>
      <c r="H10" s="2"/>
      <c r="I10" s="2"/>
      <c r="J10" t="s">
        <v>966</v>
      </c>
      <c r="K10" t="s">
        <v>967</v>
      </c>
    </row>
    <row r="11" spans="1:19" ht="15.6" x14ac:dyDescent="0.3">
      <c r="A11" s="1" t="s">
        <v>1270</v>
      </c>
      <c r="B11" s="1" t="s">
        <v>1271</v>
      </c>
      <c r="C11" s="2" t="str">
        <f t="shared" si="2"/>
        <v>SIR426DP-T1-GE3</v>
      </c>
      <c r="D11" s="3" t="s">
        <v>1272</v>
      </c>
      <c r="E11" s="1" t="s">
        <v>1270</v>
      </c>
      <c r="F11" t="str">
        <f>CONCATENATE("Footprints\",G11,".PcbLib")</f>
        <v>Footprints\PowerPAK_SO-8.PcbLib</v>
      </c>
      <c r="G11" s="1" t="s">
        <v>1308</v>
      </c>
      <c r="J11" t="s">
        <v>1273</v>
      </c>
    </row>
    <row r="12" spans="1:19" ht="15.6" x14ac:dyDescent="0.3">
      <c r="A12" s="34" t="s">
        <v>1302</v>
      </c>
      <c r="B12" s="1" t="s">
        <v>1303</v>
      </c>
      <c r="C12" s="2" t="str">
        <f t="shared" si="2"/>
        <v>PDTC114ET</v>
      </c>
      <c r="D12" s="3" t="s">
        <v>1304</v>
      </c>
      <c r="E12" s="1" t="s">
        <v>1302</v>
      </c>
      <c r="F12" t="str">
        <f>CONCATENATE("Footprints\",G12,".PcbLib")</f>
        <v>Footprints\SOT23-3.PcbLib</v>
      </c>
      <c r="G12" s="3" t="s">
        <v>18</v>
      </c>
      <c r="J12" t="s">
        <v>1306</v>
      </c>
      <c r="K12" t="s">
        <v>1305</v>
      </c>
    </row>
    <row r="13" spans="1:19" ht="15.6" x14ac:dyDescent="0.3">
      <c r="A13" s="1" t="s">
        <v>1321</v>
      </c>
      <c r="B13" s="1" t="s">
        <v>5</v>
      </c>
      <c r="C13" s="2" t="str">
        <f t="shared" si="2"/>
        <v>IRFH7084</v>
      </c>
      <c r="D13" s="1" t="s">
        <v>1322</v>
      </c>
      <c r="E13" s="1" t="s">
        <v>1323</v>
      </c>
      <c r="F13" t="str">
        <f>CONCATENATE("Footprints\",G13,".PcbLib")</f>
        <v>Footprints\PQFN_5x6.PcbLib</v>
      </c>
      <c r="G13" s="1" t="s">
        <v>1324</v>
      </c>
      <c r="J13" t="s">
        <v>1273</v>
      </c>
      <c r="K13" t="s">
        <v>1325</v>
      </c>
    </row>
    <row r="14" spans="1:19" ht="15.6" x14ac:dyDescent="0.3">
      <c r="A14" s="1" t="s">
        <v>1353</v>
      </c>
      <c r="B14" s="1" t="s">
        <v>1355</v>
      </c>
      <c r="C14" s="2" t="str">
        <f>A14</f>
        <v>BC857</v>
      </c>
      <c r="D14" s="3" t="s">
        <v>942</v>
      </c>
      <c r="E14" s="1" t="s">
        <v>941</v>
      </c>
      <c r="F14" t="str">
        <f>CONCATENATE("Footprints\",G14,".PcbLib")</f>
        <v>Footprints\SOT23-3.PcbLib</v>
      </c>
      <c r="G14" s="3" t="s">
        <v>18</v>
      </c>
      <c r="J14" t="s">
        <v>945</v>
      </c>
      <c r="K14" t="s">
        <v>1354</v>
      </c>
    </row>
    <row r="15" spans="1:19" ht="15.6" x14ac:dyDescent="0.3">
      <c r="A15" s="1" t="s">
        <v>1356</v>
      </c>
      <c r="B15" s="3" t="s">
        <v>21</v>
      </c>
      <c r="C15" s="2" t="str">
        <f>A15</f>
        <v>IPD90P04P405</v>
      </c>
      <c r="D15" s="3" t="s">
        <v>20</v>
      </c>
      <c r="E15" s="3" t="s">
        <v>24</v>
      </c>
      <c r="F15" t="str">
        <f>CONCATENATE("Footprints\",G15,".PcbLib")</f>
        <v>Footprints\DPAK.PcbLib</v>
      </c>
      <c r="G15" s="3" t="s">
        <v>6</v>
      </c>
      <c r="J15" t="s">
        <v>1273</v>
      </c>
      <c r="K15" t="s">
        <v>1091</v>
      </c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5"/>
  <dimension ref="A1:O185"/>
  <sheetViews>
    <sheetView topLeftCell="A151" zoomScale="85" zoomScaleNormal="85" workbookViewId="0">
      <selection activeCell="A183" sqref="A183"/>
    </sheetView>
  </sheetViews>
  <sheetFormatPr defaultRowHeight="14.4" x14ac:dyDescent="0.3"/>
  <cols>
    <col min="1" max="1" width="21.5546875" bestFit="1" customWidth="1"/>
    <col min="2" max="2" width="44.5546875" bestFit="1" customWidth="1"/>
    <col min="3" max="3" width="12.109375" bestFit="1" customWidth="1"/>
    <col min="4" max="4" width="24.44140625" bestFit="1" customWidth="1"/>
    <col min="5" max="5" width="13" bestFit="1" customWidth="1"/>
    <col min="6" max="6" width="8.109375" bestFit="1" customWidth="1"/>
    <col min="7" max="7" width="12.109375" bestFit="1" customWidth="1"/>
    <col min="8" max="8" width="32" bestFit="1" customWidth="1"/>
    <col min="9" max="9" width="16.88671875" bestFit="1" customWidth="1"/>
    <col min="10" max="10" width="41.33203125" customWidth="1"/>
    <col min="11" max="11" width="18.109375" customWidth="1"/>
    <col min="12" max="12" width="41.109375" customWidth="1"/>
    <col min="13" max="13" width="18.109375" customWidth="1"/>
    <col min="14" max="14" width="16.88671875" customWidth="1"/>
  </cols>
  <sheetData>
    <row r="1" spans="1:15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321</v>
      </c>
      <c r="H1" s="1" t="s">
        <v>12</v>
      </c>
      <c r="I1" s="1" t="s">
        <v>8</v>
      </c>
      <c r="J1" s="1" t="s">
        <v>13</v>
      </c>
      <c r="K1" s="1" t="s">
        <v>9</v>
      </c>
      <c r="L1" s="1" t="s">
        <v>33</v>
      </c>
      <c r="M1" s="1" t="s">
        <v>34</v>
      </c>
      <c r="N1" s="32" t="s">
        <v>1137</v>
      </c>
      <c r="O1" s="1"/>
    </row>
    <row r="2" spans="1:15" ht="15.6" x14ac:dyDescent="0.3">
      <c r="A2" s="3" t="s">
        <v>133</v>
      </c>
      <c r="B2" s="3" t="s">
        <v>521</v>
      </c>
      <c r="C2" s="3" t="s">
        <v>26</v>
      </c>
      <c r="D2" s="3" t="s">
        <v>29</v>
      </c>
      <c r="E2" s="3" t="s">
        <v>26</v>
      </c>
      <c r="F2" s="3" t="s">
        <v>134</v>
      </c>
      <c r="G2" s="5" t="s">
        <v>135</v>
      </c>
      <c r="H2" s="3" t="s">
        <v>136</v>
      </c>
      <c r="I2" s="3" t="s">
        <v>32</v>
      </c>
      <c r="J2" s="1"/>
      <c r="K2" s="1"/>
      <c r="L2" s="1"/>
      <c r="M2" s="1"/>
      <c r="N2" s="24"/>
    </row>
    <row r="3" spans="1:15" ht="15.6" x14ac:dyDescent="0.3">
      <c r="A3" s="3" t="s">
        <v>137</v>
      </c>
      <c r="B3" s="3" t="s">
        <v>522</v>
      </c>
      <c r="C3" s="3" t="s">
        <v>26</v>
      </c>
      <c r="D3" s="3" t="s">
        <v>29</v>
      </c>
      <c r="E3" s="3" t="s">
        <v>26</v>
      </c>
      <c r="F3" s="3" t="s">
        <v>138</v>
      </c>
      <c r="G3" s="4">
        <v>0.01</v>
      </c>
      <c r="H3" s="3" t="s">
        <v>136</v>
      </c>
      <c r="I3" s="3" t="s">
        <v>32</v>
      </c>
      <c r="J3" s="1"/>
      <c r="K3" s="1"/>
      <c r="L3" s="1"/>
      <c r="M3" s="1"/>
      <c r="N3" s="25"/>
    </row>
    <row r="4" spans="1:15" ht="15.6" x14ac:dyDescent="0.3">
      <c r="A4" s="3" t="s">
        <v>139</v>
      </c>
      <c r="B4" s="3" t="s">
        <v>523</v>
      </c>
      <c r="C4" s="3" t="s">
        <v>26</v>
      </c>
      <c r="D4" s="3" t="s">
        <v>29</v>
      </c>
      <c r="E4" s="3" t="s">
        <v>26</v>
      </c>
      <c r="F4" s="3" t="s">
        <v>140</v>
      </c>
      <c r="G4" s="4">
        <v>0.01</v>
      </c>
      <c r="H4" s="3" t="s">
        <v>136</v>
      </c>
      <c r="I4" s="3" t="s">
        <v>32</v>
      </c>
      <c r="J4" s="1"/>
      <c r="K4" s="1"/>
      <c r="L4" s="1"/>
      <c r="M4" s="1"/>
      <c r="N4" s="24"/>
    </row>
    <row r="5" spans="1:15" ht="15.6" x14ac:dyDescent="0.3">
      <c r="A5" s="3" t="s">
        <v>141</v>
      </c>
      <c r="B5" s="3" t="s">
        <v>524</v>
      </c>
      <c r="C5" s="3" t="s">
        <v>26</v>
      </c>
      <c r="D5" s="3" t="s">
        <v>29</v>
      </c>
      <c r="E5" s="3" t="s">
        <v>26</v>
      </c>
      <c r="F5" s="3" t="s">
        <v>142</v>
      </c>
      <c r="G5" s="4">
        <v>0.01</v>
      </c>
      <c r="H5" s="3" t="s">
        <v>136</v>
      </c>
      <c r="I5" s="3" t="s">
        <v>32</v>
      </c>
      <c r="J5" s="1"/>
      <c r="K5" s="1"/>
      <c r="L5" s="1"/>
      <c r="M5" s="1"/>
      <c r="N5" s="25"/>
    </row>
    <row r="6" spans="1:15" ht="15.6" x14ac:dyDescent="0.3">
      <c r="A6" s="3" t="s">
        <v>143</v>
      </c>
      <c r="B6" s="3" t="s">
        <v>525</v>
      </c>
      <c r="C6" s="3" t="s">
        <v>26</v>
      </c>
      <c r="D6" s="3" t="s">
        <v>29</v>
      </c>
      <c r="E6" s="3" t="s">
        <v>26</v>
      </c>
      <c r="F6" s="3" t="s">
        <v>144</v>
      </c>
      <c r="G6" s="4">
        <v>0.01</v>
      </c>
      <c r="H6" s="3" t="s">
        <v>136</v>
      </c>
      <c r="I6" s="3" t="s">
        <v>32</v>
      </c>
      <c r="J6" s="1"/>
      <c r="K6" s="1"/>
      <c r="L6" s="1"/>
      <c r="M6" s="1"/>
      <c r="N6" s="24"/>
    </row>
    <row r="7" spans="1:15" ht="15.6" x14ac:dyDescent="0.3">
      <c r="A7" s="3" t="s">
        <v>145</v>
      </c>
      <c r="B7" s="3" t="s">
        <v>526</v>
      </c>
      <c r="C7" s="3" t="s">
        <v>26</v>
      </c>
      <c r="D7" s="3" t="s">
        <v>29</v>
      </c>
      <c r="E7" s="3" t="s">
        <v>26</v>
      </c>
      <c r="F7" s="3" t="s">
        <v>146</v>
      </c>
      <c r="G7" s="4">
        <v>0.01</v>
      </c>
      <c r="H7" s="3" t="s">
        <v>136</v>
      </c>
      <c r="I7" s="3" t="s">
        <v>32</v>
      </c>
      <c r="J7" s="1"/>
      <c r="K7" s="1"/>
      <c r="L7" s="1"/>
      <c r="M7" s="1"/>
      <c r="N7" s="25"/>
    </row>
    <row r="8" spans="1:15" ht="15.6" x14ac:dyDescent="0.3">
      <c r="A8" s="3" t="s">
        <v>147</v>
      </c>
      <c r="B8" s="3" t="s">
        <v>527</v>
      </c>
      <c r="C8" s="3" t="s">
        <v>26</v>
      </c>
      <c r="D8" s="3" t="s">
        <v>29</v>
      </c>
      <c r="E8" s="3" t="s">
        <v>26</v>
      </c>
      <c r="F8" s="3" t="s">
        <v>148</v>
      </c>
      <c r="G8" s="4">
        <v>0.01</v>
      </c>
      <c r="H8" s="3" t="s">
        <v>136</v>
      </c>
      <c r="I8" s="3" t="s">
        <v>32</v>
      </c>
      <c r="J8" s="1"/>
      <c r="K8" s="1"/>
      <c r="L8" s="1"/>
      <c r="M8" s="1"/>
      <c r="N8" s="24"/>
    </row>
    <row r="9" spans="1:15" ht="15.6" x14ac:dyDescent="0.3">
      <c r="A9" s="3" t="s">
        <v>149</v>
      </c>
      <c r="B9" s="3" t="s">
        <v>528</v>
      </c>
      <c r="C9" s="3" t="s">
        <v>26</v>
      </c>
      <c r="D9" s="3" t="s">
        <v>29</v>
      </c>
      <c r="E9" s="3" t="s">
        <v>26</v>
      </c>
      <c r="F9" s="3" t="s">
        <v>150</v>
      </c>
      <c r="G9" s="4">
        <v>0.01</v>
      </c>
      <c r="H9" s="3" t="s">
        <v>136</v>
      </c>
      <c r="I9" s="3" t="s">
        <v>32</v>
      </c>
      <c r="J9" s="1"/>
      <c r="K9" s="1"/>
      <c r="L9" s="1"/>
      <c r="M9" s="1"/>
      <c r="N9" s="25"/>
    </row>
    <row r="10" spans="1:15" ht="15.6" x14ac:dyDescent="0.3">
      <c r="A10" s="3" t="s">
        <v>151</v>
      </c>
      <c r="B10" s="3" t="s">
        <v>529</v>
      </c>
      <c r="C10" s="3" t="s">
        <v>26</v>
      </c>
      <c r="D10" s="3" t="s">
        <v>29</v>
      </c>
      <c r="E10" s="3" t="s">
        <v>26</v>
      </c>
      <c r="F10" s="3" t="s">
        <v>152</v>
      </c>
      <c r="G10" s="4">
        <v>0.01</v>
      </c>
      <c r="H10" s="3" t="s">
        <v>136</v>
      </c>
      <c r="I10" s="3" t="s">
        <v>32</v>
      </c>
      <c r="J10" s="1"/>
      <c r="K10" s="1"/>
      <c r="L10" s="1"/>
      <c r="M10" s="1"/>
      <c r="N10" s="24"/>
    </row>
    <row r="11" spans="1:15" ht="15.6" x14ac:dyDescent="0.3">
      <c r="A11" s="3" t="s">
        <v>153</v>
      </c>
      <c r="B11" s="3" t="s">
        <v>530</v>
      </c>
      <c r="C11" s="3" t="s">
        <v>26</v>
      </c>
      <c r="D11" s="3" t="s">
        <v>29</v>
      </c>
      <c r="E11" s="3" t="s">
        <v>26</v>
      </c>
      <c r="F11" s="3" t="s">
        <v>154</v>
      </c>
      <c r="G11" s="4">
        <v>0.01</v>
      </c>
      <c r="H11" s="3" t="s">
        <v>136</v>
      </c>
      <c r="I11" s="3" t="s">
        <v>32</v>
      </c>
      <c r="J11" s="1"/>
      <c r="K11" s="1"/>
      <c r="L11" s="1"/>
      <c r="M11" s="1"/>
      <c r="N11" s="25"/>
    </row>
    <row r="12" spans="1:15" ht="15.6" x14ac:dyDescent="0.3">
      <c r="A12" s="3" t="s">
        <v>461</v>
      </c>
      <c r="B12" s="3" t="s">
        <v>531</v>
      </c>
      <c r="C12" s="3" t="s">
        <v>26</v>
      </c>
      <c r="D12" s="3" t="s">
        <v>29</v>
      </c>
      <c r="E12" s="3" t="s">
        <v>26</v>
      </c>
      <c r="F12" s="3" t="s">
        <v>376</v>
      </c>
      <c r="G12" s="4">
        <v>0.01</v>
      </c>
      <c r="H12" s="3" t="s">
        <v>136</v>
      </c>
      <c r="I12" s="3" t="s">
        <v>32</v>
      </c>
      <c r="J12" s="1"/>
      <c r="K12" s="1"/>
      <c r="L12" s="1"/>
      <c r="M12" s="1"/>
      <c r="N12" s="24"/>
    </row>
    <row r="13" spans="1:15" ht="15.6" x14ac:dyDescent="0.3">
      <c r="A13" s="3" t="s">
        <v>462</v>
      </c>
      <c r="B13" s="3" t="s">
        <v>532</v>
      </c>
      <c r="C13" s="3" t="s">
        <v>26</v>
      </c>
      <c r="D13" s="3" t="s">
        <v>29</v>
      </c>
      <c r="E13" s="3" t="s">
        <v>26</v>
      </c>
      <c r="F13" s="3" t="s">
        <v>377</v>
      </c>
      <c r="G13" s="4">
        <v>0.01</v>
      </c>
      <c r="H13" s="3" t="s">
        <v>136</v>
      </c>
      <c r="I13" s="3" t="s">
        <v>32</v>
      </c>
      <c r="J13" s="1"/>
      <c r="K13" s="1"/>
      <c r="L13" s="1"/>
      <c r="M13" s="1"/>
      <c r="N13" s="25"/>
    </row>
    <row r="14" spans="1:15" ht="15.6" x14ac:dyDescent="0.3">
      <c r="A14" s="3" t="s">
        <v>463</v>
      </c>
      <c r="B14" s="3" t="s">
        <v>533</v>
      </c>
      <c r="C14" s="3" t="s">
        <v>26</v>
      </c>
      <c r="D14" s="3" t="s">
        <v>29</v>
      </c>
      <c r="E14" s="3" t="s">
        <v>26</v>
      </c>
      <c r="F14" s="3" t="s">
        <v>378</v>
      </c>
      <c r="G14" s="4">
        <v>0.01</v>
      </c>
      <c r="H14" s="3" t="s">
        <v>136</v>
      </c>
      <c r="I14" s="3" t="s">
        <v>32</v>
      </c>
      <c r="J14" s="1"/>
      <c r="K14" s="1"/>
      <c r="L14" s="1"/>
      <c r="M14" s="1"/>
      <c r="N14" s="24"/>
    </row>
    <row r="15" spans="1:15" ht="15.6" x14ac:dyDescent="0.3">
      <c r="A15" s="3" t="s">
        <v>464</v>
      </c>
      <c r="B15" s="3" t="s">
        <v>534</v>
      </c>
      <c r="C15" s="3" t="s">
        <v>26</v>
      </c>
      <c r="D15" s="3" t="s">
        <v>29</v>
      </c>
      <c r="E15" s="3" t="s">
        <v>26</v>
      </c>
      <c r="F15" s="3" t="s">
        <v>379</v>
      </c>
      <c r="G15" s="4">
        <v>0.01</v>
      </c>
      <c r="H15" s="3" t="s">
        <v>136</v>
      </c>
      <c r="I15" s="3" t="s">
        <v>32</v>
      </c>
      <c r="J15" s="1"/>
      <c r="K15" s="1"/>
      <c r="L15" s="1"/>
      <c r="M15" s="1"/>
      <c r="N15" s="25"/>
    </row>
    <row r="16" spans="1:15" ht="15.6" x14ac:dyDescent="0.3">
      <c r="A16" s="3" t="s">
        <v>465</v>
      </c>
      <c r="B16" s="3" t="s">
        <v>535</v>
      </c>
      <c r="C16" s="3" t="s">
        <v>26</v>
      </c>
      <c r="D16" s="3" t="s">
        <v>29</v>
      </c>
      <c r="E16" s="3" t="s">
        <v>26</v>
      </c>
      <c r="F16" s="3" t="s">
        <v>380</v>
      </c>
      <c r="G16" s="4">
        <v>0.01</v>
      </c>
      <c r="H16" s="3" t="s">
        <v>136</v>
      </c>
      <c r="I16" s="3" t="s">
        <v>32</v>
      </c>
      <c r="J16" s="1"/>
      <c r="K16" s="1"/>
      <c r="L16" s="1"/>
      <c r="M16" s="1"/>
      <c r="N16" s="24"/>
    </row>
    <row r="17" spans="1:14" ht="15.6" x14ac:dyDescent="0.3">
      <c r="A17" s="3" t="s">
        <v>466</v>
      </c>
      <c r="B17" s="3" t="s">
        <v>536</v>
      </c>
      <c r="C17" s="3" t="s">
        <v>26</v>
      </c>
      <c r="D17" s="3" t="s">
        <v>29</v>
      </c>
      <c r="E17" s="3" t="s">
        <v>26</v>
      </c>
      <c r="F17" s="3" t="s">
        <v>381</v>
      </c>
      <c r="G17" s="4">
        <v>0.01</v>
      </c>
      <c r="H17" s="3" t="s">
        <v>136</v>
      </c>
      <c r="I17" s="3" t="s">
        <v>32</v>
      </c>
      <c r="J17" s="1"/>
      <c r="K17" s="1"/>
      <c r="L17" s="1"/>
      <c r="M17" s="1"/>
      <c r="N17" s="25"/>
    </row>
    <row r="18" spans="1:14" ht="15.6" x14ac:dyDescent="0.3">
      <c r="A18" s="3" t="s">
        <v>467</v>
      </c>
      <c r="B18" s="3" t="s">
        <v>537</v>
      </c>
      <c r="C18" s="3" t="s">
        <v>26</v>
      </c>
      <c r="D18" s="3" t="s">
        <v>29</v>
      </c>
      <c r="E18" s="3" t="s">
        <v>26</v>
      </c>
      <c r="F18" s="3" t="s">
        <v>382</v>
      </c>
      <c r="G18" s="4">
        <v>0.01</v>
      </c>
      <c r="H18" s="3" t="s">
        <v>136</v>
      </c>
      <c r="I18" s="3" t="s">
        <v>32</v>
      </c>
      <c r="J18" s="1"/>
      <c r="K18" s="1"/>
      <c r="L18" s="1"/>
      <c r="M18" s="1"/>
      <c r="N18" s="24"/>
    </row>
    <row r="19" spans="1:14" ht="15.6" x14ac:dyDescent="0.3">
      <c r="A19" s="3" t="s">
        <v>155</v>
      </c>
      <c r="B19" s="3" t="s">
        <v>538</v>
      </c>
      <c r="C19" s="3" t="s">
        <v>26</v>
      </c>
      <c r="D19" s="3" t="s">
        <v>29</v>
      </c>
      <c r="E19" s="3" t="s">
        <v>26</v>
      </c>
      <c r="F19" s="3" t="s">
        <v>156</v>
      </c>
      <c r="G19" s="4">
        <v>0.01</v>
      </c>
      <c r="H19" s="3" t="s">
        <v>136</v>
      </c>
      <c r="I19" s="3" t="s">
        <v>32</v>
      </c>
      <c r="J19" s="1"/>
      <c r="K19" s="1"/>
      <c r="L19" s="1"/>
      <c r="M19" s="1"/>
      <c r="N19" s="25"/>
    </row>
    <row r="20" spans="1:14" ht="15.6" x14ac:dyDescent="0.3">
      <c r="A20" s="3" t="s">
        <v>157</v>
      </c>
      <c r="B20" s="3" t="s">
        <v>539</v>
      </c>
      <c r="C20" s="3" t="s">
        <v>26</v>
      </c>
      <c r="D20" s="3" t="s">
        <v>29</v>
      </c>
      <c r="E20" s="3" t="s">
        <v>26</v>
      </c>
      <c r="F20" s="3" t="s">
        <v>158</v>
      </c>
      <c r="G20" s="4">
        <v>0.01</v>
      </c>
      <c r="H20" s="3" t="s">
        <v>136</v>
      </c>
      <c r="I20" s="3" t="s">
        <v>32</v>
      </c>
      <c r="J20" s="1"/>
      <c r="K20" s="1"/>
      <c r="L20" s="1"/>
      <c r="M20" s="1"/>
      <c r="N20" s="24"/>
    </row>
    <row r="21" spans="1:14" ht="15.6" x14ac:dyDescent="0.3">
      <c r="A21" s="3" t="s">
        <v>159</v>
      </c>
      <c r="B21" s="3" t="s">
        <v>540</v>
      </c>
      <c r="C21" s="3" t="s">
        <v>26</v>
      </c>
      <c r="D21" s="3" t="s">
        <v>29</v>
      </c>
      <c r="E21" s="3" t="s">
        <v>26</v>
      </c>
      <c r="F21" s="3" t="s">
        <v>160</v>
      </c>
      <c r="G21" s="4">
        <v>0.01</v>
      </c>
      <c r="H21" s="3" t="s">
        <v>136</v>
      </c>
      <c r="I21" s="3" t="s">
        <v>32</v>
      </c>
      <c r="J21" s="1"/>
      <c r="K21" s="1"/>
      <c r="L21" s="1"/>
      <c r="M21" s="1"/>
      <c r="N21" s="25"/>
    </row>
    <row r="22" spans="1:14" ht="15.6" x14ac:dyDescent="0.3">
      <c r="A22" s="3" t="s">
        <v>161</v>
      </c>
      <c r="B22" s="3" t="s">
        <v>541</v>
      </c>
      <c r="C22" s="3" t="s">
        <v>26</v>
      </c>
      <c r="D22" s="3" t="s">
        <v>29</v>
      </c>
      <c r="E22" s="3" t="s">
        <v>26</v>
      </c>
      <c r="F22" s="3" t="s">
        <v>162</v>
      </c>
      <c r="G22" s="4">
        <v>0.01</v>
      </c>
      <c r="H22" s="3" t="s">
        <v>136</v>
      </c>
      <c r="I22" s="3" t="s">
        <v>32</v>
      </c>
      <c r="J22" s="1"/>
      <c r="K22" s="1"/>
      <c r="L22" s="1"/>
      <c r="M22" s="1"/>
      <c r="N22" s="24"/>
    </row>
    <row r="23" spans="1:14" ht="15.6" x14ac:dyDescent="0.3">
      <c r="A23" s="3" t="s">
        <v>163</v>
      </c>
      <c r="B23" s="3" t="s">
        <v>542</v>
      </c>
      <c r="C23" s="3" t="s">
        <v>26</v>
      </c>
      <c r="D23" s="3" t="s">
        <v>29</v>
      </c>
      <c r="E23" s="3" t="s">
        <v>26</v>
      </c>
      <c r="F23" s="3" t="s">
        <v>164</v>
      </c>
      <c r="G23" s="4">
        <v>0.01</v>
      </c>
      <c r="H23" s="3" t="s">
        <v>136</v>
      </c>
      <c r="I23" s="3" t="s">
        <v>32</v>
      </c>
      <c r="J23" s="1"/>
      <c r="K23" s="1"/>
      <c r="L23" s="1"/>
      <c r="M23" s="1"/>
      <c r="N23" s="25"/>
    </row>
    <row r="24" spans="1:14" ht="15.6" x14ac:dyDescent="0.3">
      <c r="A24" s="3" t="s">
        <v>514</v>
      </c>
      <c r="B24" s="3" t="s">
        <v>543</v>
      </c>
      <c r="C24" s="3" t="s">
        <v>26</v>
      </c>
      <c r="D24" s="3" t="s">
        <v>29</v>
      </c>
      <c r="E24" s="3" t="s">
        <v>26</v>
      </c>
      <c r="F24" s="3" t="s">
        <v>690</v>
      </c>
      <c r="G24" s="4">
        <v>0.01</v>
      </c>
      <c r="H24" s="3" t="s">
        <v>136</v>
      </c>
      <c r="I24" s="3" t="s">
        <v>32</v>
      </c>
      <c r="J24" s="1"/>
      <c r="K24" s="1"/>
      <c r="L24" s="1"/>
      <c r="M24" s="1"/>
      <c r="N24" s="24"/>
    </row>
    <row r="25" spans="1:14" ht="15.6" x14ac:dyDescent="0.3">
      <c r="A25" s="3" t="s">
        <v>165</v>
      </c>
      <c r="B25" s="3" t="s">
        <v>544</v>
      </c>
      <c r="C25" s="3" t="s">
        <v>26</v>
      </c>
      <c r="D25" s="3" t="s">
        <v>29</v>
      </c>
      <c r="E25" s="3" t="s">
        <v>26</v>
      </c>
      <c r="F25" s="3" t="s">
        <v>166</v>
      </c>
      <c r="G25" s="4">
        <v>0.01</v>
      </c>
      <c r="H25" s="3" t="s">
        <v>136</v>
      </c>
      <c r="I25" s="3" t="s">
        <v>32</v>
      </c>
      <c r="J25" s="1"/>
      <c r="K25" s="1"/>
      <c r="L25" s="1"/>
      <c r="M25" s="1"/>
      <c r="N25" s="25"/>
    </row>
    <row r="26" spans="1:14" ht="15.6" x14ac:dyDescent="0.3">
      <c r="A26" s="3" t="s">
        <v>167</v>
      </c>
      <c r="B26" s="3" t="s">
        <v>545</v>
      </c>
      <c r="C26" s="3" t="s">
        <v>26</v>
      </c>
      <c r="D26" s="3" t="s">
        <v>29</v>
      </c>
      <c r="E26" s="3" t="s">
        <v>26</v>
      </c>
      <c r="F26" s="3" t="s">
        <v>383</v>
      </c>
      <c r="G26" s="4">
        <v>0.01</v>
      </c>
      <c r="H26" s="3" t="s">
        <v>136</v>
      </c>
      <c r="I26" s="3" t="s">
        <v>32</v>
      </c>
      <c r="J26" s="1"/>
      <c r="K26" s="1"/>
      <c r="L26" s="1"/>
      <c r="M26" s="1"/>
      <c r="N26" s="24"/>
    </row>
    <row r="27" spans="1:14" ht="15.6" x14ac:dyDescent="0.3">
      <c r="A27" s="3" t="s">
        <v>168</v>
      </c>
      <c r="B27" s="3" t="s">
        <v>546</v>
      </c>
      <c r="C27" s="3" t="s">
        <v>26</v>
      </c>
      <c r="D27" s="3" t="s">
        <v>29</v>
      </c>
      <c r="E27" s="3" t="s">
        <v>26</v>
      </c>
      <c r="F27" s="3" t="s">
        <v>384</v>
      </c>
      <c r="G27" s="4">
        <v>0.01</v>
      </c>
      <c r="H27" s="3" t="s">
        <v>136</v>
      </c>
      <c r="I27" s="3" t="s">
        <v>32</v>
      </c>
      <c r="J27" s="1"/>
      <c r="K27" s="1"/>
      <c r="L27" s="1"/>
      <c r="M27" s="1"/>
      <c r="N27" s="25"/>
    </row>
    <row r="28" spans="1:14" ht="15.6" x14ac:dyDescent="0.3">
      <c r="A28" s="3" t="s">
        <v>169</v>
      </c>
      <c r="B28" s="3" t="s">
        <v>547</v>
      </c>
      <c r="C28" s="3" t="s">
        <v>26</v>
      </c>
      <c r="D28" s="3" t="s">
        <v>29</v>
      </c>
      <c r="E28" s="3" t="s">
        <v>26</v>
      </c>
      <c r="F28" s="3" t="s">
        <v>385</v>
      </c>
      <c r="G28" s="4">
        <v>0.01</v>
      </c>
      <c r="H28" s="3" t="s">
        <v>136</v>
      </c>
      <c r="I28" s="3" t="s">
        <v>32</v>
      </c>
      <c r="J28" s="1"/>
      <c r="K28" s="1"/>
      <c r="L28" s="1"/>
      <c r="M28" s="1"/>
      <c r="N28" s="24"/>
    </row>
    <row r="29" spans="1:14" ht="15.6" x14ac:dyDescent="0.3">
      <c r="A29" s="3" t="s">
        <v>170</v>
      </c>
      <c r="B29" s="3" t="s">
        <v>548</v>
      </c>
      <c r="C29" s="3" t="s">
        <v>26</v>
      </c>
      <c r="D29" s="3" t="s">
        <v>29</v>
      </c>
      <c r="E29" s="3" t="s">
        <v>26</v>
      </c>
      <c r="F29" s="3" t="s">
        <v>386</v>
      </c>
      <c r="G29" s="4">
        <v>0.01</v>
      </c>
      <c r="H29" s="3" t="s">
        <v>136</v>
      </c>
      <c r="I29" s="3" t="s">
        <v>32</v>
      </c>
      <c r="J29" s="1"/>
      <c r="K29" s="1"/>
      <c r="L29" s="1"/>
      <c r="M29" s="1"/>
      <c r="N29" s="25"/>
    </row>
    <row r="30" spans="1:14" ht="15.6" x14ac:dyDescent="0.3">
      <c r="A30" s="3" t="s">
        <v>171</v>
      </c>
      <c r="B30" s="3" t="s">
        <v>549</v>
      </c>
      <c r="C30" s="3" t="s">
        <v>26</v>
      </c>
      <c r="D30" s="3" t="s">
        <v>29</v>
      </c>
      <c r="E30" s="3" t="s">
        <v>26</v>
      </c>
      <c r="F30" s="3" t="s">
        <v>387</v>
      </c>
      <c r="G30" s="4">
        <v>0.01</v>
      </c>
      <c r="H30" s="3" t="s">
        <v>136</v>
      </c>
      <c r="I30" s="3" t="s">
        <v>32</v>
      </c>
      <c r="J30" s="1"/>
      <c r="K30" s="1"/>
      <c r="L30" s="1"/>
      <c r="M30" s="1"/>
      <c r="N30" s="24"/>
    </row>
    <row r="31" spans="1:14" ht="15.6" x14ac:dyDescent="0.3">
      <c r="A31" s="3" t="s">
        <v>172</v>
      </c>
      <c r="B31" s="3" t="s">
        <v>550</v>
      </c>
      <c r="C31" s="3" t="s">
        <v>26</v>
      </c>
      <c r="D31" s="3" t="s">
        <v>29</v>
      </c>
      <c r="E31" s="3" t="s">
        <v>26</v>
      </c>
      <c r="F31" s="3" t="s">
        <v>388</v>
      </c>
      <c r="G31" s="4">
        <v>0.01</v>
      </c>
      <c r="H31" s="3" t="s">
        <v>136</v>
      </c>
      <c r="I31" s="3" t="s">
        <v>32</v>
      </c>
      <c r="J31" s="1"/>
      <c r="K31" s="1"/>
      <c r="L31" s="1"/>
      <c r="M31" s="1"/>
      <c r="N31" s="25"/>
    </row>
    <row r="32" spans="1:14" ht="15.6" x14ac:dyDescent="0.3">
      <c r="A32" s="3" t="s">
        <v>173</v>
      </c>
      <c r="B32" s="3" t="s">
        <v>551</v>
      </c>
      <c r="C32" s="3" t="s">
        <v>26</v>
      </c>
      <c r="D32" s="3" t="s">
        <v>29</v>
      </c>
      <c r="E32" s="3" t="s">
        <v>26</v>
      </c>
      <c r="F32" s="3" t="s">
        <v>389</v>
      </c>
      <c r="G32" s="4">
        <v>0.01</v>
      </c>
      <c r="H32" s="3" t="s">
        <v>136</v>
      </c>
      <c r="I32" s="3" t="s">
        <v>32</v>
      </c>
      <c r="J32" s="1"/>
      <c r="K32" s="1"/>
      <c r="L32" s="1"/>
      <c r="M32" s="1"/>
      <c r="N32" s="24"/>
    </row>
    <row r="33" spans="1:14" ht="15.6" x14ac:dyDescent="0.3">
      <c r="A33" s="3" t="s">
        <v>174</v>
      </c>
      <c r="B33" s="3" t="s">
        <v>552</v>
      </c>
      <c r="C33" s="3" t="s">
        <v>26</v>
      </c>
      <c r="D33" s="3" t="s">
        <v>29</v>
      </c>
      <c r="E33" s="3" t="s">
        <v>26</v>
      </c>
      <c r="F33" s="3" t="s">
        <v>390</v>
      </c>
      <c r="G33" s="4">
        <v>0.01</v>
      </c>
      <c r="H33" s="3" t="s">
        <v>136</v>
      </c>
      <c r="I33" s="3" t="s">
        <v>32</v>
      </c>
      <c r="J33" s="1"/>
      <c r="K33" s="1"/>
      <c r="L33" s="1"/>
      <c r="M33" s="1"/>
      <c r="N33" s="25"/>
    </row>
    <row r="34" spans="1:14" ht="15.6" x14ac:dyDescent="0.3">
      <c r="A34" s="3" t="s">
        <v>175</v>
      </c>
      <c r="B34" s="3" t="s">
        <v>553</v>
      </c>
      <c r="C34" s="3" t="s">
        <v>26</v>
      </c>
      <c r="D34" s="3" t="s">
        <v>29</v>
      </c>
      <c r="E34" s="3" t="s">
        <v>26</v>
      </c>
      <c r="F34" s="3" t="s">
        <v>391</v>
      </c>
      <c r="G34" s="4">
        <v>0.01</v>
      </c>
      <c r="H34" s="3" t="s">
        <v>136</v>
      </c>
      <c r="I34" s="3" t="s">
        <v>32</v>
      </c>
      <c r="J34" s="1"/>
      <c r="K34" s="1"/>
      <c r="L34" s="1"/>
      <c r="M34" s="1"/>
      <c r="N34" s="24"/>
    </row>
    <row r="35" spans="1:14" ht="15.6" x14ac:dyDescent="0.3">
      <c r="A35" s="3" t="s">
        <v>176</v>
      </c>
      <c r="B35" s="3" t="s">
        <v>554</v>
      </c>
      <c r="C35" s="3" t="s">
        <v>26</v>
      </c>
      <c r="D35" s="3" t="s">
        <v>29</v>
      </c>
      <c r="E35" s="3" t="s">
        <v>26</v>
      </c>
      <c r="F35" s="3" t="s">
        <v>392</v>
      </c>
      <c r="G35" s="4">
        <v>0.01</v>
      </c>
      <c r="H35" s="3" t="s">
        <v>136</v>
      </c>
      <c r="I35" s="3" t="s">
        <v>32</v>
      </c>
      <c r="J35" s="1"/>
      <c r="K35" s="1"/>
      <c r="L35" s="1"/>
      <c r="M35" s="1"/>
      <c r="N35" s="25"/>
    </row>
    <row r="36" spans="1:14" ht="15.6" x14ac:dyDescent="0.3">
      <c r="A36" s="3" t="s">
        <v>468</v>
      </c>
      <c r="B36" s="3" t="s">
        <v>555</v>
      </c>
      <c r="C36" s="3" t="s">
        <v>26</v>
      </c>
      <c r="D36" s="3" t="s">
        <v>29</v>
      </c>
      <c r="E36" s="3" t="s">
        <v>26</v>
      </c>
      <c r="F36" s="3" t="s">
        <v>393</v>
      </c>
      <c r="G36" s="4">
        <v>0.01</v>
      </c>
      <c r="H36" s="3" t="s">
        <v>136</v>
      </c>
      <c r="I36" s="3" t="s">
        <v>32</v>
      </c>
      <c r="J36" s="1"/>
      <c r="K36" s="1"/>
      <c r="L36" s="1"/>
      <c r="M36" s="1"/>
      <c r="N36" s="24"/>
    </row>
    <row r="37" spans="1:14" ht="15.6" x14ac:dyDescent="0.3">
      <c r="A37" s="3" t="s">
        <v>469</v>
      </c>
      <c r="B37" s="3" t="s">
        <v>556</v>
      </c>
      <c r="C37" s="3" t="s">
        <v>26</v>
      </c>
      <c r="D37" s="3" t="s">
        <v>29</v>
      </c>
      <c r="E37" s="3" t="s">
        <v>26</v>
      </c>
      <c r="F37" s="3" t="s">
        <v>394</v>
      </c>
      <c r="G37" s="4">
        <v>0.01</v>
      </c>
      <c r="H37" s="3" t="s">
        <v>136</v>
      </c>
      <c r="I37" s="3" t="s">
        <v>32</v>
      </c>
      <c r="J37" s="1"/>
      <c r="K37" s="1"/>
      <c r="L37" s="1"/>
      <c r="M37" s="1"/>
      <c r="N37" s="25"/>
    </row>
    <row r="38" spans="1:14" ht="15.6" x14ac:dyDescent="0.3">
      <c r="A38" s="3" t="s">
        <v>470</v>
      </c>
      <c r="B38" s="3" t="s">
        <v>557</v>
      </c>
      <c r="C38" s="3" t="s">
        <v>26</v>
      </c>
      <c r="D38" s="3" t="s">
        <v>29</v>
      </c>
      <c r="E38" s="3" t="s">
        <v>26</v>
      </c>
      <c r="F38" s="3" t="s">
        <v>395</v>
      </c>
      <c r="G38" s="4">
        <v>0.01</v>
      </c>
      <c r="H38" s="3" t="s">
        <v>136</v>
      </c>
      <c r="I38" s="3" t="s">
        <v>32</v>
      </c>
      <c r="J38" s="1"/>
      <c r="K38" s="1"/>
      <c r="L38" s="1"/>
      <c r="M38" s="1"/>
      <c r="N38" s="24"/>
    </row>
    <row r="39" spans="1:14" ht="15.6" x14ac:dyDescent="0.3">
      <c r="A39" s="3" t="s">
        <v>471</v>
      </c>
      <c r="B39" s="3" t="s">
        <v>558</v>
      </c>
      <c r="C39" s="3" t="s">
        <v>26</v>
      </c>
      <c r="D39" s="3" t="s">
        <v>29</v>
      </c>
      <c r="E39" s="3" t="s">
        <v>26</v>
      </c>
      <c r="F39" s="3" t="s">
        <v>396</v>
      </c>
      <c r="G39" s="4">
        <v>0.01</v>
      </c>
      <c r="H39" s="3" t="s">
        <v>136</v>
      </c>
      <c r="I39" s="3" t="s">
        <v>32</v>
      </c>
      <c r="J39" s="1"/>
      <c r="K39" s="1"/>
      <c r="L39" s="1"/>
      <c r="M39" s="1"/>
      <c r="N39" s="25"/>
    </row>
    <row r="40" spans="1:14" ht="15.6" x14ac:dyDescent="0.3">
      <c r="A40" s="3" t="s">
        <v>472</v>
      </c>
      <c r="B40" s="3" t="s">
        <v>559</v>
      </c>
      <c r="C40" s="3" t="s">
        <v>26</v>
      </c>
      <c r="D40" s="3" t="s">
        <v>29</v>
      </c>
      <c r="E40" s="3" t="s">
        <v>26</v>
      </c>
      <c r="F40" s="3" t="s">
        <v>397</v>
      </c>
      <c r="G40" s="4">
        <v>0.01</v>
      </c>
      <c r="H40" s="3" t="s">
        <v>136</v>
      </c>
      <c r="I40" s="3" t="s">
        <v>32</v>
      </c>
      <c r="J40" s="1"/>
      <c r="K40" s="1"/>
      <c r="L40" s="1"/>
      <c r="M40" s="1"/>
      <c r="N40" s="24"/>
    </row>
    <row r="41" spans="1:14" ht="15.6" x14ac:dyDescent="0.3">
      <c r="A41" s="3" t="s">
        <v>473</v>
      </c>
      <c r="B41" s="3" t="s">
        <v>560</v>
      </c>
      <c r="C41" s="3" t="s">
        <v>26</v>
      </c>
      <c r="D41" s="3" t="s">
        <v>29</v>
      </c>
      <c r="E41" s="3" t="s">
        <v>26</v>
      </c>
      <c r="F41" s="3" t="s">
        <v>398</v>
      </c>
      <c r="G41" s="4">
        <v>0.01</v>
      </c>
      <c r="H41" s="3" t="s">
        <v>136</v>
      </c>
      <c r="I41" s="3" t="s">
        <v>32</v>
      </c>
      <c r="J41" s="1"/>
      <c r="K41" s="1"/>
      <c r="L41" s="1"/>
      <c r="M41" s="1"/>
      <c r="N41" s="25"/>
    </row>
    <row r="42" spans="1:14" ht="15.6" x14ac:dyDescent="0.3">
      <c r="A42" s="3" t="s">
        <v>474</v>
      </c>
      <c r="B42" s="3" t="s">
        <v>561</v>
      </c>
      <c r="C42" s="3" t="s">
        <v>26</v>
      </c>
      <c r="D42" s="3" t="s">
        <v>29</v>
      </c>
      <c r="E42" s="3" t="s">
        <v>26</v>
      </c>
      <c r="F42" s="3" t="s">
        <v>399</v>
      </c>
      <c r="G42" s="4">
        <v>0.01</v>
      </c>
      <c r="H42" s="3" t="s">
        <v>136</v>
      </c>
      <c r="I42" s="3" t="s">
        <v>32</v>
      </c>
      <c r="J42" s="1"/>
      <c r="K42" s="1"/>
      <c r="L42" s="1"/>
      <c r="M42" s="1"/>
      <c r="N42" s="24"/>
    </row>
    <row r="43" spans="1:14" ht="15.6" x14ac:dyDescent="0.3">
      <c r="A43" s="3" t="s">
        <v>177</v>
      </c>
      <c r="B43" s="3" t="s">
        <v>562</v>
      </c>
      <c r="C43" s="3" t="s">
        <v>26</v>
      </c>
      <c r="D43" s="3" t="s">
        <v>29</v>
      </c>
      <c r="E43" s="3" t="s">
        <v>26</v>
      </c>
      <c r="F43" s="3" t="s">
        <v>400</v>
      </c>
      <c r="G43" s="4">
        <v>0.01</v>
      </c>
      <c r="H43" s="3" t="s">
        <v>136</v>
      </c>
      <c r="I43" s="3" t="s">
        <v>32</v>
      </c>
      <c r="J43" s="1"/>
      <c r="K43" s="1"/>
      <c r="L43" s="1"/>
      <c r="M43" s="1"/>
      <c r="N43" s="25"/>
    </row>
    <row r="44" spans="1:14" ht="15.6" x14ac:dyDescent="0.3">
      <c r="A44" s="3" t="s">
        <v>178</v>
      </c>
      <c r="B44" s="3" t="s">
        <v>563</v>
      </c>
      <c r="C44" s="3" t="s">
        <v>26</v>
      </c>
      <c r="D44" s="3" t="s">
        <v>29</v>
      </c>
      <c r="E44" s="3" t="s">
        <v>26</v>
      </c>
      <c r="F44" s="3" t="s">
        <v>401</v>
      </c>
      <c r="G44" s="4">
        <v>0.01</v>
      </c>
      <c r="H44" s="3" t="s">
        <v>136</v>
      </c>
      <c r="I44" s="3" t="s">
        <v>32</v>
      </c>
      <c r="J44" s="1"/>
      <c r="K44" s="1"/>
      <c r="L44" s="1"/>
      <c r="M44" s="1"/>
      <c r="N44" s="24"/>
    </row>
    <row r="45" spans="1:14" ht="15.6" x14ac:dyDescent="0.3">
      <c r="A45" s="3" t="s">
        <v>179</v>
      </c>
      <c r="B45" s="3" t="s">
        <v>564</v>
      </c>
      <c r="C45" s="3" t="s">
        <v>26</v>
      </c>
      <c r="D45" s="3" t="s">
        <v>29</v>
      </c>
      <c r="E45" s="3" t="s">
        <v>26</v>
      </c>
      <c r="F45" s="3" t="s">
        <v>402</v>
      </c>
      <c r="G45" s="4">
        <v>0.01</v>
      </c>
      <c r="H45" s="3" t="s">
        <v>136</v>
      </c>
      <c r="I45" s="3" t="s">
        <v>32</v>
      </c>
      <c r="J45" s="1"/>
      <c r="K45" s="1"/>
      <c r="L45" s="1"/>
      <c r="M45" s="1"/>
      <c r="N45" s="25"/>
    </row>
    <row r="46" spans="1:14" ht="15.6" x14ac:dyDescent="0.3">
      <c r="A46" s="3" t="s">
        <v>180</v>
      </c>
      <c r="B46" s="3" t="s">
        <v>565</v>
      </c>
      <c r="C46" s="3" t="s">
        <v>26</v>
      </c>
      <c r="D46" s="3" t="s">
        <v>29</v>
      </c>
      <c r="E46" s="3" t="s">
        <v>26</v>
      </c>
      <c r="F46" s="3" t="s">
        <v>403</v>
      </c>
      <c r="G46" s="4">
        <v>0.01</v>
      </c>
      <c r="H46" s="3" t="s">
        <v>136</v>
      </c>
      <c r="I46" s="3" t="s">
        <v>32</v>
      </c>
      <c r="J46" s="1"/>
      <c r="K46" s="1"/>
      <c r="L46" s="1"/>
      <c r="M46" s="1"/>
      <c r="N46" s="24"/>
    </row>
    <row r="47" spans="1:14" ht="15.6" x14ac:dyDescent="0.3">
      <c r="A47" s="3" t="s">
        <v>181</v>
      </c>
      <c r="B47" s="3" t="s">
        <v>566</v>
      </c>
      <c r="C47" s="3" t="s">
        <v>26</v>
      </c>
      <c r="D47" s="3" t="s">
        <v>29</v>
      </c>
      <c r="E47" s="3" t="s">
        <v>26</v>
      </c>
      <c r="F47" s="3" t="s">
        <v>404</v>
      </c>
      <c r="G47" s="4">
        <v>0.01</v>
      </c>
      <c r="H47" s="3" t="s">
        <v>136</v>
      </c>
      <c r="I47" s="3" t="s">
        <v>32</v>
      </c>
      <c r="J47" s="1"/>
      <c r="K47" s="1"/>
      <c r="L47" s="1"/>
      <c r="M47" s="1"/>
      <c r="N47" s="25"/>
    </row>
    <row r="48" spans="1:14" ht="15.6" x14ac:dyDescent="0.3">
      <c r="A48" s="3" t="s">
        <v>515</v>
      </c>
      <c r="B48" s="3" t="s">
        <v>567</v>
      </c>
      <c r="C48" s="3" t="s">
        <v>26</v>
      </c>
      <c r="D48" s="3" t="s">
        <v>29</v>
      </c>
      <c r="E48" s="3" t="s">
        <v>26</v>
      </c>
      <c r="F48" s="3" t="s">
        <v>691</v>
      </c>
      <c r="G48" s="4">
        <v>0.01</v>
      </c>
      <c r="H48" s="3" t="s">
        <v>136</v>
      </c>
      <c r="I48" s="3" t="s">
        <v>32</v>
      </c>
      <c r="J48" s="1"/>
      <c r="K48" s="1"/>
      <c r="L48" s="1"/>
      <c r="M48" s="1"/>
      <c r="N48" s="24"/>
    </row>
    <row r="49" spans="1:14" ht="15.6" x14ac:dyDescent="0.3">
      <c r="A49" s="3" t="s">
        <v>182</v>
      </c>
      <c r="B49" s="3" t="s">
        <v>568</v>
      </c>
      <c r="C49" s="3" t="s">
        <v>26</v>
      </c>
      <c r="D49" s="3" t="s">
        <v>29</v>
      </c>
      <c r="E49" s="3" t="s">
        <v>26</v>
      </c>
      <c r="F49" s="3" t="s">
        <v>405</v>
      </c>
      <c r="G49" s="4">
        <v>0.01</v>
      </c>
      <c r="H49" s="3" t="s">
        <v>136</v>
      </c>
      <c r="I49" s="3" t="s">
        <v>32</v>
      </c>
      <c r="J49" s="1"/>
      <c r="K49" s="1"/>
      <c r="L49" s="1"/>
      <c r="M49" s="1"/>
      <c r="N49" s="25"/>
    </row>
    <row r="50" spans="1:14" ht="15.6" x14ac:dyDescent="0.3">
      <c r="A50" s="3" t="s">
        <v>183</v>
      </c>
      <c r="B50" s="3" t="s">
        <v>569</v>
      </c>
      <c r="C50" s="3" t="s">
        <v>26</v>
      </c>
      <c r="D50" s="3" t="s">
        <v>29</v>
      </c>
      <c r="E50" s="3" t="s">
        <v>26</v>
      </c>
      <c r="F50" s="3" t="s">
        <v>406</v>
      </c>
      <c r="G50" s="4">
        <v>0.01</v>
      </c>
      <c r="H50" s="3" t="s">
        <v>136</v>
      </c>
      <c r="I50" s="3" t="s">
        <v>32</v>
      </c>
      <c r="J50" s="1"/>
      <c r="K50" s="1"/>
      <c r="L50" s="1"/>
      <c r="M50" s="1"/>
      <c r="N50" s="24"/>
    </row>
    <row r="51" spans="1:14" ht="15.6" x14ac:dyDescent="0.3">
      <c r="A51" s="3" t="s">
        <v>184</v>
      </c>
      <c r="B51" s="3" t="s">
        <v>570</v>
      </c>
      <c r="C51" s="3" t="s">
        <v>26</v>
      </c>
      <c r="D51" s="3" t="s">
        <v>29</v>
      </c>
      <c r="E51" s="3" t="s">
        <v>26</v>
      </c>
      <c r="F51" s="3" t="s">
        <v>407</v>
      </c>
      <c r="G51" s="4">
        <v>0.01</v>
      </c>
      <c r="H51" s="3" t="s">
        <v>136</v>
      </c>
      <c r="I51" s="3" t="s">
        <v>32</v>
      </c>
      <c r="J51" s="1"/>
      <c r="K51" s="1"/>
      <c r="L51" s="1"/>
      <c r="M51" s="1"/>
      <c r="N51" s="25"/>
    </row>
    <row r="52" spans="1:14" ht="15.6" x14ac:dyDescent="0.3">
      <c r="A52" s="3" t="s">
        <v>185</v>
      </c>
      <c r="B52" s="3" t="s">
        <v>571</v>
      </c>
      <c r="C52" s="3" t="s">
        <v>26</v>
      </c>
      <c r="D52" s="3" t="s">
        <v>29</v>
      </c>
      <c r="E52" s="3" t="s">
        <v>26</v>
      </c>
      <c r="F52" s="3" t="s">
        <v>408</v>
      </c>
      <c r="G52" s="4">
        <v>0.01</v>
      </c>
      <c r="H52" s="3" t="s">
        <v>136</v>
      </c>
      <c r="I52" s="3" t="s">
        <v>32</v>
      </c>
      <c r="J52" s="3" t="s">
        <v>950</v>
      </c>
      <c r="K52" s="1" t="s">
        <v>949</v>
      </c>
      <c r="L52" s="1"/>
      <c r="M52" s="1"/>
      <c r="N52" s="24"/>
    </row>
    <row r="53" spans="1:14" ht="15.6" x14ac:dyDescent="0.3">
      <c r="A53" s="3" t="s">
        <v>186</v>
      </c>
      <c r="B53" s="3" t="s">
        <v>572</v>
      </c>
      <c r="C53" s="3" t="s">
        <v>26</v>
      </c>
      <c r="D53" s="3" t="s">
        <v>29</v>
      </c>
      <c r="E53" s="3" t="s">
        <v>26</v>
      </c>
      <c r="F53" s="3" t="s">
        <v>409</v>
      </c>
      <c r="G53" s="4">
        <v>0.01</v>
      </c>
      <c r="H53" s="3" t="s">
        <v>136</v>
      </c>
      <c r="I53" s="3" t="s">
        <v>32</v>
      </c>
      <c r="J53" s="1"/>
      <c r="K53" s="1"/>
      <c r="L53" s="1"/>
      <c r="M53" s="1"/>
      <c r="N53" s="25"/>
    </row>
    <row r="54" spans="1:14" ht="15.6" x14ac:dyDescent="0.3">
      <c r="A54" s="3" t="s">
        <v>187</v>
      </c>
      <c r="B54" s="3" t="s">
        <v>573</v>
      </c>
      <c r="C54" s="3" t="s">
        <v>26</v>
      </c>
      <c r="D54" s="3" t="s">
        <v>29</v>
      </c>
      <c r="E54" s="3" t="s">
        <v>26</v>
      </c>
      <c r="F54" s="3" t="s">
        <v>410</v>
      </c>
      <c r="G54" s="4">
        <v>0.01</v>
      </c>
      <c r="H54" s="3" t="s">
        <v>136</v>
      </c>
      <c r="I54" s="3" t="s">
        <v>32</v>
      </c>
      <c r="J54" s="1"/>
      <c r="K54" s="1"/>
      <c r="L54" s="1"/>
      <c r="M54" s="1"/>
      <c r="N54" s="24"/>
    </row>
    <row r="55" spans="1:14" ht="15.6" x14ac:dyDescent="0.3">
      <c r="A55" s="3" t="s">
        <v>188</v>
      </c>
      <c r="B55" s="3" t="s">
        <v>574</v>
      </c>
      <c r="C55" s="3" t="s">
        <v>26</v>
      </c>
      <c r="D55" s="3" t="s">
        <v>29</v>
      </c>
      <c r="E55" s="3" t="s">
        <v>26</v>
      </c>
      <c r="F55" s="3" t="s">
        <v>411</v>
      </c>
      <c r="G55" s="4">
        <v>0.01</v>
      </c>
      <c r="H55" s="3" t="s">
        <v>136</v>
      </c>
      <c r="I55" s="3" t="s">
        <v>32</v>
      </c>
      <c r="J55" s="1"/>
      <c r="K55" s="1"/>
      <c r="L55" s="1"/>
      <c r="M55" s="1"/>
      <c r="N55" s="25"/>
    </row>
    <row r="56" spans="1:14" ht="15.6" x14ac:dyDescent="0.3">
      <c r="A56" s="3" t="s">
        <v>189</v>
      </c>
      <c r="B56" s="3" t="s">
        <v>575</v>
      </c>
      <c r="C56" s="3" t="s">
        <v>26</v>
      </c>
      <c r="D56" s="3" t="s">
        <v>29</v>
      </c>
      <c r="E56" s="3" t="s">
        <v>26</v>
      </c>
      <c r="F56" s="3" t="s">
        <v>412</v>
      </c>
      <c r="G56" s="4">
        <v>0.01</v>
      </c>
      <c r="H56" s="3" t="s">
        <v>136</v>
      </c>
      <c r="I56" s="3" t="s">
        <v>32</v>
      </c>
      <c r="J56" s="1"/>
      <c r="K56" s="1"/>
      <c r="L56" s="1"/>
      <c r="M56" s="1"/>
      <c r="N56" s="24"/>
    </row>
    <row r="57" spans="1:14" ht="15.6" x14ac:dyDescent="0.3">
      <c r="A57" s="3" t="s">
        <v>190</v>
      </c>
      <c r="B57" s="3" t="s">
        <v>576</v>
      </c>
      <c r="C57" s="3" t="s">
        <v>26</v>
      </c>
      <c r="D57" s="3" t="s">
        <v>29</v>
      </c>
      <c r="E57" s="3" t="s">
        <v>26</v>
      </c>
      <c r="F57" s="3" t="s">
        <v>413</v>
      </c>
      <c r="G57" s="4">
        <v>0.01</v>
      </c>
      <c r="H57" s="3" t="s">
        <v>136</v>
      </c>
      <c r="I57" s="3" t="s">
        <v>32</v>
      </c>
      <c r="J57" s="1"/>
      <c r="K57" s="1"/>
      <c r="L57" s="1"/>
      <c r="M57" s="1"/>
      <c r="N57" s="25"/>
    </row>
    <row r="58" spans="1:14" ht="15.6" x14ac:dyDescent="0.3">
      <c r="A58" s="3" t="s">
        <v>191</v>
      </c>
      <c r="B58" s="3" t="s">
        <v>577</v>
      </c>
      <c r="C58" s="3" t="s">
        <v>26</v>
      </c>
      <c r="D58" s="3" t="s">
        <v>29</v>
      </c>
      <c r="E58" s="3" t="s">
        <v>26</v>
      </c>
      <c r="F58" s="3" t="s">
        <v>414</v>
      </c>
      <c r="G58" s="4">
        <v>0.01</v>
      </c>
      <c r="H58" s="3" t="s">
        <v>136</v>
      </c>
      <c r="I58" s="3" t="s">
        <v>32</v>
      </c>
      <c r="J58" s="1" t="s">
        <v>1201</v>
      </c>
      <c r="K58" s="1" t="s">
        <v>1209</v>
      </c>
      <c r="L58" s="1"/>
      <c r="M58" s="1"/>
      <c r="N58" s="24"/>
    </row>
    <row r="59" spans="1:14" ht="15.6" x14ac:dyDescent="0.3">
      <c r="A59" s="3" t="s">
        <v>192</v>
      </c>
      <c r="B59" s="3" t="s">
        <v>578</v>
      </c>
      <c r="C59" s="3" t="s">
        <v>26</v>
      </c>
      <c r="D59" s="3" t="s">
        <v>29</v>
      </c>
      <c r="E59" s="3" t="s">
        <v>26</v>
      </c>
      <c r="F59" s="3" t="s">
        <v>415</v>
      </c>
      <c r="G59" s="4">
        <v>0.01</v>
      </c>
      <c r="H59" s="3" t="s">
        <v>136</v>
      </c>
      <c r="I59" s="3" t="s">
        <v>32</v>
      </c>
      <c r="J59" s="1"/>
      <c r="K59" s="1"/>
      <c r="L59" s="1"/>
      <c r="M59" s="1"/>
      <c r="N59" s="25"/>
    </row>
    <row r="60" spans="1:14" ht="15.6" x14ac:dyDescent="0.3">
      <c r="A60" s="3" t="s">
        <v>475</v>
      </c>
      <c r="B60" s="3" t="s">
        <v>579</v>
      </c>
      <c r="C60" s="3" t="s">
        <v>26</v>
      </c>
      <c r="D60" s="3" t="s">
        <v>29</v>
      </c>
      <c r="E60" s="3" t="s">
        <v>26</v>
      </c>
      <c r="F60" s="3" t="s">
        <v>416</v>
      </c>
      <c r="G60" s="4">
        <v>0.01</v>
      </c>
      <c r="H60" s="3" t="s">
        <v>136</v>
      </c>
      <c r="I60" s="3" t="s">
        <v>32</v>
      </c>
      <c r="J60" s="1" t="s">
        <v>1201</v>
      </c>
      <c r="K60" s="1" t="s">
        <v>1210</v>
      </c>
      <c r="L60" s="1"/>
      <c r="M60" s="1"/>
      <c r="N60" s="24"/>
    </row>
    <row r="61" spans="1:14" ht="15.6" x14ac:dyDescent="0.3">
      <c r="A61" s="3" t="s">
        <v>476</v>
      </c>
      <c r="B61" s="3" t="s">
        <v>580</v>
      </c>
      <c r="C61" s="3" t="s">
        <v>26</v>
      </c>
      <c r="D61" s="3" t="s">
        <v>29</v>
      </c>
      <c r="E61" s="3" t="s">
        <v>26</v>
      </c>
      <c r="F61" s="3" t="s">
        <v>417</v>
      </c>
      <c r="G61" s="4">
        <v>0.01</v>
      </c>
      <c r="H61" s="3" t="s">
        <v>136</v>
      </c>
      <c r="I61" s="3" t="s">
        <v>32</v>
      </c>
      <c r="J61" s="1"/>
      <c r="K61" s="1"/>
      <c r="L61" s="1"/>
      <c r="M61" s="1"/>
      <c r="N61" s="25"/>
    </row>
    <row r="62" spans="1:14" ht="15.6" x14ac:dyDescent="0.3">
      <c r="A62" s="3" t="s">
        <v>477</v>
      </c>
      <c r="B62" s="3" t="s">
        <v>581</v>
      </c>
      <c r="C62" s="3" t="s">
        <v>26</v>
      </c>
      <c r="D62" s="3" t="s">
        <v>29</v>
      </c>
      <c r="E62" s="3" t="s">
        <v>26</v>
      </c>
      <c r="F62" s="3" t="s">
        <v>418</v>
      </c>
      <c r="G62" s="4">
        <v>0.01</v>
      </c>
      <c r="H62" s="3" t="s">
        <v>136</v>
      </c>
      <c r="I62" s="3" t="s">
        <v>32</v>
      </c>
      <c r="J62" s="1"/>
      <c r="K62" s="1"/>
      <c r="L62" s="1"/>
      <c r="M62" s="1"/>
      <c r="N62" s="24"/>
    </row>
    <row r="63" spans="1:14" ht="15.6" x14ac:dyDescent="0.3">
      <c r="A63" s="3" t="s">
        <v>478</v>
      </c>
      <c r="B63" s="3" t="s">
        <v>582</v>
      </c>
      <c r="C63" s="3" t="s">
        <v>26</v>
      </c>
      <c r="D63" s="3" t="s">
        <v>29</v>
      </c>
      <c r="E63" s="3" t="s">
        <v>26</v>
      </c>
      <c r="F63" s="3" t="s">
        <v>419</v>
      </c>
      <c r="G63" s="4">
        <v>0.01</v>
      </c>
      <c r="H63" s="3" t="s">
        <v>136</v>
      </c>
      <c r="I63" s="3" t="s">
        <v>32</v>
      </c>
      <c r="J63" s="1"/>
      <c r="K63" s="1"/>
      <c r="L63" s="1"/>
      <c r="M63" s="1"/>
      <c r="N63" s="25"/>
    </row>
    <row r="64" spans="1:14" ht="15.6" x14ac:dyDescent="0.3">
      <c r="A64" s="3" t="s">
        <v>479</v>
      </c>
      <c r="B64" s="3" t="s">
        <v>583</v>
      </c>
      <c r="C64" s="3" t="s">
        <v>26</v>
      </c>
      <c r="D64" s="3" t="s">
        <v>29</v>
      </c>
      <c r="E64" s="3" t="s">
        <v>26</v>
      </c>
      <c r="F64" s="3" t="s">
        <v>420</v>
      </c>
      <c r="G64" s="4">
        <v>0.01</v>
      </c>
      <c r="H64" s="3" t="s">
        <v>136</v>
      </c>
      <c r="I64" s="3" t="s">
        <v>32</v>
      </c>
      <c r="J64" s="1"/>
      <c r="K64" s="1"/>
      <c r="L64" s="1"/>
      <c r="M64" s="1"/>
      <c r="N64" s="24"/>
    </row>
    <row r="65" spans="1:14" ht="15.6" x14ac:dyDescent="0.3">
      <c r="A65" s="3" t="s">
        <v>480</v>
      </c>
      <c r="B65" s="3" t="s">
        <v>584</v>
      </c>
      <c r="C65" s="3" t="s">
        <v>26</v>
      </c>
      <c r="D65" s="3" t="s">
        <v>29</v>
      </c>
      <c r="E65" s="3" t="s">
        <v>26</v>
      </c>
      <c r="F65" s="3" t="s">
        <v>421</v>
      </c>
      <c r="G65" s="4">
        <v>0.01</v>
      </c>
      <c r="H65" s="3" t="s">
        <v>136</v>
      </c>
      <c r="I65" s="3" t="s">
        <v>32</v>
      </c>
      <c r="J65" s="1"/>
      <c r="K65" s="1"/>
      <c r="L65" s="1"/>
      <c r="M65" s="1"/>
      <c r="N65" s="25"/>
    </row>
    <row r="66" spans="1:14" ht="15.6" x14ac:dyDescent="0.3">
      <c r="A66" s="3" t="s">
        <v>481</v>
      </c>
      <c r="B66" s="3" t="s">
        <v>585</v>
      </c>
      <c r="C66" s="3" t="s">
        <v>26</v>
      </c>
      <c r="D66" s="3" t="s">
        <v>29</v>
      </c>
      <c r="E66" s="3" t="s">
        <v>26</v>
      </c>
      <c r="F66" s="3" t="s">
        <v>422</v>
      </c>
      <c r="G66" s="4">
        <v>0.01</v>
      </c>
      <c r="H66" s="3" t="s">
        <v>136</v>
      </c>
      <c r="I66" s="3" t="s">
        <v>32</v>
      </c>
      <c r="J66" s="1" t="s">
        <v>1201</v>
      </c>
      <c r="K66" s="1" t="s">
        <v>1211</v>
      </c>
      <c r="L66" s="1"/>
      <c r="M66" s="1"/>
      <c r="N66" s="24"/>
    </row>
    <row r="67" spans="1:14" ht="15.6" x14ac:dyDescent="0.3">
      <c r="A67" s="3" t="s">
        <v>193</v>
      </c>
      <c r="B67" s="3" t="s">
        <v>586</v>
      </c>
      <c r="C67" s="3" t="s">
        <v>26</v>
      </c>
      <c r="D67" s="3" t="s">
        <v>29</v>
      </c>
      <c r="E67" s="3" t="s">
        <v>26</v>
      </c>
      <c r="F67" s="3" t="s">
        <v>423</v>
      </c>
      <c r="G67" s="4">
        <v>0.01</v>
      </c>
      <c r="H67" s="3" t="s">
        <v>136</v>
      </c>
      <c r="I67" s="3" t="s">
        <v>32</v>
      </c>
      <c r="J67" s="3" t="s">
        <v>897</v>
      </c>
      <c r="K67" s="1" t="s">
        <v>896</v>
      </c>
      <c r="L67" s="1"/>
      <c r="M67" s="1"/>
      <c r="N67" s="25"/>
    </row>
    <row r="68" spans="1:14" ht="15.6" x14ac:dyDescent="0.3">
      <c r="A68" s="3" t="s">
        <v>194</v>
      </c>
      <c r="B68" s="3" t="s">
        <v>587</v>
      </c>
      <c r="C68" s="3" t="s">
        <v>26</v>
      </c>
      <c r="D68" s="3" t="s">
        <v>29</v>
      </c>
      <c r="E68" s="3" t="s">
        <v>26</v>
      </c>
      <c r="F68" s="3" t="s">
        <v>424</v>
      </c>
      <c r="G68" s="4">
        <v>0.01</v>
      </c>
      <c r="H68" s="3" t="s">
        <v>136</v>
      </c>
      <c r="I68" s="3" t="s">
        <v>32</v>
      </c>
      <c r="J68" s="1"/>
      <c r="K68" s="1"/>
      <c r="L68" s="1"/>
      <c r="M68" s="1"/>
      <c r="N68" s="24"/>
    </row>
    <row r="69" spans="1:14" ht="15.6" x14ac:dyDescent="0.3">
      <c r="A69" s="3" t="s">
        <v>195</v>
      </c>
      <c r="B69" s="3" t="s">
        <v>588</v>
      </c>
      <c r="C69" s="3" t="s">
        <v>26</v>
      </c>
      <c r="D69" s="3" t="s">
        <v>29</v>
      </c>
      <c r="E69" s="3" t="s">
        <v>26</v>
      </c>
      <c r="F69" s="3" t="s">
        <v>425</v>
      </c>
      <c r="G69" s="4">
        <v>0.01</v>
      </c>
      <c r="H69" s="3" t="s">
        <v>136</v>
      </c>
      <c r="I69" s="3" t="s">
        <v>32</v>
      </c>
      <c r="J69" s="1"/>
      <c r="K69" s="1"/>
      <c r="L69" s="1"/>
      <c r="M69" s="1"/>
      <c r="N69" s="25"/>
    </row>
    <row r="70" spans="1:14" ht="15.6" x14ac:dyDescent="0.3">
      <c r="A70" s="3" t="s">
        <v>196</v>
      </c>
      <c r="B70" s="3" t="s">
        <v>589</v>
      </c>
      <c r="C70" s="3" t="s">
        <v>26</v>
      </c>
      <c r="D70" s="3" t="s">
        <v>29</v>
      </c>
      <c r="E70" s="3" t="s">
        <v>26</v>
      </c>
      <c r="F70" s="3" t="s">
        <v>426</v>
      </c>
      <c r="G70" s="4">
        <v>0.01</v>
      </c>
      <c r="H70" s="3" t="s">
        <v>136</v>
      </c>
      <c r="I70" s="3" t="s">
        <v>32</v>
      </c>
      <c r="J70" s="1"/>
      <c r="K70" s="1"/>
      <c r="L70" s="1"/>
      <c r="M70" s="1"/>
      <c r="N70" s="24"/>
    </row>
    <row r="71" spans="1:14" ht="15.6" x14ac:dyDescent="0.3">
      <c r="A71" s="3" t="s">
        <v>197</v>
      </c>
      <c r="B71" s="3" t="s">
        <v>590</v>
      </c>
      <c r="C71" s="3" t="s">
        <v>26</v>
      </c>
      <c r="D71" s="3" t="s">
        <v>29</v>
      </c>
      <c r="E71" s="3" t="s">
        <v>26</v>
      </c>
      <c r="F71" s="3" t="s">
        <v>427</v>
      </c>
      <c r="G71" s="4">
        <v>0.01</v>
      </c>
      <c r="H71" s="3" t="s">
        <v>136</v>
      </c>
      <c r="I71" s="3" t="s">
        <v>32</v>
      </c>
      <c r="J71" s="1"/>
      <c r="K71" s="1"/>
      <c r="L71" s="1"/>
      <c r="M71" s="1"/>
      <c r="N71" s="25"/>
    </row>
    <row r="72" spans="1:14" ht="15.6" x14ac:dyDescent="0.3">
      <c r="A72" s="3" t="s">
        <v>516</v>
      </c>
      <c r="B72" s="3" t="s">
        <v>591</v>
      </c>
      <c r="C72" s="3" t="s">
        <v>26</v>
      </c>
      <c r="D72" s="3" t="s">
        <v>29</v>
      </c>
      <c r="E72" s="3" t="s">
        <v>26</v>
      </c>
      <c r="F72" s="3" t="s">
        <v>692</v>
      </c>
      <c r="G72" s="4">
        <v>0.01</v>
      </c>
      <c r="H72" s="3" t="s">
        <v>136</v>
      </c>
      <c r="I72" s="3" t="s">
        <v>32</v>
      </c>
      <c r="J72" s="1"/>
      <c r="K72" s="1"/>
      <c r="L72" s="1"/>
      <c r="M72" s="1"/>
      <c r="N72" s="24"/>
    </row>
    <row r="73" spans="1:14" ht="15.6" x14ac:dyDescent="0.3">
      <c r="A73" s="3" t="s">
        <v>198</v>
      </c>
      <c r="B73" s="3" t="s">
        <v>592</v>
      </c>
      <c r="C73" s="3" t="s">
        <v>26</v>
      </c>
      <c r="D73" s="3" t="s">
        <v>29</v>
      </c>
      <c r="E73" s="3" t="s">
        <v>26</v>
      </c>
      <c r="F73" s="3" t="s">
        <v>428</v>
      </c>
      <c r="G73" s="4">
        <v>0.01</v>
      </c>
      <c r="H73" s="3" t="s">
        <v>136</v>
      </c>
      <c r="I73" s="3" t="s">
        <v>32</v>
      </c>
      <c r="J73" s="1"/>
      <c r="K73" s="1"/>
      <c r="L73" s="1"/>
      <c r="M73" s="1"/>
      <c r="N73" s="25"/>
    </row>
    <row r="74" spans="1:14" ht="15.6" x14ac:dyDescent="0.3">
      <c r="A74" s="3" t="s">
        <v>482</v>
      </c>
      <c r="B74" s="3" t="s">
        <v>593</v>
      </c>
      <c r="C74" s="3" t="s">
        <v>26</v>
      </c>
      <c r="D74" s="3" t="s">
        <v>29</v>
      </c>
      <c r="E74" s="3" t="s">
        <v>26</v>
      </c>
      <c r="F74" s="3" t="s">
        <v>429</v>
      </c>
      <c r="G74" s="4">
        <v>0.01</v>
      </c>
      <c r="H74" s="3" t="s">
        <v>136</v>
      </c>
      <c r="I74" s="3" t="s">
        <v>32</v>
      </c>
      <c r="J74" s="3" t="s">
        <v>1201</v>
      </c>
      <c r="K74" s="1" t="s">
        <v>1202</v>
      </c>
      <c r="L74" s="1"/>
      <c r="M74" s="1"/>
      <c r="N74" s="24"/>
    </row>
    <row r="75" spans="1:14" ht="15.6" x14ac:dyDescent="0.3">
      <c r="A75" s="3" t="s">
        <v>199</v>
      </c>
      <c r="B75" s="3" t="s">
        <v>594</v>
      </c>
      <c r="C75" s="3" t="s">
        <v>26</v>
      </c>
      <c r="D75" s="3" t="s">
        <v>29</v>
      </c>
      <c r="E75" s="3" t="s">
        <v>26</v>
      </c>
      <c r="F75" s="3" t="s">
        <v>200</v>
      </c>
      <c r="G75" s="4">
        <v>0.01</v>
      </c>
      <c r="H75" s="3" t="s">
        <v>136</v>
      </c>
      <c r="I75" s="3" t="s">
        <v>32</v>
      </c>
      <c r="J75" s="1"/>
      <c r="K75" s="1"/>
      <c r="L75" s="1"/>
      <c r="M75" s="1"/>
      <c r="N75" s="25"/>
    </row>
    <row r="76" spans="1:14" ht="15.6" x14ac:dyDescent="0.3">
      <c r="A76" s="3" t="s">
        <v>201</v>
      </c>
      <c r="B76" s="3" t="s">
        <v>595</v>
      </c>
      <c r="C76" s="3" t="s">
        <v>26</v>
      </c>
      <c r="D76" s="3" t="s">
        <v>29</v>
      </c>
      <c r="E76" s="3" t="s">
        <v>26</v>
      </c>
      <c r="F76" s="3" t="s">
        <v>202</v>
      </c>
      <c r="G76" s="4">
        <v>0.01</v>
      </c>
      <c r="H76" s="3" t="s">
        <v>136</v>
      </c>
      <c r="I76" s="3" t="s">
        <v>32</v>
      </c>
      <c r="J76" s="1"/>
      <c r="K76" s="1"/>
      <c r="L76" s="1"/>
      <c r="M76" s="1"/>
      <c r="N76" s="24"/>
    </row>
    <row r="77" spans="1:14" ht="15" customHeight="1" x14ac:dyDescent="0.3">
      <c r="A77" s="3" t="s">
        <v>1282</v>
      </c>
      <c r="B77" s="3" t="s">
        <v>1283</v>
      </c>
      <c r="C77" s="3" t="s">
        <v>26</v>
      </c>
      <c r="D77" s="3" t="s">
        <v>29</v>
      </c>
      <c r="E77" s="3" t="s">
        <v>26</v>
      </c>
      <c r="F77" s="3" t="s">
        <v>1284</v>
      </c>
      <c r="G77" s="4">
        <v>0.01</v>
      </c>
      <c r="H77" s="3" t="s">
        <v>136</v>
      </c>
      <c r="I77" s="3" t="s">
        <v>32</v>
      </c>
      <c r="J77" s="1"/>
      <c r="K77" s="1"/>
      <c r="L77" s="1"/>
      <c r="M77" s="1"/>
      <c r="N77" s="25"/>
    </row>
    <row r="78" spans="1:14" ht="15.6" x14ac:dyDescent="0.3">
      <c r="A78" s="3" t="s">
        <v>203</v>
      </c>
      <c r="B78" s="3" t="s">
        <v>596</v>
      </c>
      <c r="C78" s="3" t="s">
        <v>26</v>
      </c>
      <c r="D78" s="3" t="s">
        <v>29</v>
      </c>
      <c r="E78" s="3" t="s">
        <v>26</v>
      </c>
      <c r="F78" s="3" t="s">
        <v>204</v>
      </c>
      <c r="G78" s="4">
        <v>0.01</v>
      </c>
      <c r="H78" s="3" t="s">
        <v>136</v>
      </c>
      <c r="I78" s="3" t="s">
        <v>32</v>
      </c>
      <c r="J78" s="1"/>
      <c r="K78" s="1"/>
      <c r="L78" s="1"/>
      <c r="M78" s="1"/>
      <c r="N78" s="24"/>
    </row>
    <row r="79" spans="1:14" ht="15.6" x14ac:dyDescent="0.3">
      <c r="A79" s="3" t="s">
        <v>205</v>
      </c>
      <c r="B79" s="3" t="s">
        <v>597</v>
      </c>
      <c r="C79" s="3" t="s">
        <v>26</v>
      </c>
      <c r="D79" s="3" t="s">
        <v>29</v>
      </c>
      <c r="E79" s="3" t="s">
        <v>26</v>
      </c>
      <c r="F79" s="3" t="s">
        <v>206</v>
      </c>
      <c r="G79" s="4">
        <v>0.01</v>
      </c>
      <c r="H79" s="3" t="s">
        <v>136</v>
      </c>
      <c r="I79" s="3" t="s">
        <v>32</v>
      </c>
      <c r="J79" s="1"/>
      <c r="K79" s="1"/>
      <c r="L79" s="1"/>
      <c r="M79" s="1"/>
      <c r="N79" s="25"/>
    </row>
    <row r="80" spans="1:14" ht="15.6" x14ac:dyDescent="0.3">
      <c r="A80" s="3" t="s">
        <v>207</v>
      </c>
      <c r="B80" s="3" t="s">
        <v>598</v>
      </c>
      <c r="C80" s="3" t="s">
        <v>26</v>
      </c>
      <c r="D80" s="3" t="s">
        <v>29</v>
      </c>
      <c r="E80" s="3" t="s">
        <v>26</v>
      </c>
      <c r="F80" s="3" t="s">
        <v>208</v>
      </c>
      <c r="G80" s="4">
        <v>0.01</v>
      </c>
      <c r="H80" s="3" t="s">
        <v>136</v>
      </c>
      <c r="I80" s="3" t="s">
        <v>32</v>
      </c>
      <c r="J80" s="3" t="s">
        <v>897</v>
      </c>
      <c r="K80" s="1" t="s">
        <v>896</v>
      </c>
      <c r="L80" s="1"/>
      <c r="M80" s="1"/>
      <c r="N80" s="24"/>
    </row>
    <row r="81" spans="1:14" ht="15.6" x14ac:dyDescent="0.3">
      <c r="A81" s="3" t="s">
        <v>209</v>
      </c>
      <c r="B81" s="3" t="s">
        <v>599</v>
      </c>
      <c r="C81" s="3" t="s">
        <v>26</v>
      </c>
      <c r="D81" s="3" t="s">
        <v>29</v>
      </c>
      <c r="E81" s="3" t="s">
        <v>26</v>
      </c>
      <c r="F81" s="3" t="s">
        <v>210</v>
      </c>
      <c r="G81" s="4">
        <v>0.01</v>
      </c>
      <c r="H81" s="3" t="s">
        <v>136</v>
      </c>
      <c r="I81" s="3" t="s">
        <v>32</v>
      </c>
      <c r="J81" s="1"/>
      <c r="K81" s="1"/>
      <c r="L81" s="1"/>
      <c r="M81" s="1"/>
      <c r="N81" s="25"/>
    </row>
    <row r="82" spans="1:14" ht="15.6" x14ac:dyDescent="0.3">
      <c r="A82" s="3" t="s">
        <v>483</v>
      </c>
      <c r="B82" s="3" t="s">
        <v>600</v>
      </c>
      <c r="C82" s="3" t="s">
        <v>26</v>
      </c>
      <c r="D82" s="3" t="s">
        <v>29</v>
      </c>
      <c r="E82" s="3" t="s">
        <v>26</v>
      </c>
      <c r="F82" s="3" t="s">
        <v>430</v>
      </c>
      <c r="G82" s="4">
        <v>0.01</v>
      </c>
      <c r="H82" s="3" t="s">
        <v>136</v>
      </c>
      <c r="I82" s="3" t="s">
        <v>32</v>
      </c>
      <c r="J82" s="1" t="s">
        <v>1201</v>
      </c>
      <c r="K82" s="1" t="s">
        <v>1203</v>
      </c>
      <c r="L82" s="1"/>
      <c r="M82" s="1"/>
      <c r="N82" s="24"/>
    </row>
    <row r="83" spans="1:14" ht="15.6" x14ac:dyDescent="0.3">
      <c r="A83" s="3" t="s">
        <v>211</v>
      </c>
      <c r="B83" s="3" t="s">
        <v>601</v>
      </c>
      <c r="C83" s="3" t="s">
        <v>26</v>
      </c>
      <c r="D83" s="3" t="s">
        <v>29</v>
      </c>
      <c r="E83" s="3" t="s">
        <v>26</v>
      </c>
      <c r="F83" s="3" t="s">
        <v>212</v>
      </c>
      <c r="G83" s="4">
        <v>0.01</v>
      </c>
      <c r="H83" s="3" t="s">
        <v>136</v>
      </c>
      <c r="I83" s="3" t="s">
        <v>32</v>
      </c>
      <c r="J83" s="1"/>
      <c r="K83" s="1"/>
      <c r="L83" s="1"/>
      <c r="M83" s="1"/>
      <c r="N83" s="25"/>
    </row>
    <row r="84" spans="1:14" ht="15.6" x14ac:dyDescent="0.3">
      <c r="A84" s="3" t="s">
        <v>213</v>
      </c>
      <c r="B84" s="3" t="s">
        <v>602</v>
      </c>
      <c r="C84" s="3" t="s">
        <v>26</v>
      </c>
      <c r="D84" s="3" t="s">
        <v>29</v>
      </c>
      <c r="E84" s="3" t="s">
        <v>26</v>
      </c>
      <c r="F84" s="3" t="s">
        <v>214</v>
      </c>
      <c r="G84" s="4">
        <v>0.01</v>
      </c>
      <c r="H84" s="3" t="s">
        <v>136</v>
      </c>
      <c r="I84" s="3" t="s">
        <v>32</v>
      </c>
      <c r="J84" s="1"/>
      <c r="K84" s="1"/>
      <c r="L84" s="1"/>
      <c r="M84" s="1"/>
      <c r="N84" s="24"/>
    </row>
    <row r="85" spans="1:14" ht="15.6" x14ac:dyDescent="0.3">
      <c r="A85" s="3" t="s">
        <v>484</v>
      </c>
      <c r="B85" s="3" t="s">
        <v>603</v>
      </c>
      <c r="C85" s="3" t="s">
        <v>26</v>
      </c>
      <c r="D85" s="3" t="s">
        <v>29</v>
      </c>
      <c r="E85" s="3" t="s">
        <v>26</v>
      </c>
      <c r="F85" s="3" t="s">
        <v>431</v>
      </c>
      <c r="G85" s="4">
        <v>0.01</v>
      </c>
      <c r="H85" s="3" t="s">
        <v>136</v>
      </c>
      <c r="I85" s="3" t="s">
        <v>32</v>
      </c>
      <c r="J85" s="1"/>
      <c r="K85" s="1"/>
      <c r="L85" s="1"/>
      <c r="M85" s="1"/>
      <c r="N85" s="25"/>
    </row>
    <row r="86" spans="1:14" ht="15.6" x14ac:dyDescent="0.3">
      <c r="A86" s="3" t="s">
        <v>485</v>
      </c>
      <c r="B86" s="3" t="s">
        <v>604</v>
      </c>
      <c r="C86" s="3" t="s">
        <v>26</v>
      </c>
      <c r="D86" s="3" t="s">
        <v>29</v>
      </c>
      <c r="E86" s="3" t="s">
        <v>26</v>
      </c>
      <c r="F86" s="3" t="s">
        <v>432</v>
      </c>
      <c r="G86" s="4">
        <v>0.01</v>
      </c>
      <c r="H86" s="3" t="s">
        <v>136</v>
      </c>
      <c r="I86" s="3" t="s">
        <v>32</v>
      </c>
      <c r="J86" s="3" t="s">
        <v>897</v>
      </c>
      <c r="K86" s="1" t="s">
        <v>896</v>
      </c>
      <c r="L86" s="1"/>
      <c r="M86" s="1"/>
      <c r="N86" s="24"/>
    </row>
    <row r="87" spans="1:14" ht="15.6" x14ac:dyDescent="0.3">
      <c r="A87" s="3" t="s">
        <v>486</v>
      </c>
      <c r="B87" s="3" t="s">
        <v>605</v>
      </c>
      <c r="C87" s="3" t="s">
        <v>26</v>
      </c>
      <c r="D87" s="3" t="s">
        <v>29</v>
      </c>
      <c r="E87" s="3" t="s">
        <v>26</v>
      </c>
      <c r="F87" s="3" t="s">
        <v>433</v>
      </c>
      <c r="G87" s="4">
        <v>0.01</v>
      </c>
      <c r="H87" s="3" t="s">
        <v>136</v>
      </c>
      <c r="I87" s="3" t="s">
        <v>32</v>
      </c>
      <c r="J87" s="3" t="s">
        <v>1151</v>
      </c>
      <c r="K87" s="1" t="s">
        <v>1152</v>
      </c>
      <c r="L87" s="1"/>
      <c r="M87" s="1"/>
      <c r="N87" s="25"/>
    </row>
    <row r="88" spans="1:14" ht="15.6" x14ac:dyDescent="0.3">
      <c r="A88" s="3" t="s">
        <v>487</v>
      </c>
      <c r="B88" s="3" t="s">
        <v>606</v>
      </c>
      <c r="C88" s="3" t="s">
        <v>26</v>
      </c>
      <c r="D88" s="3" t="s">
        <v>29</v>
      </c>
      <c r="E88" s="3" t="s">
        <v>26</v>
      </c>
      <c r="F88" s="3" t="s">
        <v>434</v>
      </c>
      <c r="G88" s="4">
        <v>0.01</v>
      </c>
      <c r="H88" s="3" t="s">
        <v>136</v>
      </c>
      <c r="I88" s="3" t="s">
        <v>32</v>
      </c>
      <c r="J88" s="1"/>
      <c r="K88" s="1"/>
      <c r="L88" s="1"/>
      <c r="M88" s="1"/>
      <c r="N88" s="24"/>
    </row>
    <row r="89" spans="1:14" ht="15.6" x14ac:dyDescent="0.3">
      <c r="A89" s="3" t="s">
        <v>488</v>
      </c>
      <c r="B89" s="3" t="s">
        <v>607</v>
      </c>
      <c r="C89" s="3" t="s">
        <v>26</v>
      </c>
      <c r="D89" s="3" t="s">
        <v>29</v>
      </c>
      <c r="E89" s="3" t="s">
        <v>26</v>
      </c>
      <c r="F89" s="3" t="s">
        <v>435</v>
      </c>
      <c r="G89" s="4">
        <v>0.01</v>
      </c>
      <c r="H89" s="3" t="s">
        <v>136</v>
      </c>
      <c r="I89" s="3" t="s">
        <v>32</v>
      </c>
      <c r="J89" s="1"/>
      <c r="K89" s="1"/>
      <c r="L89" s="1"/>
      <c r="M89" s="1"/>
      <c r="N89" s="25"/>
    </row>
    <row r="90" spans="1:14" ht="15.6" x14ac:dyDescent="0.3">
      <c r="A90" s="3" t="s">
        <v>489</v>
      </c>
      <c r="B90" s="3" t="s">
        <v>608</v>
      </c>
      <c r="C90" s="3" t="s">
        <v>26</v>
      </c>
      <c r="D90" s="3" t="s">
        <v>29</v>
      </c>
      <c r="E90" s="3" t="s">
        <v>26</v>
      </c>
      <c r="F90" s="3" t="s">
        <v>436</v>
      </c>
      <c r="G90" s="4">
        <v>0.01</v>
      </c>
      <c r="H90" s="3" t="s">
        <v>136</v>
      </c>
      <c r="I90" s="3" t="s">
        <v>32</v>
      </c>
      <c r="J90" s="1"/>
      <c r="K90" s="1"/>
      <c r="L90" s="1"/>
      <c r="M90" s="1"/>
      <c r="N90" s="24"/>
    </row>
    <row r="91" spans="1:14" ht="15.6" x14ac:dyDescent="0.3">
      <c r="A91" s="3" t="s">
        <v>490</v>
      </c>
      <c r="B91" s="3" t="s">
        <v>609</v>
      </c>
      <c r="C91" s="3" t="s">
        <v>26</v>
      </c>
      <c r="D91" s="3" t="s">
        <v>29</v>
      </c>
      <c r="E91" s="3" t="s">
        <v>26</v>
      </c>
      <c r="F91" s="3" t="s">
        <v>437</v>
      </c>
      <c r="G91" s="4">
        <v>0.01</v>
      </c>
      <c r="H91" s="3" t="s">
        <v>136</v>
      </c>
      <c r="I91" s="3" t="s">
        <v>32</v>
      </c>
      <c r="J91" s="1" t="s">
        <v>1201</v>
      </c>
      <c r="K91" s="1" t="s">
        <v>1204</v>
      </c>
      <c r="L91" s="1"/>
      <c r="M91" s="1"/>
      <c r="N91" s="25"/>
    </row>
    <row r="92" spans="1:14" ht="15.6" x14ac:dyDescent="0.3">
      <c r="A92" s="3" t="s">
        <v>215</v>
      </c>
      <c r="B92" s="3" t="s">
        <v>610</v>
      </c>
      <c r="C92" s="3" t="s">
        <v>26</v>
      </c>
      <c r="D92" s="3" t="s">
        <v>29</v>
      </c>
      <c r="E92" s="3" t="s">
        <v>26</v>
      </c>
      <c r="F92" s="3" t="s">
        <v>216</v>
      </c>
      <c r="G92" s="4">
        <v>0.01</v>
      </c>
      <c r="H92" s="3" t="s">
        <v>136</v>
      </c>
      <c r="I92" s="3" t="s">
        <v>32</v>
      </c>
      <c r="J92" s="1"/>
      <c r="K92" s="1"/>
      <c r="L92" s="1"/>
      <c r="M92" s="1"/>
      <c r="N92" s="24"/>
    </row>
    <row r="93" spans="1:14" ht="15.6" x14ac:dyDescent="0.3">
      <c r="A93" s="3" t="s">
        <v>217</v>
      </c>
      <c r="B93" s="3" t="s">
        <v>611</v>
      </c>
      <c r="C93" s="3" t="s">
        <v>26</v>
      </c>
      <c r="D93" s="3" t="s">
        <v>29</v>
      </c>
      <c r="E93" s="3" t="s">
        <v>26</v>
      </c>
      <c r="F93" s="3" t="s">
        <v>218</v>
      </c>
      <c r="G93" s="4">
        <v>0.01</v>
      </c>
      <c r="H93" s="3" t="s">
        <v>136</v>
      </c>
      <c r="I93" s="3" t="s">
        <v>32</v>
      </c>
      <c r="J93" s="1"/>
      <c r="K93" s="1"/>
      <c r="L93" s="1"/>
      <c r="M93" s="1"/>
      <c r="N93" s="25"/>
    </row>
    <row r="94" spans="1:14" ht="15.6" x14ac:dyDescent="0.3">
      <c r="A94" s="3" t="s">
        <v>219</v>
      </c>
      <c r="B94" s="3" t="s">
        <v>612</v>
      </c>
      <c r="C94" s="3" t="s">
        <v>26</v>
      </c>
      <c r="D94" s="3" t="s">
        <v>29</v>
      </c>
      <c r="E94" s="3" t="s">
        <v>26</v>
      </c>
      <c r="F94" s="3" t="s">
        <v>220</v>
      </c>
      <c r="G94" s="4">
        <v>0.01</v>
      </c>
      <c r="H94" s="3" t="s">
        <v>136</v>
      </c>
      <c r="I94" s="3" t="s">
        <v>32</v>
      </c>
      <c r="J94" s="1"/>
      <c r="K94" s="1"/>
      <c r="L94" s="1"/>
      <c r="M94" s="1"/>
      <c r="N94" s="24"/>
    </row>
    <row r="95" spans="1:14" ht="15.6" x14ac:dyDescent="0.3">
      <c r="A95" s="3" t="s">
        <v>221</v>
      </c>
      <c r="B95" s="3" t="s">
        <v>613</v>
      </c>
      <c r="C95" s="3" t="s">
        <v>26</v>
      </c>
      <c r="D95" s="3" t="s">
        <v>29</v>
      </c>
      <c r="E95" s="3" t="s">
        <v>26</v>
      </c>
      <c r="F95" s="3" t="s">
        <v>222</v>
      </c>
      <c r="G95" s="4">
        <v>0.01</v>
      </c>
      <c r="H95" s="3" t="s">
        <v>136</v>
      </c>
      <c r="I95" s="3" t="s">
        <v>32</v>
      </c>
      <c r="J95" s="1"/>
      <c r="K95" s="1"/>
      <c r="L95" s="1"/>
      <c r="M95" s="1"/>
      <c r="N95" s="25"/>
    </row>
    <row r="96" spans="1:14" ht="15.6" x14ac:dyDescent="0.3">
      <c r="A96" s="3" t="s">
        <v>223</v>
      </c>
      <c r="B96" s="3" t="s">
        <v>614</v>
      </c>
      <c r="C96" s="3" t="s">
        <v>26</v>
      </c>
      <c r="D96" s="3" t="s">
        <v>29</v>
      </c>
      <c r="E96" s="3" t="s">
        <v>26</v>
      </c>
      <c r="F96" s="3" t="s">
        <v>224</v>
      </c>
      <c r="G96" s="4">
        <v>0.01</v>
      </c>
      <c r="H96" s="3" t="s">
        <v>136</v>
      </c>
      <c r="I96" s="3" t="s">
        <v>32</v>
      </c>
      <c r="J96" s="1"/>
      <c r="K96" s="1"/>
      <c r="L96" s="1"/>
      <c r="M96" s="1"/>
      <c r="N96" s="24"/>
    </row>
    <row r="97" spans="1:14" ht="15.6" x14ac:dyDescent="0.3">
      <c r="A97" s="3" t="s">
        <v>517</v>
      </c>
      <c r="B97" s="3" t="s">
        <v>615</v>
      </c>
      <c r="C97" s="3" t="s">
        <v>26</v>
      </c>
      <c r="D97" s="3" t="s">
        <v>29</v>
      </c>
      <c r="E97" s="3" t="s">
        <v>26</v>
      </c>
      <c r="F97" s="3" t="s">
        <v>693</v>
      </c>
      <c r="G97" s="4">
        <v>0.01</v>
      </c>
      <c r="H97" s="3" t="s">
        <v>136</v>
      </c>
      <c r="I97" s="3" t="s">
        <v>32</v>
      </c>
      <c r="J97" s="1"/>
      <c r="K97" s="1"/>
      <c r="L97" s="1"/>
      <c r="M97" s="1"/>
      <c r="N97" s="25"/>
    </row>
    <row r="98" spans="1:14" ht="15.6" x14ac:dyDescent="0.3">
      <c r="A98" s="3" t="s">
        <v>225</v>
      </c>
      <c r="B98" s="3" t="s">
        <v>616</v>
      </c>
      <c r="C98" s="3" t="s">
        <v>26</v>
      </c>
      <c r="D98" s="3" t="s">
        <v>29</v>
      </c>
      <c r="E98" s="3" t="s">
        <v>26</v>
      </c>
      <c r="F98" s="3" t="s">
        <v>226</v>
      </c>
      <c r="G98" s="4">
        <v>0.01</v>
      </c>
      <c r="H98" s="3" t="s">
        <v>136</v>
      </c>
      <c r="I98" s="3" t="s">
        <v>32</v>
      </c>
      <c r="J98" s="1"/>
      <c r="K98" s="1"/>
      <c r="L98" s="1"/>
      <c r="M98" s="1"/>
      <c r="N98" s="24"/>
    </row>
    <row r="99" spans="1:14" ht="15" customHeight="1" x14ac:dyDescent="0.3">
      <c r="A99" s="3" t="s">
        <v>227</v>
      </c>
      <c r="B99" s="3" t="s">
        <v>617</v>
      </c>
      <c r="C99" s="3" t="s">
        <v>26</v>
      </c>
      <c r="D99" s="3" t="s">
        <v>29</v>
      </c>
      <c r="E99" s="3" t="s">
        <v>26</v>
      </c>
      <c r="F99" s="3" t="s">
        <v>228</v>
      </c>
      <c r="G99" s="4">
        <v>0.01</v>
      </c>
      <c r="H99" s="3" t="s">
        <v>136</v>
      </c>
      <c r="I99" s="3" t="s">
        <v>32</v>
      </c>
      <c r="J99" s="3" t="s">
        <v>1149</v>
      </c>
      <c r="K99" s="1" t="s">
        <v>1150</v>
      </c>
      <c r="L99" s="1" t="s">
        <v>1201</v>
      </c>
      <c r="M99" s="1" t="s">
        <v>1205</v>
      </c>
      <c r="N99" s="25"/>
    </row>
    <row r="100" spans="1:14" ht="15" customHeight="1" x14ac:dyDescent="0.3">
      <c r="A100" s="3" t="s">
        <v>1279</v>
      </c>
      <c r="B100" s="3" t="s">
        <v>1280</v>
      </c>
      <c r="C100" s="3" t="s">
        <v>26</v>
      </c>
      <c r="D100" s="3" t="s">
        <v>29</v>
      </c>
      <c r="E100" s="3" t="s">
        <v>26</v>
      </c>
      <c r="F100" s="3" t="s">
        <v>1281</v>
      </c>
      <c r="G100" s="4">
        <v>0.01</v>
      </c>
      <c r="H100" s="3" t="s">
        <v>136</v>
      </c>
      <c r="I100" s="3" t="s">
        <v>32</v>
      </c>
      <c r="J100" s="1"/>
      <c r="K100" s="1"/>
      <c r="L100" s="1"/>
      <c r="M100" s="1"/>
      <c r="N100" s="25"/>
    </row>
    <row r="101" spans="1:14" ht="15.6" x14ac:dyDescent="0.3">
      <c r="A101" s="3" t="s">
        <v>229</v>
      </c>
      <c r="B101" s="3" t="s">
        <v>618</v>
      </c>
      <c r="C101" s="3" t="s">
        <v>26</v>
      </c>
      <c r="D101" s="3" t="s">
        <v>29</v>
      </c>
      <c r="E101" s="3" t="s">
        <v>26</v>
      </c>
      <c r="F101" s="3" t="s">
        <v>230</v>
      </c>
      <c r="G101" s="4">
        <v>0.01</v>
      </c>
      <c r="H101" s="3" t="s">
        <v>136</v>
      </c>
      <c r="I101" s="3" t="s">
        <v>32</v>
      </c>
      <c r="J101" s="1"/>
      <c r="K101" s="1"/>
      <c r="L101" s="1"/>
      <c r="M101" s="1"/>
      <c r="N101" s="25"/>
    </row>
    <row r="102" spans="1:14" ht="15.6" x14ac:dyDescent="0.3">
      <c r="A102" s="3" t="s">
        <v>491</v>
      </c>
      <c r="B102" s="3" t="s">
        <v>619</v>
      </c>
      <c r="C102" s="3" t="s">
        <v>26</v>
      </c>
      <c r="D102" s="3" t="s">
        <v>29</v>
      </c>
      <c r="E102" s="3" t="s">
        <v>26</v>
      </c>
      <c r="F102" s="3" t="s">
        <v>438</v>
      </c>
      <c r="G102" s="4">
        <v>0.01</v>
      </c>
      <c r="H102" s="3" t="s">
        <v>136</v>
      </c>
      <c r="I102" s="3" t="s">
        <v>32</v>
      </c>
      <c r="J102" s="1"/>
      <c r="K102" s="1"/>
      <c r="L102" s="1"/>
      <c r="M102" s="1"/>
      <c r="N102" s="24"/>
    </row>
    <row r="103" spans="1:14" ht="15" customHeight="1" x14ac:dyDescent="0.3">
      <c r="A103" s="3" t="s">
        <v>1285</v>
      </c>
      <c r="B103" s="3" t="s">
        <v>1286</v>
      </c>
      <c r="C103" s="3" t="s">
        <v>26</v>
      </c>
      <c r="D103" s="3" t="s">
        <v>29</v>
      </c>
      <c r="E103" s="3" t="s">
        <v>26</v>
      </c>
      <c r="F103" s="3" t="s">
        <v>1287</v>
      </c>
      <c r="G103" s="4">
        <v>0.01</v>
      </c>
      <c r="H103" s="3" t="s">
        <v>136</v>
      </c>
      <c r="I103" s="3" t="s">
        <v>32</v>
      </c>
      <c r="J103" s="1"/>
      <c r="K103" s="1"/>
      <c r="L103" s="1"/>
      <c r="M103" s="1"/>
      <c r="N103" s="25"/>
    </row>
    <row r="104" spans="1:14" ht="15.6" x14ac:dyDescent="0.3">
      <c r="A104" s="3" t="s">
        <v>231</v>
      </c>
      <c r="B104" s="3" t="s">
        <v>620</v>
      </c>
      <c r="C104" s="3" t="s">
        <v>26</v>
      </c>
      <c r="D104" s="3" t="s">
        <v>29</v>
      </c>
      <c r="E104" s="3" t="s">
        <v>26</v>
      </c>
      <c r="F104" s="3" t="s">
        <v>232</v>
      </c>
      <c r="G104" s="4">
        <v>0.01</v>
      </c>
      <c r="H104" s="3" t="s">
        <v>136</v>
      </c>
      <c r="I104" s="3" t="s">
        <v>32</v>
      </c>
      <c r="J104" s="1"/>
      <c r="K104" s="1"/>
      <c r="L104" s="1"/>
      <c r="M104" s="1"/>
      <c r="N104" s="24"/>
    </row>
    <row r="105" spans="1:14" ht="15.6" x14ac:dyDescent="0.3">
      <c r="A105" s="3" t="s">
        <v>233</v>
      </c>
      <c r="B105" s="3" t="s">
        <v>621</v>
      </c>
      <c r="C105" s="3" t="s">
        <v>26</v>
      </c>
      <c r="D105" s="3" t="s">
        <v>29</v>
      </c>
      <c r="E105" s="3" t="s">
        <v>26</v>
      </c>
      <c r="F105" s="3" t="s">
        <v>234</v>
      </c>
      <c r="G105" s="4">
        <v>0.01</v>
      </c>
      <c r="H105" s="3" t="s">
        <v>136</v>
      </c>
      <c r="I105" s="3" t="s">
        <v>32</v>
      </c>
      <c r="J105" s="1"/>
      <c r="K105" s="1"/>
      <c r="L105" s="1"/>
      <c r="M105" s="1"/>
      <c r="N105" s="25"/>
    </row>
    <row r="106" spans="1:14" ht="15.6" x14ac:dyDescent="0.3">
      <c r="A106" s="3" t="s">
        <v>235</v>
      </c>
      <c r="B106" s="3" t="s">
        <v>622</v>
      </c>
      <c r="C106" s="3" t="s">
        <v>26</v>
      </c>
      <c r="D106" s="3" t="s">
        <v>29</v>
      </c>
      <c r="E106" s="3" t="s">
        <v>26</v>
      </c>
      <c r="F106" s="3" t="s">
        <v>236</v>
      </c>
      <c r="G106" s="4">
        <v>0.01</v>
      </c>
      <c r="H106" s="3" t="s">
        <v>136</v>
      </c>
      <c r="I106" s="3" t="s">
        <v>32</v>
      </c>
      <c r="J106" s="1"/>
      <c r="K106" s="1"/>
      <c r="L106" s="1"/>
      <c r="M106" s="1"/>
      <c r="N106" s="24"/>
    </row>
    <row r="107" spans="1:14" ht="15.6" x14ac:dyDescent="0.3">
      <c r="A107" s="3" t="s">
        <v>237</v>
      </c>
      <c r="B107" s="3" t="s">
        <v>623</v>
      </c>
      <c r="C107" s="3" t="s">
        <v>26</v>
      </c>
      <c r="D107" s="3" t="s">
        <v>29</v>
      </c>
      <c r="E107" s="3" t="s">
        <v>26</v>
      </c>
      <c r="F107" s="3" t="s">
        <v>238</v>
      </c>
      <c r="G107" s="4">
        <v>0.01</v>
      </c>
      <c r="H107" s="3" t="s">
        <v>136</v>
      </c>
      <c r="I107" s="3" t="s">
        <v>32</v>
      </c>
      <c r="J107" s="1"/>
      <c r="K107" s="1"/>
      <c r="L107" s="1"/>
      <c r="M107" s="1"/>
      <c r="N107" s="25"/>
    </row>
    <row r="108" spans="1:14" ht="15.6" x14ac:dyDescent="0.3">
      <c r="A108" s="3" t="s">
        <v>239</v>
      </c>
      <c r="B108" s="3" t="s">
        <v>624</v>
      </c>
      <c r="C108" s="3" t="s">
        <v>26</v>
      </c>
      <c r="D108" s="3" t="s">
        <v>29</v>
      </c>
      <c r="E108" s="3" t="s">
        <v>26</v>
      </c>
      <c r="F108" s="3" t="s">
        <v>240</v>
      </c>
      <c r="G108" s="4">
        <v>0.01</v>
      </c>
      <c r="H108" s="3" t="s">
        <v>136</v>
      </c>
      <c r="I108" s="3" t="s">
        <v>32</v>
      </c>
      <c r="J108" s="1" t="s">
        <v>1201</v>
      </c>
      <c r="K108" s="1" t="s">
        <v>1206</v>
      </c>
      <c r="L108" s="1"/>
      <c r="M108" s="1"/>
      <c r="N108" s="24"/>
    </row>
    <row r="109" spans="1:14" ht="15.6" x14ac:dyDescent="0.3">
      <c r="A109" s="3" t="s">
        <v>241</v>
      </c>
      <c r="B109" s="3" t="s">
        <v>625</v>
      </c>
      <c r="C109" s="3" t="s">
        <v>26</v>
      </c>
      <c r="D109" s="3" t="s">
        <v>29</v>
      </c>
      <c r="E109" s="3" t="s">
        <v>26</v>
      </c>
      <c r="F109" s="3" t="s">
        <v>242</v>
      </c>
      <c r="G109" s="4">
        <v>0.01</v>
      </c>
      <c r="H109" s="3" t="s">
        <v>136</v>
      </c>
      <c r="I109" s="3" t="s">
        <v>32</v>
      </c>
      <c r="J109" s="1" t="s">
        <v>1201</v>
      </c>
      <c r="K109" s="1" t="s">
        <v>1207</v>
      </c>
      <c r="L109" s="1"/>
      <c r="M109" s="1"/>
      <c r="N109" s="25"/>
    </row>
    <row r="110" spans="1:14" ht="15.6" x14ac:dyDescent="0.3">
      <c r="A110" s="3" t="s">
        <v>243</v>
      </c>
      <c r="B110" s="3" t="s">
        <v>626</v>
      </c>
      <c r="C110" s="3" t="s">
        <v>26</v>
      </c>
      <c r="D110" s="3" t="s">
        <v>29</v>
      </c>
      <c r="E110" s="3" t="s">
        <v>26</v>
      </c>
      <c r="F110" s="3" t="s">
        <v>244</v>
      </c>
      <c r="G110" s="4">
        <v>0.01</v>
      </c>
      <c r="H110" s="3" t="s">
        <v>136</v>
      </c>
      <c r="I110" s="3" t="s">
        <v>32</v>
      </c>
      <c r="J110" s="1"/>
      <c r="K110" s="1"/>
      <c r="L110" s="1"/>
      <c r="M110" s="1"/>
      <c r="N110" s="24"/>
    </row>
    <row r="111" spans="1:14" ht="15.6" x14ac:dyDescent="0.3">
      <c r="A111" s="3" t="s">
        <v>492</v>
      </c>
      <c r="B111" s="3" t="s">
        <v>627</v>
      </c>
      <c r="C111" s="3" t="s">
        <v>26</v>
      </c>
      <c r="D111" s="3" t="s">
        <v>29</v>
      </c>
      <c r="E111" s="3" t="s">
        <v>26</v>
      </c>
      <c r="F111" s="3" t="s">
        <v>439</v>
      </c>
      <c r="G111" s="4">
        <v>0.01</v>
      </c>
      <c r="H111" s="3" t="s">
        <v>136</v>
      </c>
      <c r="I111" s="3" t="s">
        <v>32</v>
      </c>
      <c r="J111" s="1"/>
      <c r="K111" s="1"/>
      <c r="L111" s="1"/>
      <c r="M111" s="1"/>
      <c r="N111" s="25"/>
    </row>
    <row r="112" spans="1:14" ht="15.6" x14ac:dyDescent="0.3">
      <c r="A112" s="3" t="s">
        <v>493</v>
      </c>
      <c r="B112" s="3" t="s">
        <v>628</v>
      </c>
      <c r="C112" s="3" t="s">
        <v>26</v>
      </c>
      <c r="D112" s="3" t="s">
        <v>29</v>
      </c>
      <c r="E112" s="3" t="s">
        <v>26</v>
      </c>
      <c r="F112" s="3" t="s">
        <v>440</v>
      </c>
      <c r="G112" s="4">
        <v>0.01</v>
      </c>
      <c r="H112" s="3" t="s">
        <v>136</v>
      </c>
      <c r="I112" s="3" t="s">
        <v>32</v>
      </c>
      <c r="J112" s="1"/>
      <c r="K112" s="1"/>
      <c r="L112" s="1"/>
      <c r="M112" s="1"/>
      <c r="N112" s="24"/>
    </row>
    <row r="113" spans="1:14" ht="15.6" x14ac:dyDescent="0.3">
      <c r="A113" s="3" t="s">
        <v>852</v>
      </c>
      <c r="B113" s="3" t="s">
        <v>854</v>
      </c>
      <c r="C113" s="3" t="s">
        <v>26</v>
      </c>
      <c r="D113" s="3" t="s">
        <v>29</v>
      </c>
      <c r="E113" s="3" t="s">
        <v>26</v>
      </c>
      <c r="F113" s="1" t="s">
        <v>853</v>
      </c>
      <c r="G113" s="4">
        <v>0.01</v>
      </c>
      <c r="H113" s="3" t="s">
        <v>136</v>
      </c>
      <c r="I113" s="3" t="s">
        <v>32</v>
      </c>
      <c r="J113" s="1"/>
      <c r="K113" s="1"/>
      <c r="L113" s="1"/>
      <c r="M113" s="1"/>
      <c r="N113" s="25"/>
    </row>
    <row r="114" spans="1:14" ht="15.6" x14ac:dyDescent="0.3">
      <c r="A114" s="3" t="s">
        <v>494</v>
      </c>
      <c r="B114" s="3" t="s">
        <v>629</v>
      </c>
      <c r="C114" s="3" t="s">
        <v>26</v>
      </c>
      <c r="D114" s="3" t="s">
        <v>29</v>
      </c>
      <c r="E114" s="3" t="s">
        <v>26</v>
      </c>
      <c r="F114" s="3" t="s">
        <v>441</v>
      </c>
      <c r="G114" s="4">
        <v>0.01</v>
      </c>
      <c r="H114" s="3" t="s">
        <v>136</v>
      </c>
      <c r="I114" s="3" t="s">
        <v>32</v>
      </c>
      <c r="J114" s="1"/>
      <c r="K114" s="1"/>
      <c r="L114" s="1"/>
      <c r="M114" s="1"/>
      <c r="N114" s="24"/>
    </row>
    <row r="115" spans="1:14" ht="15.6" x14ac:dyDescent="0.3">
      <c r="A115" s="3" t="s">
        <v>495</v>
      </c>
      <c r="B115" s="3" t="s">
        <v>630</v>
      </c>
      <c r="C115" s="3" t="s">
        <v>26</v>
      </c>
      <c r="D115" s="3" t="s">
        <v>29</v>
      </c>
      <c r="E115" s="3" t="s">
        <v>26</v>
      </c>
      <c r="F115" s="3" t="s">
        <v>442</v>
      </c>
      <c r="G115" s="4">
        <v>0.01</v>
      </c>
      <c r="H115" s="3" t="s">
        <v>136</v>
      </c>
      <c r="I115" s="3" t="s">
        <v>32</v>
      </c>
      <c r="J115" s="1"/>
      <c r="K115" s="1"/>
      <c r="L115" s="1"/>
      <c r="M115" s="1"/>
      <c r="N115" s="25"/>
    </row>
    <row r="116" spans="1:14" ht="15.6" x14ac:dyDescent="0.3">
      <c r="A116" s="3" t="s">
        <v>496</v>
      </c>
      <c r="B116" s="3" t="s">
        <v>631</v>
      </c>
      <c r="C116" s="3" t="s">
        <v>26</v>
      </c>
      <c r="D116" s="3" t="s">
        <v>29</v>
      </c>
      <c r="E116" s="3" t="s">
        <v>26</v>
      </c>
      <c r="F116" s="3" t="s">
        <v>443</v>
      </c>
      <c r="G116" s="4">
        <v>0.01</v>
      </c>
      <c r="H116" s="3" t="s">
        <v>136</v>
      </c>
      <c r="I116" s="3" t="s">
        <v>32</v>
      </c>
      <c r="J116" s="1"/>
      <c r="K116" s="1"/>
      <c r="L116" s="1"/>
      <c r="M116" s="1"/>
      <c r="N116" s="24"/>
    </row>
    <row r="117" spans="1:14" ht="15.6" x14ac:dyDescent="0.3">
      <c r="A117" s="3" t="s">
        <v>497</v>
      </c>
      <c r="B117" s="3" t="s">
        <v>632</v>
      </c>
      <c r="C117" s="3" t="s">
        <v>26</v>
      </c>
      <c r="D117" s="3" t="s">
        <v>29</v>
      </c>
      <c r="E117" s="3" t="s">
        <v>26</v>
      </c>
      <c r="F117" s="3" t="s">
        <v>444</v>
      </c>
      <c r="G117" s="4">
        <v>0.01</v>
      </c>
      <c r="H117" s="3" t="s">
        <v>136</v>
      </c>
      <c r="I117" s="3" t="s">
        <v>32</v>
      </c>
      <c r="J117" s="1"/>
      <c r="K117" s="1"/>
      <c r="L117" s="1"/>
      <c r="M117" s="1"/>
      <c r="N117" s="25"/>
    </row>
    <row r="118" spans="1:14" ht="15.6" x14ac:dyDescent="0.3">
      <c r="A118" s="3" t="s">
        <v>498</v>
      </c>
      <c r="B118" s="3" t="s">
        <v>633</v>
      </c>
      <c r="C118" s="3" t="s">
        <v>26</v>
      </c>
      <c r="D118" s="3" t="s">
        <v>29</v>
      </c>
      <c r="E118" s="3" t="s">
        <v>26</v>
      </c>
      <c r="F118" s="3" t="s">
        <v>445</v>
      </c>
      <c r="G118" s="4">
        <v>0.01</v>
      </c>
      <c r="H118" s="3" t="s">
        <v>136</v>
      </c>
      <c r="I118" s="3" t="s">
        <v>32</v>
      </c>
      <c r="J118" s="1"/>
      <c r="K118" s="1"/>
      <c r="L118" s="1"/>
      <c r="M118" s="1"/>
      <c r="N118" s="24"/>
    </row>
    <row r="119" spans="1:14" ht="15.6" x14ac:dyDescent="0.3">
      <c r="A119" s="3" t="s">
        <v>245</v>
      </c>
      <c r="B119" s="3" t="s">
        <v>634</v>
      </c>
      <c r="C119" s="3" t="s">
        <v>26</v>
      </c>
      <c r="D119" s="3" t="s">
        <v>29</v>
      </c>
      <c r="E119" s="3" t="s">
        <v>26</v>
      </c>
      <c r="F119" s="3" t="s">
        <v>246</v>
      </c>
      <c r="G119" s="4">
        <v>0.01</v>
      </c>
      <c r="H119" s="3" t="s">
        <v>136</v>
      </c>
      <c r="I119" s="3" t="s">
        <v>32</v>
      </c>
      <c r="J119" s="1"/>
      <c r="K119" s="1"/>
      <c r="L119" s="1"/>
      <c r="M119" s="1"/>
      <c r="N119" s="25"/>
    </row>
    <row r="120" spans="1:14" ht="15.6" x14ac:dyDescent="0.3">
      <c r="A120" s="3" t="s">
        <v>247</v>
      </c>
      <c r="B120" s="3" t="s">
        <v>635</v>
      </c>
      <c r="C120" s="3" t="s">
        <v>26</v>
      </c>
      <c r="D120" s="3" t="s">
        <v>29</v>
      </c>
      <c r="E120" s="3" t="s">
        <v>26</v>
      </c>
      <c r="F120" s="3" t="s">
        <v>248</v>
      </c>
      <c r="G120" s="4">
        <v>0.01</v>
      </c>
      <c r="H120" s="3" t="s">
        <v>136</v>
      </c>
      <c r="I120" s="3" t="s">
        <v>32</v>
      </c>
      <c r="J120" s="1"/>
      <c r="K120" s="1"/>
      <c r="L120" s="1"/>
      <c r="M120" s="1"/>
      <c r="N120" s="24"/>
    </row>
    <row r="121" spans="1:14" ht="15.6" x14ac:dyDescent="0.3">
      <c r="A121" s="3" t="s">
        <v>249</v>
      </c>
      <c r="B121" s="3" t="s">
        <v>636</v>
      </c>
      <c r="C121" s="3" t="s">
        <v>26</v>
      </c>
      <c r="D121" s="3" t="s">
        <v>29</v>
      </c>
      <c r="E121" s="3" t="s">
        <v>26</v>
      </c>
      <c r="F121" s="3" t="s">
        <v>250</v>
      </c>
      <c r="G121" s="4">
        <v>0.01</v>
      </c>
      <c r="H121" s="3" t="s">
        <v>136</v>
      </c>
      <c r="I121" s="3" t="s">
        <v>32</v>
      </c>
      <c r="J121" s="1"/>
      <c r="K121" s="1"/>
      <c r="L121" s="1"/>
      <c r="M121" s="1"/>
      <c r="N121" s="25"/>
    </row>
    <row r="122" spans="1:14" ht="15.6" x14ac:dyDescent="0.3">
      <c r="A122" s="3" t="s">
        <v>251</v>
      </c>
      <c r="B122" s="3" t="s">
        <v>637</v>
      </c>
      <c r="C122" s="3" t="s">
        <v>26</v>
      </c>
      <c r="D122" s="3" t="s">
        <v>29</v>
      </c>
      <c r="E122" s="3" t="s">
        <v>26</v>
      </c>
      <c r="F122" s="3" t="s">
        <v>252</v>
      </c>
      <c r="G122" s="4">
        <v>0.01</v>
      </c>
      <c r="H122" s="3" t="s">
        <v>136</v>
      </c>
      <c r="I122" s="3" t="s">
        <v>32</v>
      </c>
      <c r="J122" s="1"/>
      <c r="K122" s="1"/>
      <c r="L122" s="1"/>
      <c r="M122" s="1"/>
      <c r="N122" s="24"/>
    </row>
    <row r="123" spans="1:14" ht="15.6" x14ac:dyDescent="0.3">
      <c r="A123" s="3" t="s">
        <v>253</v>
      </c>
      <c r="B123" s="3" t="s">
        <v>638</v>
      </c>
      <c r="C123" s="3" t="s">
        <v>26</v>
      </c>
      <c r="D123" s="3" t="s">
        <v>29</v>
      </c>
      <c r="E123" s="3" t="s">
        <v>26</v>
      </c>
      <c r="F123" s="3" t="s">
        <v>254</v>
      </c>
      <c r="G123" s="4">
        <v>0.01</v>
      </c>
      <c r="H123" s="3" t="s">
        <v>136</v>
      </c>
      <c r="I123" s="3" t="s">
        <v>32</v>
      </c>
      <c r="J123" s="1"/>
      <c r="K123" s="1"/>
      <c r="L123" s="1"/>
      <c r="M123" s="1"/>
      <c r="N123" s="25"/>
    </row>
    <row r="124" spans="1:14" ht="15.6" x14ac:dyDescent="0.3">
      <c r="A124" s="3" t="s">
        <v>518</v>
      </c>
      <c r="B124" s="3" t="s">
        <v>639</v>
      </c>
      <c r="C124" s="3" t="s">
        <v>26</v>
      </c>
      <c r="D124" s="3" t="s">
        <v>29</v>
      </c>
      <c r="E124" s="3" t="s">
        <v>26</v>
      </c>
      <c r="F124" s="3" t="s">
        <v>694</v>
      </c>
      <c r="G124" s="4">
        <v>0.01</v>
      </c>
      <c r="H124" s="3" t="s">
        <v>136</v>
      </c>
      <c r="I124" s="3" t="s">
        <v>32</v>
      </c>
      <c r="J124" s="1"/>
      <c r="K124" s="1"/>
      <c r="L124" s="1"/>
      <c r="M124" s="1"/>
      <c r="N124" s="24"/>
    </row>
    <row r="125" spans="1:14" ht="15.6" x14ac:dyDescent="0.3">
      <c r="A125" s="3" t="s">
        <v>255</v>
      </c>
      <c r="B125" s="3" t="s">
        <v>640</v>
      </c>
      <c r="C125" s="3" t="s">
        <v>26</v>
      </c>
      <c r="D125" s="3" t="s">
        <v>29</v>
      </c>
      <c r="E125" s="3" t="s">
        <v>26</v>
      </c>
      <c r="F125" s="3" t="s">
        <v>256</v>
      </c>
      <c r="G125" s="4">
        <v>0.01</v>
      </c>
      <c r="H125" s="3" t="s">
        <v>136</v>
      </c>
      <c r="I125" s="3" t="s">
        <v>32</v>
      </c>
      <c r="J125" s="1"/>
      <c r="K125" s="1"/>
      <c r="L125" s="1"/>
      <c r="M125" s="1"/>
      <c r="N125" s="25"/>
    </row>
    <row r="126" spans="1:14" ht="15.6" x14ac:dyDescent="0.3">
      <c r="A126" s="3" t="s">
        <v>257</v>
      </c>
      <c r="B126" s="3" t="s">
        <v>641</v>
      </c>
      <c r="C126" s="3" t="s">
        <v>26</v>
      </c>
      <c r="D126" s="3" t="s">
        <v>29</v>
      </c>
      <c r="E126" s="3" t="s">
        <v>26</v>
      </c>
      <c r="F126" s="3" t="s">
        <v>258</v>
      </c>
      <c r="G126" s="4">
        <v>0.01</v>
      </c>
      <c r="H126" s="3" t="s">
        <v>136</v>
      </c>
      <c r="I126" s="3" t="s">
        <v>32</v>
      </c>
      <c r="J126" s="1" t="s">
        <v>1201</v>
      </c>
      <c r="K126" s="1" t="s">
        <v>1208</v>
      </c>
      <c r="L126" s="1"/>
      <c r="M126" s="1"/>
      <c r="N126" s="24"/>
    </row>
    <row r="127" spans="1:14" ht="15.6" x14ac:dyDescent="0.3">
      <c r="A127" s="3" t="s">
        <v>259</v>
      </c>
      <c r="B127" s="3" t="s">
        <v>642</v>
      </c>
      <c r="C127" s="3" t="s">
        <v>26</v>
      </c>
      <c r="D127" s="3" t="s">
        <v>29</v>
      </c>
      <c r="E127" s="3" t="s">
        <v>26</v>
      </c>
      <c r="F127" s="3" t="s">
        <v>260</v>
      </c>
      <c r="G127" s="4">
        <v>0.01</v>
      </c>
      <c r="H127" s="3" t="s">
        <v>136</v>
      </c>
      <c r="I127" s="3" t="s">
        <v>32</v>
      </c>
      <c r="J127" s="1"/>
      <c r="K127" s="1"/>
      <c r="L127" s="1"/>
      <c r="M127" s="1"/>
      <c r="N127" s="25"/>
    </row>
    <row r="128" spans="1:14" ht="15.6" x14ac:dyDescent="0.3">
      <c r="A128" s="3" t="s">
        <v>261</v>
      </c>
      <c r="B128" s="3" t="s">
        <v>643</v>
      </c>
      <c r="C128" s="3" t="s">
        <v>26</v>
      </c>
      <c r="D128" s="3" t="s">
        <v>29</v>
      </c>
      <c r="E128" s="3" t="s">
        <v>26</v>
      </c>
      <c r="F128" s="3" t="s">
        <v>262</v>
      </c>
      <c r="G128" s="4">
        <v>0.01</v>
      </c>
      <c r="H128" s="3" t="s">
        <v>136</v>
      </c>
      <c r="I128" s="3" t="s">
        <v>32</v>
      </c>
      <c r="J128" s="1"/>
      <c r="K128" s="1"/>
      <c r="L128" s="1"/>
      <c r="M128" s="1"/>
      <c r="N128" s="24"/>
    </row>
    <row r="129" spans="1:14" ht="15.6" x14ac:dyDescent="0.3">
      <c r="A129" s="3" t="s">
        <v>263</v>
      </c>
      <c r="B129" s="3" t="s">
        <v>644</v>
      </c>
      <c r="C129" s="3" t="s">
        <v>26</v>
      </c>
      <c r="D129" s="3" t="s">
        <v>29</v>
      </c>
      <c r="E129" s="3" t="s">
        <v>26</v>
      </c>
      <c r="F129" s="3" t="s">
        <v>264</v>
      </c>
      <c r="G129" s="4">
        <v>0.01</v>
      </c>
      <c r="H129" s="3" t="s">
        <v>136</v>
      </c>
      <c r="I129" s="3" t="s">
        <v>32</v>
      </c>
      <c r="J129" s="1"/>
      <c r="K129" s="1"/>
      <c r="L129" s="1"/>
      <c r="M129" s="1"/>
      <c r="N129" s="25"/>
    </row>
    <row r="130" spans="1:14" ht="15.6" x14ac:dyDescent="0.3">
      <c r="A130" s="3" t="s">
        <v>265</v>
      </c>
      <c r="B130" s="3" t="s">
        <v>645</v>
      </c>
      <c r="C130" s="3" t="s">
        <v>26</v>
      </c>
      <c r="D130" s="3" t="s">
        <v>29</v>
      </c>
      <c r="E130" s="3" t="s">
        <v>26</v>
      </c>
      <c r="F130" s="3" t="s">
        <v>266</v>
      </c>
      <c r="G130" s="4">
        <v>0.01</v>
      </c>
      <c r="H130" s="3" t="s">
        <v>136</v>
      </c>
      <c r="I130" s="3" t="s">
        <v>32</v>
      </c>
      <c r="J130" s="1"/>
      <c r="K130" s="1"/>
      <c r="L130" s="1"/>
      <c r="M130" s="1"/>
      <c r="N130" s="24"/>
    </row>
    <row r="131" spans="1:14" ht="15.6" x14ac:dyDescent="0.3">
      <c r="A131" s="3" t="s">
        <v>267</v>
      </c>
      <c r="B131" s="3" t="s">
        <v>646</v>
      </c>
      <c r="C131" s="3" t="s">
        <v>26</v>
      </c>
      <c r="D131" s="3" t="s">
        <v>29</v>
      </c>
      <c r="E131" s="3" t="s">
        <v>26</v>
      </c>
      <c r="F131" s="3" t="s">
        <v>268</v>
      </c>
      <c r="G131" s="4">
        <v>0.01</v>
      </c>
      <c r="H131" s="3" t="s">
        <v>136</v>
      </c>
      <c r="I131" s="3" t="s">
        <v>32</v>
      </c>
      <c r="J131" s="1"/>
      <c r="K131" s="1"/>
      <c r="L131" s="1"/>
      <c r="M131" s="1"/>
      <c r="N131" s="25"/>
    </row>
    <row r="132" spans="1:14" ht="15.6" x14ac:dyDescent="0.3">
      <c r="A132" s="3" t="s">
        <v>269</v>
      </c>
      <c r="B132" s="3" t="s">
        <v>647</v>
      </c>
      <c r="C132" s="3" t="s">
        <v>26</v>
      </c>
      <c r="D132" s="3" t="s">
        <v>29</v>
      </c>
      <c r="E132" s="3" t="s">
        <v>26</v>
      </c>
      <c r="F132" s="3" t="s">
        <v>270</v>
      </c>
      <c r="G132" s="4">
        <v>0.01</v>
      </c>
      <c r="H132" s="3" t="s">
        <v>136</v>
      </c>
      <c r="I132" s="3" t="s">
        <v>32</v>
      </c>
      <c r="J132" s="1"/>
      <c r="K132" s="1"/>
      <c r="L132" s="1"/>
      <c r="M132" s="1"/>
      <c r="N132" s="24"/>
    </row>
    <row r="133" spans="1:14" ht="15.6" x14ac:dyDescent="0.3">
      <c r="A133" s="3" t="s">
        <v>271</v>
      </c>
      <c r="B133" s="3" t="s">
        <v>648</v>
      </c>
      <c r="C133" s="3" t="s">
        <v>26</v>
      </c>
      <c r="D133" s="3" t="s">
        <v>29</v>
      </c>
      <c r="E133" s="3" t="s">
        <v>26</v>
      </c>
      <c r="F133" s="3" t="s">
        <v>272</v>
      </c>
      <c r="G133" s="4">
        <v>0.01</v>
      </c>
      <c r="H133" s="3" t="s">
        <v>136</v>
      </c>
      <c r="I133" s="3" t="s">
        <v>32</v>
      </c>
      <c r="J133" s="1"/>
      <c r="K133" s="1"/>
      <c r="L133" s="1"/>
      <c r="M133" s="1"/>
      <c r="N133" s="25"/>
    </row>
    <row r="134" spans="1:14" ht="15.6" x14ac:dyDescent="0.3">
      <c r="A134" s="3" t="s">
        <v>273</v>
      </c>
      <c r="B134" s="3" t="s">
        <v>649</v>
      </c>
      <c r="C134" s="3" t="s">
        <v>26</v>
      </c>
      <c r="D134" s="3" t="s">
        <v>29</v>
      </c>
      <c r="E134" s="3" t="s">
        <v>26</v>
      </c>
      <c r="F134" s="3" t="s">
        <v>274</v>
      </c>
      <c r="G134" s="4">
        <v>0.01</v>
      </c>
      <c r="H134" s="3" t="s">
        <v>136</v>
      </c>
      <c r="I134" s="3" t="s">
        <v>32</v>
      </c>
      <c r="J134" s="1"/>
      <c r="K134" s="1"/>
      <c r="L134" s="1"/>
      <c r="M134" s="1"/>
      <c r="N134" s="24"/>
    </row>
    <row r="135" spans="1:14" ht="15.6" x14ac:dyDescent="0.3">
      <c r="A135" s="3" t="s">
        <v>275</v>
      </c>
      <c r="B135" s="3" t="s">
        <v>650</v>
      </c>
      <c r="C135" s="3" t="s">
        <v>26</v>
      </c>
      <c r="D135" s="3" t="s">
        <v>29</v>
      </c>
      <c r="E135" s="3" t="s">
        <v>26</v>
      </c>
      <c r="F135" s="3" t="s">
        <v>276</v>
      </c>
      <c r="G135" s="4">
        <v>0.01</v>
      </c>
      <c r="H135" s="3" t="s">
        <v>136</v>
      </c>
      <c r="I135" s="3" t="s">
        <v>32</v>
      </c>
      <c r="J135" s="1"/>
      <c r="K135" s="1"/>
      <c r="L135" s="1"/>
      <c r="M135" s="1"/>
      <c r="N135" s="25"/>
    </row>
    <row r="136" spans="1:14" ht="15.6" x14ac:dyDescent="0.3">
      <c r="A136" s="3" t="s">
        <v>499</v>
      </c>
      <c r="B136" s="3" t="s">
        <v>651</v>
      </c>
      <c r="C136" s="3" t="s">
        <v>26</v>
      </c>
      <c r="D136" s="3" t="s">
        <v>29</v>
      </c>
      <c r="E136" s="3" t="s">
        <v>26</v>
      </c>
      <c r="F136" s="3" t="s">
        <v>446</v>
      </c>
      <c r="G136" s="4">
        <v>0.01</v>
      </c>
      <c r="H136" s="3" t="s">
        <v>136</v>
      </c>
      <c r="I136" s="3" t="s">
        <v>32</v>
      </c>
      <c r="J136" s="1"/>
      <c r="K136" s="1"/>
      <c r="L136" s="1"/>
      <c r="M136" s="1"/>
      <c r="N136" s="24"/>
    </row>
    <row r="137" spans="1:14" ht="15.6" x14ac:dyDescent="0.3">
      <c r="A137" s="3" t="s">
        <v>500</v>
      </c>
      <c r="B137" s="3" t="s">
        <v>652</v>
      </c>
      <c r="C137" s="3" t="s">
        <v>26</v>
      </c>
      <c r="D137" s="3" t="s">
        <v>29</v>
      </c>
      <c r="E137" s="3" t="s">
        <v>26</v>
      </c>
      <c r="F137" s="3" t="s">
        <v>447</v>
      </c>
      <c r="G137" s="4">
        <v>0.01</v>
      </c>
      <c r="H137" s="3" t="s">
        <v>136</v>
      </c>
      <c r="I137" s="3" t="s">
        <v>32</v>
      </c>
      <c r="J137" s="1"/>
      <c r="K137" s="1"/>
      <c r="L137" s="1"/>
      <c r="M137" s="1"/>
      <c r="N137" s="25"/>
    </row>
    <row r="138" spans="1:14" ht="15.6" x14ac:dyDescent="0.3">
      <c r="A138" s="3" t="s">
        <v>501</v>
      </c>
      <c r="B138" s="3" t="s">
        <v>653</v>
      </c>
      <c r="C138" s="3" t="s">
        <v>26</v>
      </c>
      <c r="D138" s="3" t="s">
        <v>29</v>
      </c>
      <c r="E138" s="3" t="s">
        <v>26</v>
      </c>
      <c r="F138" s="3" t="s">
        <v>448</v>
      </c>
      <c r="G138" s="4">
        <v>0.01</v>
      </c>
      <c r="H138" s="3" t="s">
        <v>136</v>
      </c>
      <c r="I138" s="3" t="s">
        <v>32</v>
      </c>
      <c r="J138" s="1"/>
      <c r="K138" s="1"/>
      <c r="L138" s="1"/>
      <c r="M138" s="1"/>
      <c r="N138" s="24"/>
    </row>
    <row r="139" spans="1:14" ht="15.6" x14ac:dyDescent="0.3">
      <c r="A139" s="3" t="s">
        <v>502</v>
      </c>
      <c r="B139" s="3" t="s">
        <v>654</v>
      </c>
      <c r="C139" s="3" t="s">
        <v>26</v>
      </c>
      <c r="D139" s="3" t="s">
        <v>29</v>
      </c>
      <c r="E139" s="3" t="s">
        <v>26</v>
      </c>
      <c r="F139" s="3" t="s">
        <v>449</v>
      </c>
      <c r="G139" s="4">
        <v>0.01</v>
      </c>
      <c r="H139" s="3" t="s">
        <v>136</v>
      </c>
      <c r="I139" s="3" t="s">
        <v>32</v>
      </c>
      <c r="J139" s="1"/>
      <c r="K139" s="1"/>
      <c r="L139" s="1"/>
      <c r="M139" s="1"/>
      <c r="N139" s="25"/>
    </row>
    <row r="140" spans="1:14" ht="15.6" x14ac:dyDescent="0.3">
      <c r="A140" s="3" t="s">
        <v>503</v>
      </c>
      <c r="B140" s="3" t="s">
        <v>655</v>
      </c>
      <c r="C140" s="3" t="s">
        <v>26</v>
      </c>
      <c r="D140" s="3" t="s">
        <v>29</v>
      </c>
      <c r="E140" s="3" t="s">
        <v>26</v>
      </c>
      <c r="F140" s="3" t="s">
        <v>450</v>
      </c>
      <c r="G140" s="4">
        <v>0.01</v>
      </c>
      <c r="H140" s="3" t="s">
        <v>136</v>
      </c>
      <c r="I140" s="3" t="s">
        <v>32</v>
      </c>
      <c r="J140" s="1"/>
      <c r="K140" s="1"/>
      <c r="L140" s="1"/>
      <c r="M140" s="1"/>
      <c r="N140" s="24"/>
    </row>
    <row r="141" spans="1:14" ht="15.6" x14ac:dyDescent="0.3">
      <c r="A141" s="3" t="s">
        <v>504</v>
      </c>
      <c r="B141" s="3" t="s">
        <v>656</v>
      </c>
      <c r="C141" s="3" t="s">
        <v>26</v>
      </c>
      <c r="D141" s="3" t="s">
        <v>29</v>
      </c>
      <c r="E141" s="3" t="s">
        <v>26</v>
      </c>
      <c r="F141" s="3" t="s">
        <v>451</v>
      </c>
      <c r="G141" s="4">
        <v>0.01</v>
      </c>
      <c r="H141" s="3" t="s">
        <v>136</v>
      </c>
      <c r="I141" s="3" t="s">
        <v>32</v>
      </c>
      <c r="J141" s="1"/>
      <c r="K141" s="1"/>
      <c r="L141" s="1"/>
      <c r="M141" s="1"/>
      <c r="N141" s="25"/>
    </row>
    <row r="142" spans="1:14" ht="15.6" x14ac:dyDescent="0.3">
      <c r="A142" s="3" t="s">
        <v>505</v>
      </c>
      <c r="B142" s="3" t="s">
        <v>657</v>
      </c>
      <c r="C142" s="3" t="s">
        <v>26</v>
      </c>
      <c r="D142" s="3" t="s">
        <v>29</v>
      </c>
      <c r="E142" s="3" t="s">
        <v>26</v>
      </c>
      <c r="F142" s="3" t="s">
        <v>452</v>
      </c>
      <c r="G142" s="4">
        <v>0.01</v>
      </c>
      <c r="H142" s="3" t="s">
        <v>136</v>
      </c>
      <c r="I142" s="3" t="s">
        <v>32</v>
      </c>
      <c r="J142" s="1"/>
      <c r="K142" s="1"/>
      <c r="L142" s="1"/>
      <c r="M142" s="1"/>
      <c r="N142" s="24"/>
    </row>
    <row r="143" spans="1:14" ht="15.6" x14ac:dyDescent="0.3">
      <c r="A143" s="3" t="s">
        <v>277</v>
      </c>
      <c r="B143" s="3" t="s">
        <v>658</v>
      </c>
      <c r="C143" s="3" t="s">
        <v>26</v>
      </c>
      <c r="D143" s="3" t="s">
        <v>29</v>
      </c>
      <c r="E143" s="3" t="s">
        <v>26</v>
      </c>
      <c r="F143" s="3" t="s">
        <v>278</v>
      </c>
      <c r="G143" s="4">
        <v>0.01</v>
      </c>
      <c r="H143" s="3" t="s">
        <v>136</v>
      </c>
      <c r="I143" s="3" t="s">
        <v>32</v>
      </c>
      <c r="J143" s="1"/>
      <c r="K143" s="1"/>
      <c r="L143" s="1"/>
      <c r="M143" s="1"/>
      <c r="N143" s="25"/>
    </row>
    <row r="144" spans="1:14" ht="15.6" x14ac:dyDescent="0.3">
      <c r="A144" s="3" t="s">
        <v>279</v>
      </c>
      <c r="B144" s="3" t="s">
        <v>659</v>
      </c>
      <c r="C144" s="3" t="s">
        <v>26</v>
      </c>
      <c r="D144" s="3" t="s">
        <v>29</v>
      </c>
      <c r="E144" s="3" t="s">
        <v>26</v>
      </c>
      <c r="F144" s="3" t="s">
        <v>280</v>
      </c>
      <c r="G144" s="4">
        <v>0.01</v>
      </c>
      <c r="H144" s="3" t="s">
        <v>136</v>
      </c>
      <c r="I144" s="3" t="s">
        <v>32</v>
      </c>
      <c r="J144" s="1"/>
      <c r="K144" s="1"/>
      <c r="L144" s="1"/>
      <c r="M144" s="1"/>
      <c r="N144" s="24"/>
    </row>
    <row r="145" spans="1:14" ht="15.6" x14ac:dyDescent="0.3">
      <c r="A145" s="3" t="s">
        <v>281</v>
      </c>
      <c r="B145" s="3" t="s">
        <v>660</v>
      </c>
      <c r="C145" s="3" t="s">
        <v>26</v>
      </c>
      <c r="D145" s="3" t="s">
        <v>29</v>
      </c>
      <c r="E145" s="3" t="s">
        <v>26</v>
      </c>
      <c r="F145" s="3" t="s">
        <v>282</v>
      </c>
      <c r="G145" s="4">
        <v>0.01</v>
      </c>
      <c r="H145" s="3" t="s">
        <v>136</v>
      </c>
      <c r="I145" s="3" t="s">
        <v>32</v>
      </c>
      <c r="J145" s="1"/>
      <c r="K145" s="1"/>
      <c r="L145" s="1"/>
      <c r="M145" s="1"/>
      <c r="N145" s="25"/>
    </row>
    <row r="146" spans="1:14" ht="15.6" x14ac:dyDescent="0.3">
      <c r="A146" s="3" t="s">
        <v>283</v>
      </c>
      <c r="B146" s="3" t="s">
        <v>661</v>
      </c>
      <c r="C146" s="3" t="s">
        <v>26</v>
      </c>
      <c r="D146" s="3" t="s">
        <v>29</v>
      </c>
      <c r="E146" s="3" t="s">
        <v>26</v>
      </c>
      <c r="F146" s="3" t="s">
        <v>284</v>
      </c>
      <c r="G146" s="4">
        <v>0.01</v>
      </c>
      <c r="H146" s="3" t="s">
        <v>136</v>
      </c>
      <c r="I146" s="3" t="s">
        <v>32</v>
      </c>
      <c r="J146" s="1"/>
      <c r="K146" s="1"/>
      <c r="L146" s="1"/>
      <c r="M146" s="1"/>
      <c r="N146" s="24"/>
    </row>
    <row r="147" spans="1:14" ht="15.6" x14ac:dyDescent="0.3">
      <c r="A147" s="3" t="s">
        <v>285</v>
      </c>
      <c r="B147" s="3" t="s">
        <v>662</v>
      </c>
      <c r="C147" s="3" t="s">
        <v>26</v>
      </c>
      <c r="D147" s="3" t="s">
        <v>29</v>
      </c>
      <c r="E147" s="3" t="s">
        <v>26</v>
      </c>
      <c r="F147" s="3" t="s">
        <v>286</v>
      </c>
      <c r="G147" s="4">
        <v>0.01</v>
      </c>
      <c r="H147" s="3" t="s">
        <v>136</v>
      </c>
      <c r="I147" s="3" t="s">
        <v>32</v>
      </c>
      <c r="J147" s="1"/>
      <c r="K147" s="1"/>
      <c r="L147" s="1"/>
      <c r="M147" s="1"/>
      <c r="N147" s="25"/>
    </row>
    <row r="148" spans="1:14" ht="15.6" x14ac:dyDescent="0.3">
      <c r="A148" s="3" t="s">
        <v>519</v>
      </c>
      <c r="B148" s="3" t="s">
        <v>663</v>
      </c>
      <c r="C148" s="3" t="s">
        <v>26</v>
      </c>
      <c r="D148" s="3" t="s">
        <v>29</v>
      </c>
      <c r="E148" s="3" t="s">
        <v>26</v>
      </c>
      <c r="F148" s="3" t="s">
        <v>695</v>
      </c>
      <c r="G148" s="4">
        <v>0.01</v>
      </c>
      <c r="H148" s="3" t="s">
        <v>136</v>
      </c>
      <c r="I148" s="3" t="s">
        <v>32</v>
      </c>
      <c r="J148" s="1"/>
      <c r="K148" s="1"/>
      <c r="L148" s="1"/>
      <c r="M148" s="1"/>
      <c r="N148" s="24"/>
    </row>
    <row r="149" spans="1:14" ht="15.6" x14ac:dyDescent="0.3">
      <c r="A149" s="3" t="s">
        <v>287</v>
      </c>
      <c r="B149" s="3" t="s">
        <v>664</v>
      </c>
      <c r="C149" s="3" t="s">
        <v>26</v>
      </c>
      <c r="D149" s="3" t="s">
        <v>29</v>
      </c>
      <c r="E149" s="3" t="s">
        <v>26</v>
      </c>
      <c r="F149" s="3" t="s">
        <v>288</v>
      </c>
      <c r="G149" s="4">
        <v>0.01</v>
      </c>
      <c r="H149" s="3" t="s">
        <v>136</v>
      </c>
      <c r="I149" s="3" t="s">
        <v>32</v>
      </c>
      <c r="J149" s="1"/>
      <c r="K149" s="1"/>
      <c r="L149" s="1"/>
      <c r="M149" s="1"/>
      <c r="N149" s="25"/>
    </row>
    <row r="150" spans="1:14" ht="15.6" x14ac:dyDescent="0.3">
      <c r="A150" s="3" t="s">
        <v>289</v>
      </c>
      <c r="B150" s="3" t="s">
        <v>665</v>
      </c>
      <c r="C150" s="3" t="s">
        <v>26</v>
      </c>
      <c r="D150" s="3" t="s">
        <v>29</v>
      </c>
      <c r="E150" s="3" t="s">
        <v>26</v>
      </c>
      <c r="F150" s="3" t="s">
        <v>290</v>
      </c>
      <c r="G150" s="4">
        <v>0.01</v>
      </c>
      <c r="H150" s="3" t="s">
        <v>136</v>
      </c>
      <c r="I150" s="3" t="s">
        <v>32</v>
      </c>
      <c r="J150" s="1"/>
      <c r="K150" s="1"/>
      <c r="L150" s="1"/>
      <c r="M150" s="1"/>
      <c r="N150" s="24"/>
    </row>
    <row r="151" spans="1:14" ht="15.6" x14ac:dyDescent="0.3">
      <c r="A151" s="3" t="s">
        <v>291</v>
      </c>
      <c r="B151" s="3" t="s">
        <v>666</v>
      </c>
      <c r="C151" s="3" t="s">
        <v>26</v>
      </c>
      <c r="D151" s="3" t="s">
        <v>29</v>
      </c>
      <c r="E151" s="3" t="s">
        <v>26</v>
      </c>
      <c r="F151" s="3" t="s">
        <v>292</v>
      </c>
      <c r="G151" s="4">
        <v>0.01</v>
      </c>
      <c r="H151" s="3" t="s">
        <v>136</v>
      </c>
      <c r="I151" s="3" t="s">
        <v>32</v>
      </c>
      <c r="J151" s="1"/>
      <c r="K151" s="1"/>
      <c r="L151" s="1"/>
      <c r="M151" s="1"/>
      <c r="N151" s="25"/>
    </row>
    <row r="152" spans="1:14" ht="15.6" x14ac:dyDescent="0.3">
      <c r="A152" s="3" t="s">
        <v>293</v>
      </c>
      <c r="B152" s="3" t="s">
        <v>667</v>
      </c>
      <c r="C152" s="3" t="s">
        <v>26</v>
      </c>
      <c r="D152" s="3" t="s">
        <v>29</v>
      </c>
      <c r="E152" s="3" t="s">
        <v>26</v>
      </c>
      <c r="F152" s="3" t="s">
        <v>294</v>
      </c>
      <c r="G152" s="4">
        <v>0.01</v>
      </c>
      <c r="H152" s="3" t="s">
        <v>136</v>
      </c>
      <c r="I152" s="3" t="s">
        <v>32</v>
      </c>
      <c r="J152" s="1"/>
      <c r="K152" s="1"/>
      <c r="L152" s="1"/>
      <c r="M152" s="1"/>
      <c r="N152" s="24"/>
    </row>
    <row r="153" spans="1:14" ht="15.6" x14ac:dyDescent="0.3">
      <c r="A153" s="3" t="s">
        <v>295</v>
      </c>
      <c r="B153" s="3" t="s">
        <v>668</v>
      </c>
      <c r="C153" s="3" t="s">
        <v>26</v>
      </c>
      <c r="D153" s="3" t="s">
        <v>29</v>
      </c>
      <c r="E153" s="3" t="s">
        <v>26</v>
      </c>
      <c r="F153" s="3" t="s">
        <v>296</v>
      </c>
      <c r="G153" s="4">
        <v>0.01</v>
      </c>
      <c r="H153" s="3" t="s">
        <v>136</v>
      </c>
      <c r="I153" s="3" t="s">
        <v>32</v>
      </c>
      <c r="J153" s="1"/>
      <c r="K153" s="1"/>
      <c r="L153" s="1"/>
      <c r="M153" s="1"/>
      <c r="N153" s="25"/>
    </row>
    <row r="154" spans="1:14" ht="15.6" x14ac:dyDescent="0.3">
      <c r="A154" s="3" t="s">
        <v>297</v>
      </c>
      <c r="B154" s="3" t="s">
        <v>669</v>
      </c>
      <c r="C154" s="3" t="s">
        <v>26</v>
      </c>
      <c r="D154" s="3" t="s">
        <v>29</v>
      </c>
      <c r="E154" s="3" t="s">
        <v>26</v>
      </c>
      <c r="F154" s="3" t="s">
        <v>298</v>
      </c>
      <c r="G154" s="4">
        <v>0.01</v>
      </c>
      <c r="H154" s="3" t="s">
        <v>136</v>
      </c>
      <c r="I154" s="3" t="s">
        <v>32</v>
      </c>
      <c r="J154" s="1"/>
      <c r="K154" s="1"/>
      <c r="L154" s="1"/>
      <c r="M154" s="1"/>
      <c r="N154" s="24"/>
    </row>
    <row r="155" spans="1:14" ht="15.6" x14ac:dyDescent="0.3">
      <c r="A155" s="3" t="s">
        <v>299</v>
      </c>
      <c r="B155" s="3" t="s">
        <v>670</v>
      </c>
      <c r="C155" s="3" t="s">
        <v>26</v>
      </c>
      <c r="D155" s="3" t="s">
        <v>29</v>
      </c>
      <c r="E155" s="3" t="s">
        <v>26</v>
      </c>
      <c r="F155" s="3" t="s">
        <v>300</v>
      </c>
      <c r="G155" s="4">
        <v>0.01</v>
      </c>
      <c r="H155" s="3" t="s">
        <v>136</v>
      </c>
      <c r="I155" s="3" t="s">
        <v>32</v>
      </c>
      <c r="J155" s="1"/>
      <c r="K155" s="1"/>
      <c r="L155" s="1"/>
      <c r="M155" s="1"/>
      <c r="N155" s="25"/>
    </row>
    <row r="156" spans="1:14" ht="15.6" x14ac:dyDescent="0.3">
      <c r="A156" s="3" t="s">
        <v>301</v>
      </c>
      <c r="B156" s="3" t="s">
        <v>671</v>
      </c>
      <c r="C156" s="3" t="s">
        <v>26</v>
      </c>
      <c r="D156" s="3" t="s">
        <v>29</v>
      </c>
      <c r="E156" s="3" t="s">
        <v>26</v>
      </c>
      <c r="F156" s="3" t="s">
        <v>302</v>
      </c>
      <c r="G156" s="4">
        <v>0.01</v>
      </c>
      <c r="H156" s="3" t="s">
        <v>136</v>
      </c>
      <c r="I156" s="3" t="s">
        <v>32</v>
      </c>
      <c r="J156" s="1"/>
      <c r="K156" s="1"/>
      <c r="L156" s="1"/>
      <c r="M156" s="1"/>
      <c r="N156" s="24"/>
    </row>
    <row r="157" spans="1:14" ht="15.6" x14ac:dyDescent="0.3">
      <c r="A157" s="3" t="s">
        <v>506</v>
      </c>
      <c r="B157" s="3" t="s">
        <v>672</v>
      </c>
      <c r="C157" s="3" t="s">
        <v>26</v>
      </c>
      <c r="D157" s="3" t="s">
        <v>29</v>
      </c>
      <c r="E157" s="3" t="s">
        <v>26</v>
      </c>
      <c r="F157" s="3" t="s">
        <v>453</v>
      </c>
      <c r="G157" s="4">
        <v>0.01</v>
      </c>
      <c r="H157" s="3" t="s">
        <v>136</v>
      </c>
      <c r="I157" s="3" t="s">
        <v>32</v>
      </c>
      <c r="J157" s="1"/>
      <c r="K157" s="1"/>
      <c r="L157" s="1"/>
      <c r="M157" s="1"/>
      <c r="N157" s="25"/>
    </row>
    <row r="158" spans="1:14" ht="15.6" x14ac:dyDescent="0.3">
      <c r="A158" s="3" t="s">
        <v>303</v>
      </c>
      <c r="B158" s="3" t="s">
        <v>673</v>
      </c>
      <c r="C158" s="3" t="s">
        <v>26</v>
      </c>
      <c r="D158" s="3" t="s">
        <v>29</v>
      </c>
      <c r="E158" s="3" t="s">
        <v>26</v>
      </c>
      <c r="F158" s="3" t="s">
        <v>304</v>
      </c>
      <c r="G158" s="4">
        <v>0.01</v>
      </c>
      <c r="H158" s="3" t="s">
        <v>136</v>
      </c>
      <c r="I158" s="3" t="s">
        <v>32</v>
      </c>
      <c r="J158" s="1"/>
      <c r="K158" s="1"/>
      <c r="L158" s="1"/>
      <c r="M158" s="1"/>
      <c r="N158" s="24"/>
    </row>
    <row r="159" spans="1:14" ht="15.6" x14ac:dyDescent="0.3">
      <c r="A159" s="3" t="s">
        <v>305</v>
      </c>
      <c r="B159" s="3" t="s">
        <v>674</v>
      </c>
      <c r="C159" s="3" t="s">
        <v>26</v>
      </c>
      <c r="D159" s="3" t="s">
        <v>29</v>
      </c>
      <c r="E159" s="3" t="s">
        <v>26</v>
      </c>
      <c r="F159" s="3" t="s">
        <v>306</v>
      </c>
      <c r="G159" s="4">
        <v>0.01</v>
      </c>
      <c r="H159" s="3" t="s">
        <v>136</v>
      </c>
      <c r="I159" s="3" t="s">
        <v>32</v>
      </c>
      <c r="J159" s="1"/>
      <c r="K159" s="1"/>
      <c r="L159" s="1"/>
      <c r="M159" s="1"/>
      <c r="N159" s="25"/>
    </row>
    <row r="160" spans="1:14" ht="15.6" x14ac:dyDescent="0.3">
      <c r="A160" s="3" t="s">
        <v>507</v>
      </c>
      <c r="B160" s="3" t="s">
        <v>675</v>
      </c>
      <c r="C160" s="3" t="s">
        <v>26</v>
      </c>
      <c r="D160" s="3" t="s">
        <v>29</v>
      </c>
      <c r="E160" s="3" t="s">
        <v>26</v>
      </c>
      <c r="F160" s="3" t="s">
        <v>454</v>
      </c>
      <c r="G160" s="4">
        <v>0.01</v>
      </c>
      <c r="H160" s="3" t="s">
        <v>136</v>
      </c>
      <c r="I160" s="3" t="s">
        <v>32</v>
      </c>
      <c r="J160" s="1"/>
      <c r="K160" s="1"/>
      <c r="L160" s="1"/>
      <c r="M160" s="1"/>
      <c r="N160" s="24"/>
    </row>
    <row r="161" spans="1:14" ht="15.6" x14ac:dyDescent="0.3">
      <c r="A161" s="3" t="s">
        <v>508</v>
      </c>
      <c r="B161" s="3" t="s">
        <v>676</v>
      </c>
      <c r="C161" s="3" t="s">
        <v>26</v>
      </c>
      <c r="D161" s="3" t="s">
        <v>29</v>
      </c>
      <c r="E161" s="3" t="s">
        <v>26</v>
      </c>
      <c r="F161" s="3" t="s">
        <v>455</v>
      </c>
      <c r="G161" s="4">
        <v>0.01</v>
      </c>
      <c r="H161" s="3" t="s">
        <v>136</v>
      </c>
      <c r="I161" s="3" t="s">
        <v>32</v>
      </c>
      <c r="J161" s="1"/>
      <c r="K161" s="1"/>
      <c r="L161" s="1"/>
      <c r="M161" s="1"/>
      <c r="N161" s="25"/>
    </row>
    <row r="162" spans="1:14" ht="15.6" x14ac:dyDescent="0.3">
      <c r="A162" s="3" t="s">
        <v>509</v>
      </c>
      <c r="B162" s="3" t="s">
        <v>677</v>
      </c>
      <c r="C162" s="3" t="s">
        <v>26</v>
      </c>
      <c r="D162" s="3" t="s">
        <v>29</v>
      </c>
      <c r="E162" s="3" t="s">
        <v>26</v>
      </c>
      <c r="F162" s="3" t="s">
        <v>456</v>
      </c>
      <c r="G162" s="4">
        <v>0.01</v>
      </c>
      <c r="H162" s="3" t="s">
        <v>136</v>
      </c>
      <c r="I162" s="3" t="s">
        <v>32</v>
      </c>
      <c r="J162" s="1"/>
      <c r="K162" s="1"/>
      <c r="L162" s="1"/>
      <c r="M162" s="1"/>
      <c r="N162" s="24"/>
    </row>
    <row r="163" spans="1:14" ht="15.6" x14ac:dyDescent="0.3">
      <c r="A163" s="3" t="s">
        <v>510</v>
      </c>
      <c r="B163" s="3" t="s">
        <v>678</v>
      </c>
      <c r="C163" s="3" t="s">
        <v>26</v>
      </c>
      <c r="D163" s="3" t="s">
        <v>29</v>
      </c>
      <c r="E163" s="3" t="s">
        <v>26</v>
      </c>
      <c r="F163" s="3" t="s">
        <v>457</v>
      </c>
      <c r="G163" s="4">
        <v>0.01</v>
      </c>
      <c r="H163" s="3" t="s">
        <v>136</v>
      </c>
      <c r="I163" s="3" t="s">
        <v>32</v>
      </c>
      <c r="J163" s="1"/>
      <c r="K163" s="1"/>
      <c r="L163" s="1"/>
      <c r="M163" s="1"/>
      <c r="N163" s="25"/>
    </row>
    <row r="164" spans="1:14" ht="15.6" x14ac:dyDescent="0.3">
      <c r="A164" s="3" t="s">
        <v>511</v>
      </c>
      <c r="B164" s="3" t="s">
        <v>679</v>
      </c>
      <c r="C164" s="3" t="s">
        <v>26</v>
      </c>
      <c r="D164" s="3" t="s">
        <v>29</v>
      </c>
      <c r="E164" s="3" t="s">
        <v>26</v>
      </c>
      <c r="F164" s="3" t="s">
        <v>458</v>
      </c>
      <c r="G164" s="4">
        <v>0.01</v>
      </c>
      <c r="H164" s="3" t="s">
        <v>136</v>
      </c>
      <c r="I164" s="3" t="s">
        <v>32</v>
      </c>
      <c r="J164" s="1"/>
      <c r="K164" s="1"/>
      <c r="L164" s="1"/>
      <c r="M164" s="1"/>
      <c r="N164" s="24"/>
    </row>
    <row r="165" spans="1:14" ht="15.6" x14ac:dyDescent="0.3">
      <c r="A165" s="3" t="s">
        <v>512</v>
      </c>
      <c r="B165" s="3" t="s">
        <v>680</v>
      </c>
      <c r="C165" s="3" t="s">
        <v>26</v>
      </c>
      <c r="D165" s="3" t="s">
        <v>29</v>
      </c>
      <c r="E165" s="3" t="s">
        <v>26</v>
      </c>
      <c r="F165" s="3" t="s">
        <v>459</v>
      </c>
      <c r="G165" s="4">
        <v>0.01</v>
      </c>
      <c r="H165" s="3" t="s">
        <v>136</v>
      </c>
      <c r="I165" s="3" t="s">
        <v>32</v>
      </c>
      <c r="J165" s="1"/>
      <c r="K165" s="1"/>
      <c r="L165" s="1"/>
      <c r="M165" s="1"/>
      <c r="N165" s="25"/>
    </row>
    <row r="166" spans="1:14" ht="15.6" x14ac:dyDescent="0.3">
      <c r="A166" s="3" t="s">
        <v>513</v>
      </c>
      <c r="B166" s="3" t="s">
        <v>681</v>
      </c>
      <c r="C166" s="3" t="s">
        <v>26</v>
      </c>
      <c r="D166" s="3" t="s">
        <v>29</v>
      </c>
      <c r="E166" s="3" t="s">
        <v>26</v>
      </c>
      <c r="F166" s="3" t="s">
        <v>460</v>
      </c>
      <c r="G166" s="4">
        <v>0.01</v>
      </c>
      <c r="H166" s="3" t="s">
        <v>136</v>
      </c>
      <c r="I166" s="3" t="s">
        <v>32</v>
      </c>
      <c r="J166" s="1"/>
      <c r="K166" s="1"/>
      <c r="L166" s="1"/>
      <c r="M166" s="1"/>
      <c r="N166" s="24"/>
    </row>
    <row r="167" spans="1:14" ht="15.6" x14ac:dyDescent="0.3">
      <c r="A167" s="3" t="s">
        <v>307</v>
      </c>
      <c r="B167" s="3" t="s">
        <v>682</v>
      </c>
      <c r="C167" s="3" t="s">
        <v>26</v>
      </c>
      <c r="D167" s="3" t="s">
        <v>29</v>
      </c>
      <c r="E167" s="3" t="s">
        <v>26</v>
      </c>
      <c r="F167" s="3" t="s">
        <v>308</v>
      </c>
      <c r="G167" s="4">
        <v>0.01</v>
      </c>
      <c r="H167" s="3" t="s">
        <v>136</v>
      </c>
      <c r="I167" s="3" t="s">
        <v>32</v>
      </c>
      <c r="J167" s="1"/>
      <c r="K167" s="1"/>
      <c r="L167" s="1"/>
      <c r="M167" s="1"/>
      <c r="N167" s="25"/>
    </row>
    <row r="168" spans="1:14" ht="15.6" x14ac:dyDescent="0.3">
      <c r="A168" s="3" t="s">
        <v>309</v>
      </c>
      <c r="B168" s="3" t="s">
        <v>683</v>
      </c>
      <c r="C168" s="3" t="s">
        <v>26</v>
      </c>
      <c r="D168" s="3" t="s">
        <v>29</v>
      </c>
      <c r="E168" s="3" t="s">
        <v>26</v>
      </c>
      <c r="F168" s="3" t="s">
        <v>310</v>
      </c>
      <c r="G168" s="4">
        <v>0.01</v>
      </c>
      <c r="H168" s="3" t="s">
        <v>136</v>
      </c>
      <c r="I168" s="3" t="s">
        <v>32</v>
      </c>
      <c r="J168" s="1"/>
      <c r="K168" s="1"/>
      <c r="L168" s="1"/>
      <c r="M168" s="1"/>
      <c r="N168" s="24"/>
    </row>
    <row r="169" spans="1:14" ht="15.6" x14ac:dyDescent="0.3">
      <c r="A169" s="3" t="s">
        <v>311</v>
      </c>
      <c r="B169" s="3" t="s">
        <v>684</v>
      </c>
      <c r="C169" s="3" t="s">
        <v>26</v>
      </c>
      <c r="D169" s="3" t="s">
        <v>29</v>
      </c>
      <c r="E169" s="3" t="s">
        <v>26</v>
      </c>
      <c r="F169" s="3" t="s">
        <v>312</v>
      </c>
      <c r="G169" s="4">
        <v>0.01</v>
      </c>
      <c r="H169" s="3" t="s">
        <v>136</v>
      </c>
      <c r="I169" s="3" t="s">
        <v>32</v>
      </c>
      <c r="J169" s="1"/>
      <c r="K169" s="1"/>
      <c r="L169" s="1"/>
      <c r="M169" s="1"/>
      <c r="N169" s="25"/>
    </row>
    <row r="170" spans="1:14" ht="15.6" x14ac:dyDescent="0.3">
      <c r="A170" s="3" t="s">
        <v>313</v>
      </c>
      <c r="B170" s="3" t="s">
        <v>685</v>
      </c>
      <c r="C170" s="3" t="s">
        <v>26</v>
      </c>
      <c r="D170" s="3" t="s">
        <v>29</v>
      </c>
      <c r="E170" s="3" t="s">
        <v>26</v>
      </c>
      <c r="F170" s="3" t="s">
        <v>314</v>
      </c>
      <c r="G170" s="4">
        <v>0.01</v>
      </c>
      <c r="H170" s="3" t="s">
        <v>136</v>
      </c>
      <c r="I170" s="3" t="s">
        <v>32</v>
      </c>
      <c r="J170" s="1"/>
      <c r="K170" s="1"/>
      <c r="L170" s="1"/>
      <c r="M170" s="1"/>
      <c r="N170" s="24"/>
    </row>
    <row r="171" spans="1:14" ht="15.6" x14ac:dyDescent="0.3">
      <c r="A171" s="3" t="s">
        <v>315</v>
      </c>
      <c r="B171" s="3" t="s">
        <v>686</v>
      </c>
      <c r="C171" s="3" t="s">
        <v>26</v>
      </c>
      <c r="D171" s="3" t="s">
        <v>29</v>
      </c>
      <c r="E171" s="3" t="s">
        <v>26</v>
      </c>
      <c r="F171" s="3" t="s">
        <v>316</v>
      </c>
      <c r="G171" s="4">
        <v>0.01</v>
      </c>
      <c r="H171" s="3" t="s">
        <v>136</v>
      </c>
      <c r="I171" s="3" t="s">
        <v>32</v>
      </c>
      <c r="J171" s="1"/>
      <c r="K171" s="1"/>
      <c r="L171" s="1"/>
      <c r="M171" s="1"/>
      <c r="N171" s="25"/>
    </row>
    <row r="172" spans="1:14" ht="15.6" x14ac:dyDescent="0.3">
      <c r="A172" s="3" t="s">
        <v>520</v>
      </c>
      <c r="B172" s="3" t="s">
        <v>687</v>
      </c>
      <c r="C172" s="3" t="s">
        <v>26</v>
      </c>
      <c r="D172" s="3" t="s">
        <v>29</v>
      </c>
      <c r="E172" s="3" t="s">
        <v>26</v>
      </c>
      <c r="F172" s="3" t="s">
        <v>696</v>
      </c>
      <c r="G172" s="4">
        <v>0.01</v>
      </c>
      <c r="H172" s="3" t="s">
        <v>136</v>
      </c>
      <c r="I172" s="3" t="s">
        <v>32</v>
      </c>
      <c r="J172" s="1"/>
      <c r="K172" s="1"/>
      <c r="L172" s="1"/>
      <c r="M172" s="1"/>
      <c r="N172" s="24"/>
    </row>
    <row r="173" spans="1:14" ht="15.6" x14ac:dyDescent="0.3">
      <c r="A173" s="3" t="s">
        <v>317</v>
      </c>
      <c r="B173" s="3" t="s">
        <v>688</v>
      </c>
      <c r="C173" s="3" t="s">
        <v>26</v>
      </c>
      <c r="D173" s="3" t="s">
        <v>29</v>
      </c>
      <c r="E173" s="3" t="s">
        <v>26</v>
      </c>
      <c r="F173" s="3" t="s">
        <v>318</v>
      </c>
      <c r="G173" s="4">
        <v>0.01</v>
      </c>
      <c r="H173" s="3" t="s">
        <v>136</v>
      </c>
      <c r="I173" s="3" t="s">
        <v>32</v>
      </c>
      <c r="J173" s="1"/>
      <c r="K173" s="1"/>
      <c r="L173" s="1"/>
      <c r="M173" s="1"/>
      <c r="N173" s="25"/>
    </row>
    <row r="174" spans="1:14" ht="15.6" x14ac:dyDescent="0.3">
      <c r="A174" s="3" t="s">
        <v>319</v>
      </c>
      <c r="B174" s="3" t="s">
        <v>689</v>
      </c>
      <c r="C174" s="3" t="s">
        <v>26</v>
      </c>
      <c r="D174" s="3" t="s">
        <v>29</v>
      </c>
      <c r="E174" s="3" t="s">
        <v>26</v>
      </c>
      <c r="F174" s="3" t="s">
        <v>320</v>
      </c>
      <c r="G174" s="4">
        <v>0.01</v>
      </c>
      <c r="H174" s="3" t="s">
        <v>136</v>
      </c>
      <c r="I174" s="3" t="s">
        <v>32</v>
      </c>
      <c r="J174" s="1"/>
      <c r="K174" s="1"/>
      <c r="L174" s="1"/>
      <c r="M174" s="1"/>
      <c r="N174" s="24"/>
    </row>
    <row r="175" spans="1:14" ht="15.6" x14ac:dyDescent="0.3">
      <c r="A175" s="1" t="s">
        <v>887</v>
      </c>
      <c r="B175" s="1" t="s">
        <v>888</v>
      </c>
      <c r="C175" s="1" t="s">
        <v>887</v>
      </c>
      <c r="D175" s="3" t="s">
        <v>893</v>
      </c>
      <c r="E175" s="1" t="s">
        <v>892</v>
      </c>
      <c r="F175" s="1" t="s">
        <v>890</v>
      </c>
      <c r="G175" s="13">
        <v>0.5</v>
      </c>
      <c r="H175" s="3" t="s">
        <v>889</v>
      </c>
      <c r="I175" s="1" t="s">
        <v>891</v>
      </c>
      <c r="J175" s="1"/>
      <c r="K175" s="1"/>
      <c r="L175" s="1"/>
      <c r="M175" s="1"/>
      <c r="N175" s="25"/>
    </row>
    <row r="176" spans="1:14" ht="15.6" x14ac:dyDescent="0.3">
      <c r="A176" s="14" t="s">
        <v>956</v>
      </c>
      <c r="B176" s="1" t="s">
        <v>957</v>
      </c>
      <c r="C176" s="1" t="s">
        <v>956</v>
      </c>
      <c r="D176" s="3" t="s">
        <v>893</v>
      </c>
      <c r="E176" s="1" t="s">
        <v>892</v>
      </c>
      <c r="F176" s="1">
        <v>100</v>
      </c>
      <c r="G176" s="13">
        <v>0.5</v>
      </c>
      <c r="H176" s="3" t="s">
        <v>889</v>
      </c>
      <c r="I176" s="1" t="s">
        <v>891</v>
      </c>
      <c r="J176" s="1"/>
      <c r="K176" s="1"/>
      <c r="L176" s="1"/>
      <c r="M176" s="1"/>
      <c r="N176" s="1"/>
    </row>
    <row r="177" spans="1:14" ht="15.6" x14ac:dyDescent="0.3">
      <c r="A177" s="14" t="s">
        <v>960</v>
      </c>
      <c r="B177" s="1" t="s">
        <v>961</v>
      </c>
      <c r="C177" s="1" t="s">
        <v>960</v>
      </c>
      <c r="D177" s="3" t="s">
        <v>893</v>
      </c>
      <c r="E177" s="1" t="s">
        <v>892</v>
      </c>
      <c r="F177" s="1" t="s">
        <v>962</v>
      </c>
      <c r="G177" s="13">
        <v>0.5</v>
      </c>
      <c r="H177" s="3" t="s">
        <v>889</v>
      </c>
      <c r="I177" s="1" t="s">
        <v>891</v>
      </c>
      <c r="J177" s="1"/>
      <c r="K177" s="1"/>
      <c r="L177" s="1"/>
      <c r="M177" s="1"/>
      <c r="N177" s="1"/>
    </row>
    <row r="178" spans="1:14" ht="15.6" x14ac:dyDescent="0.3">
      <c r="A178" s="3" t="s">
        <v>1094</v>
      </c>
      <c r="B178" s="3" t="s">
        <v>1095</v>
      </c>
      <c r="C178" s="3" t="s">
        <v>26</v>
      </c>
      <c r="D178" s="3" t="s">
        <v>29</v>
      </c>
      <c r="E178" s="3" t="s">
        <v>26</v>
      </c>
      <c r="F178" s="3" t="s">
        <v>1093</v>
      </c>
      <c r="G178" s="4">
        <v>0.01</v>
      </c>
      <c r="H178" s="3" t="s">
        <v>897</v>
      </c>
      <c r="I178" s="3" t="s">
        <v>896</v>
      </c>
      <c r="J178" s="1"/>
      <c r="K178" s="1"/>
      <c r="L178" s="1"/>
      <c r="M178" s="1"/>
      <c r="N178" s="1"/>
    </row>
    <row r="179" spans="1:14" ht="15.6" x14ac:dyDescent="0.3">
      <c r="A179" s="1" t="s">
        <v>1267</v>
      </c>
      <c r="B179" s="1" t="s">
        <v>1268</v>
      </c>
      <c r="C179" s="1" t="s">
        <v>26</v>
      </c>
      <c r="D179" s="3" t="s">
        <v>29</v>
      </c>
      <c r="E179" s="3" t="s">
        <v>26</v>
      </c>
      <c r="F179" s="3" t="s">
        <v>1269</v>
      </c>
      <c r="G179" s="4">
        <v>0.01</v>
      </c>
      <c r="H179" s="3" t="s">
        <v>1151</v>
      </c>
      <c r="I179" s="3" t="s">
        <v>1152</v>
      </c>
      <c r="J179" s="1"/>
      <c r="K179" s="1"/>
      <c r="L179" s="1"/>
      <c r="M179" s="1"/>
      <c r="N179" s="1"/>
    </row>
    <row r="180" spans="1:14" ht="15.6" x14ac:dyDescent="0.3">
      <c r="A180" s="3" t="s">
        <v>1297</v>
      </c>
      <c r="B180" s="3" t="s">
        <v>1298</v>
      </c>
      <c r="C180" s="3" t="s">
        <v>26</v>
      </c>
      <c r="D180" s="3" t="s">
        <v>29</v>
      </c>
      <c r="E180" s="3" t="s">
        <v>26</v>
      </c>
      <c r="F180" s="3" t="s">
        <v>1299</v>
      </c>
      <c r="G180" s="4">
        <v>0.01</v>
      </c>
      <c r="H180" s="3" t="s">
        <v>136</v>
      </c>
      <c r="I180" s="3" t="s">
        <v>32</v>
      </c>
      <c r="J180" s="1"/>
      <c r="K180" s="1"/>
      <c r="L180" s="1"/>
      <c r="M180" s="1"/>
      <c r="N180" s="33"/>
    </row>
    <row r="181" spans="1:14" ht="15.6" x14ac:dyDescent="0.3">
      <c r="A181" s="1" t="s">
        <v>1326</v>
      </c>
      <c r="B181" s="1" t="s">
        <v>1327</v>
      </c>
      <c r="C181" s="1" t="s">
        <v>26</v>
      </c>
      <c r="D181" s="1" t="s">
        <v>29</v>
      </c>
      <c r="E181" s="1" t="s">
        <v>26</v>
      </c>
      <c r="F181" s="1">
        <v>0.22</v>
      </c>
      <c r="G181" s="4">
        <v>0.01</v>
      </c>
      <c r="H181" s="1" t="s">
        <v>897</v>
      </c>
      <c r="I181" s="1" t="s">
        <v>896</v>
      </c>
      <c r="J181" s="1"/>
      <c r="K181" s="1"/>
      <c r="L181" s="1"/>
      <c r="M181" s="1"/>
      <c r="N181" s="1"/>
    </row>
    <row r="183" spans="1:14" ht="15" customHeight="1" x14ac:dyDescent="0.3">
      <c r="A183" s="3"/>
      <c r="B183" s="3"/>
      <c r="C183" s="3"/>
      <c r="D183" s="3"/>
      <c r="E183" s="3"/>
      <c r="F183" s="3"/>
      <c r="G183" s="4"/>
      <c r="H183" s="3"/>
      <c r="I183" s="3"/>
      <c r="J183" s="1"/>
      <c r="K183" s="1"/>
      <c r="L183" s="1"/>
      <c r="M183" s="1"/>
      <c r="N183" s="25"/>
    </row>
    <row r="184" spans="1:14" ht="15" customHeight="1" x14ac:dyDescent="0.3">
      <c r="A184" s="3"/>
      <c r="B184" s="3"/>
      <c r="C184" s="3"/>
      <c r="D184" s="3"/>
      <c r="E184" s="3"/>
      <c r="F184" s="3"/>
      <c r="G184" s="4"/>
      <c r="H184" s="3"/>
      <c r="I184" s="3"/>
      <c r="J184" s="1"/>
      <c r="K184" s="1"/>
      <c r="L184" s="1"/>
      <c r="M184" s="1"/>
      <c r="N184" s="25"/>
    </row>
    <row r="185" spans="1:14" ht="15" customHeight="1" x14ac:dyDescent="0.3">
      <c r="A185" s="3"/>
      <c r="B185" s="3"/>
      <c r="C185" s="3"/>
      <c r="D185" s="3"/>
      <c r="E185" s="3"/>
      <c r="F185" s="3"/>
      <c r="G185" s="4"/>
      <c r="H185" s="3"/>
      <c r="I185" s="3"/>
      <c r="J185" s="1"/>
      <c r="K185" s="1"/>
      <c r="L185" s="1"/>
      <c r="M185" s="1"/>
      <c r="N185" s="25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0A7898-5558-42EC-B9E8-0BA1BFD9FE23}">
  <dimension ref="A1:L5"/>
  <sheetViews>
    <sheetView zoomScale="85" zoomScaleNormal="85" workbookViewId="0">
      <selection activeCell="I5" sqref="I5"/>
    </sheetView>
  </sheetViews>
  <sheetFormatPr defaultRowHeight="14.4" x14ac:dyDescent="0.3"/>
  <cols>
    <col min="1" max="1" width="14.44140625" customWidth="1"/>
    <col min="2" max="2" width="40.6640625" customWidth="1"/>
    <col min="3" max="3" width="12.6640625" customWidth="1"/>
    <col min="4" max="4" width="28.5546875" customWidth="1"/>
    <col min="5" max="5" width="14.88671875" customWidth="1"/>
    <col min="6" max="6" width="20.88671875" customWidth="1"/>
    <col min="7" max="7" width="14.109375" customWidth="1"/>
    <col min="8" max="8" width="35" customWidth="1"/>
    <col min="9" max="10" width="13.109375" customWidth="1"/>
    <col min="11" max="11" width="12.33203125" customWidth="1"/>
  </cols>
  <sheetData>
    <row r="1" spans="1:12" x14ac:dyDescent="0.3">
      <c r="A1" t="s">
        <v>0</v>
      </c>
      <c r="B1" t="s">
        <v>1</v>
      </c>
      <c r="C1" t="s">
        <v>14</v>
      </c>
      <c r="D1" t="s">
        <v>2</v>
      </c>
      <c r="E1" t="s">
        <v>3</v>
      </c>
      <c r="F1" t="s">
        <v>12</v>
      </c>
      <c r="G1" t="s">
        <v>8</v>
      </c>
      <c r="H1" t="s">
        <v>1096</v>
      </c>
      <c r="I1" t="s">
        <v>84</v>
      </c>
      <c r="J1" t="s">
        <v>71</v>
      </c>
      <c r="K1" t="s">
        <v>1137</v>
      </c>
    </row>
    <row r="2" spans="1:12" x14ac:dyDescent="0.3">
      <c r="A2" s="19" t="s">
        <v>1099</v>
      </c>
      <c r="B2" s="20" t="str">
        <f>CONCATENATE("Выпрямительный диод на ", H2," В, ном. ток ", I2," А")</f>
        <v>Выпрямительный диод на 1000 В, ном. ток 2 А</v>
      </c>
      <c r="C2" s="20" t="str">
        <f t="shared" ref="C2" si="0">A2</f>
        <v>S2M</v>
      </c>
      <c r="D2" s="20" t="s">
        <v>1098</v>
      </c>
      <c r="E2" s="20" t="s">
        <v>1097</v>
      </c>
      <c r="F2" s="20" t="str">
        <f t="shared" ref="F2" si="1">CONCATENATE("Footprints\",G2,".PcbLib")</f>
        <v>Footprints\SMB.PcbLib</v>
      </c>
      <c r="G2" s="20" t="s">
        <v>341</v>
      </c>
      <c r="H2" s="20">
        <v>1000</v>
      </c>
      <c r="I2" s="27">
        <v>2</v>
      </c>
      <c r="J2" s="2"/>
      <c r="L2" s="11"/>
    </row>
    <row r="3" spans="1:12" x14ac:dyDescent="0.3">
      <c r="A3" s="2" t="s">
        <v>1274</v>
      </c>
      <c r="B3" s="2" t="s">
        <v>1275</v>
      </c>
      <c r="C3" s="2" t="s">
        <v>1274</v>
      </c>
      <c r="D3" s="2" t="s">
        <v>1098</v>
      </c>
      <c r="E3" s="2" t="s">
        <v>1097</v>
      </c>
      <c r="F3" s="2" t="s">
        <v>1276</v>
      </c>
      <c r="G3" s="2" t="s">
        <v>130</v>
      </c>
      <c r="H3" s="2" t="s">
        <v>413</v>
      </c>
      <c r="I3" s="2" t="s">
        <v>1307</v>
      </c>
      <c r="J3" s="2"/>
      <c r="L3" s="11"/>
    </row>
    <row r="4" spans="1:12" x14ac:dyDescent="0.3">
      <c r="B4" s="2"/>
      <c r="D4" s="2"/>
      <c r="F4" s="2"/>
      <c r="H4" s="2"/>
      <c r="I4" s="2"/>
      <c r="J4" s="2"/>
      <c r="K4" s="2"/>
      <c r="L4" s="11"/>
    </row>
    <row r="5" spans="1:12" x14ac:dyDescent="0.3">
      <c r="D5" s="2"/>
      <c r="E5" s="2"/>
      <c r="F5" s="2"/>
      <c r="H5" s="2"/>
      <c r="I5" s="2"/>
      <c r="J5" s="2"/>
      <c r="K5" s="2"/>
      <c r="L5" s="11"/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6"/>
  <dimension ref="A1:U4"/>
  <sheetViews>
    <sheetView zoomScale="55" zoomScaleNormal="55" workbookViewId="0">
      <selection activeCell="D25" sqref="D25"/>
    </sheetView>
  </sheetViews>
  <sheetFormatPr defaultRowHeight="14.4" x14ac:dyDescent="0.3"/>
  <cols>
    <col min="1" max="1" width="15.44140625" bestFit="1" customWidth="1"/>
    <col min="2" max="2" width="23.109375" bestFit="1" customWidth="1"/>
    <col min="3" max="3" width="15.44140625" bestFit="1" customWidth="1"/>
    <col min="4" max="4" width="32" bestFit="1" customWidth="1"/>
    <col min="5" max="5" width="15.44140625" bestFit="1" customWidth="1"/>
    <col min="6" max="6" width="8.88671875" bestFit="1" customWidth="1"/>
    <col min="7" max="7" width="33.5546875" bestFit="1" customWidth="1"/>
    <col min="8" max="8" width="17.109375" bestFit="1" customWidth="1"/>
    <col min="9" max="9" width="33.5546875" bestFit="1" customWidth="1"/>
    <col min="10" max="10" width="17.109375" bestFit="1" customWidth="1"/>
    <col min="11" max="11" width="33.5546875" bestFit="1" customWidth="1"/>
    <col min="12" max="12" width="17.109375" bestFit="1" customWidth="1"/>
    <col min="13" max="13" width="32.88671875" bestFit="1" customWidth="1"/>
    <col min="14" max="14" width="17.109375" bestFit="1" customWidth="1"/>
    <col min="15" max="15" width="32.44140625" bestFit="1" customWidth="1"/>
    <col min="16" max="16" width="17.109375" bestFit="1" customWidth="1"/>
    <col min="17" max="17" width="42.109375" bestFit="1" customWidth="1"/>
    <col min="18" max="18" width="17.109375" bestFit="1" customWidth="1"/>
    <col min="19" max="19" width="42.44140625" bestFit="1" customWidth="1"/>
    <col min="20" max="20" width="17.109375" bestFit="1" customWidth="1"/>
    <col min="21" max="21" width="14.33203125" customWidth="1"/>
  </cols>
  <sheetData>
    <row r="1" spans="1:2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25</v>
      </c>
      <c r="G1" s="1" t="s">
        <v>12</v>
      </c>
      <c r="H1" s="1" t="s">
        <v>8</v>
      </c>
      <c r="I1" s="1" t="s">
        <v>13</v>
      </c>
      <c r="J1" s="1" t="s">
        <v>9</v>
      </c>
      <c r="K1" s="1" t="s">
        <v>33</v>
      </c>
      <c r="L1" s="1" t="s">
        <v>34</v>
      </c>
      <c r="M1" s="1" t="s">
        <v>35</v>
      </c>
      <c r="N1" s="1" t="s">
        <v>36</v>
      </c>
      <c r="O1" s="1" t="s">
        <v>42</v>
      </c>
      <c r="P1" s="1" t="s">
        <v>43</v>
      </c>
      <c r="Q1" s="1" t="s">
        <v>44</v>
      </c>
      <c r="R1" s="1" t="s">
        <v>45</v>
      </c>
      <c r="S1" s="1" t="s">
        <v>46</v>
      </c>
      <c r="T1" s="1" t="s">
        <v>47</v>
      </c>
      <c r="U1" s="1" t="s">
        <v>1137</v>
      </c>
    </row>
    <row r="2" spans="1:21" ht="15.6" x14ac:dyDescent="0.3">
      <c r="A2" s="3" t="s">
        <v>27</v>
      </c>
      <c r="B2" s="3" t="s">
        <v>28</v>
      </c>
      <c r="C2" s="3" t="s">
        <v>27</v>
      </c>
      <c r="D2" s="3" t="s">
        <v>30</v>
      </c>
      <c r="E2" s="3" t="s">
        <v>27</v>
      </c>
      <c r="F2" s="3" t="s">
        <v>31</v>
      </c>
      <c r="G2" s="3" t="s">
        <v>773</v>
      </c>
      <c r="H2" s="3" t="s">
        <v>37</v>
      </c>
      <c r="I2" s="3" t="s">
        <v>821</v>
      </c>
      <c r="J2" s="3" t="s">
        <v>38</v>
      </c>
      <c r="K2" s="10" t="s">
        <v>823</v>
      </c>
      <c r="L2" s="10" t="s">
        <v>345</v>
      </c>
      <c r="M2" s="2"/>
      <c r="N2" s="2"/>
      <c r="O2" s="2"/>
      <c r="P2" s="2"/>
      <c r="Q2" s="2"/>
      <c r="R2" s="2"/>
      <c r="S2" s="2"/>
      <c r="T2" s="2"/>
    </row>
    <row r="3" spans="1:21" ht="15.6" x14ac:dyDescent="0.3">
      <c r="A3" s="3" t="s">
        <v>39</v>
      </c>
      <c r="B3" s="3" t="s">
        <v>40</v>
      </c>
      <c r="C3" s="3" t="s">
        <v>39</v>
      </c>
      <c r="D3" s="3" t="s">
        <v>801</v>
      </c>
      <c r="E3" s="3" t="s">
        <v>39</v>
      </c>
      <c r="F3" s="3" t="s">
        <v>41</v>
      </c>
      <c r="G3" s="3" t="s">
        <v>820</v>
      </c>
      <c r="H3" s="3" t="s">
        <v>123</v>
      </c>
      <c r="I3" s="3" t="s">
        <v>822</v>
      </c>
      <c r="J3" s="3" t="s">
        <v>124</v>
      </c>
      <c r="K3" s="3" t="s">
        <v>824</v>
      </c>
      <c r="L3" s="3" t="s">
        <v>125</v>
      </c>
      <c r="M3" s="3" t="s">
        <v>825</v>
      </c>
      <c r="N3" s="3" t="s">
        <v>126</v>
      </c>
      <c r="O3" s="3" t="s">
        <v>826</v>
      </c>
      <c r="P3" s="3" t="s">
        <v>127</v>
      </c>
      <c r="Q3" s="3" t="s">
        <v>827</v>
      </c>
      <c r="R3" s="2" t="s">
        <v>131</v>
      </c>
      <c r="S3" s="3" t="s">
        <v>865</v>
      </c>
      <c r="T3" s="2" t="s">
        <v>132</v>
      </c>
    </row>
    <row r="4" spans="1:21" ht="15.6" x14ac:dyDescent="0.3">
      <c r="A4" s="1"/>
      <c r="B4" s="1"/>
      <c r="C4" s="1"/>
      <c r="D4" s="1"/>
      <c r="E4" s="1"/>
      <c r="F4" s="1"/>
      <c r="G4" s="1"/>
      <c r="H4" s="1"/>
      <c r="I4" s="1"/>
      <c r="J4" s="1"/>
    </row>
  </sheetData>
  <phoneticPr fontId="8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79663-F48F-4F25-A918-D1C9EAE0567A}">
  <dimension ref="A1:N48"/>
  <sheetViews>
    <sheetView topLeftCell="A12" zoomScale="70" zoomScaleNormal="70" workbookViewId="0">
      <selection activeCell="P12" sqref="P12"/>
    </sheetView>
  </sheetViews>
  <sheetFormatPr defaultRowHeight="14.4" x14ac:dyDescent="0.3"/>
  <cols>
    <col min="1" max="1" width="32" bestFit="1" customWidth="1"/>
    <col min="2" max="2" width="13.5546875" bestFit="1" customWidth="1"/>
    <col min="3" max="3" width="26.5546875" customWidth="1"/>
    <col min="4" max="4" width="13.109375" customWidth="1"/>
    <col min="5" max="5" width="25.109375" customWidth="1"/>
    <col min="6" max="6" width="14.44140625" customWidth="1"/>
    <col min="7" max="7" width="9.88671875" customWidth="1"/>
    <col min="8" max="8" width="12.5546875" customWidth="1"/>
    <col min="9" max="9" width="14.44140625" customWidth="1"/>
    <col min="10" max="10" width="12" customWidth="1"/>
    <col min="11" max="11" width="25.77734375" customWidth="1"/>
    <col min="12" max="12" width="15.5546875" customWidth="1"/>
    <col min="13" max="13" width="14.6640625" customWidth="1"/>
    <col min="14" max="14" width="12.109375" customWidth="1"/>
  </cols>
  <sheetData>
    <row r="1" spans="1:14" ht="15.6" x14ac:dyDescent="0.3">
      <c r="A1" s="7" t="s">
        <v>0</v>
      </c>
      <c r="B1" s="6" t="s">
        <v>1</v>
      </c>
      <c r="C1" s="6" t="s">
        <v>2</v>
      </c>
      <c r="D1" s="6" t="s">
        <v>14</v>
      </c>
      <c r="E1" s="6" t="s">
        <v>1078</v>
      </c>
      <c r="F1" s="6" t="s">
        <v>3</v>
      </c>
      <c r="G1" s="6" t="s">
        <v>25</v>
      </c>
      <c r="H1" s="8" t="s">
        <v>321</v>
      </c>
      <c r="I1" s="8" t="s">
        <v>698</v>
      </c>
      <c r="J1" s="8" t="s">
        <v>697</v>
      </c>
      <c r="K1" s="6" t="s">
        <v>12</v>
      </c>
      <c r="L1" s="6" t="s">
        <v>8</v>
      </c>
      <c r="M1" s="8" t="s">
        <v>699</v>
      </c>
      <c r="N1" s="8" t="s">
        <v>1137</v>
      </c>
    </row>
    <row r="2" spans="1:14" x14ac:dyDescent="0.3">
      <c r="A2" s="28" t="s">
        <v>1291</v>
      </c>
      <c r="B2" s="29" t="s">
        <v>28</v>
      </c>
      <c r="C2" s="29" t="s">
        <v>30</v>
      </c>
      <c r="D2" s="29" t="s">
        <v>27</v>
      </c>
      <c r="E2" s="29" t="s">
        <v>30</v>
      </c>
      <c r="F2" s="29" t="s">
        <v>27</v>
      </c>
      <c r="G2" s="29" t="s">
        <v>1292</v>
      </c>
      <c r="H2" s="30">
        <v>0.1</v>
      </c>
      <c r="I2" s="29">
        <v>50</v>
      </c>
      <c r="J2" s="29" t="s">
        <v>772</v>
      </c>
      <c r="K2" s="29" t="s">
        <v>773</v>
      </c>
      <c r="L2" s="29" t="s">
        <v>37</v>
      </c>
      <c r="M2" s="29" t="s">
        <v>1293</v>
      </c>
      <c r="N2" s="31"/>
    </row>
    <row r="3" spans="1:14" x14ac:dyDescent="0.3">
      <c r="A3" s="2" t="s">
        <v>1371</v>
      </c>
      <c r="B3" s="29" t="s">
        <v>28</v>
      </c>
      <c r="C3" s="29" t="s">
        <v>30</v>
      </c>
      <c r="D3" s="29" t="s">
        <v>27</v>
      </c>
      <c r="E3" s="29" t="s">
        <v>30</v>
      </c>
      <c r="F3" s="29" t="s">
        <v>27</v>
      </c>
      <c r="G3" s="29" t="s">
        <v>1372</v>
      </c>
      <c r="H3" s="30">
        <v>0.1</v>
      </c>
      <c r="I3" s="29">
        <v>50</v>
      </c>
      <c r="J3" s="29" t="s">
        <v>772</v>
      </c>
      <c r="K3" s="29" t="s">
        <v>773</v>
      </c>
      <c r="L3" s="29" t="s">
        <v>37</v>
      </c>
      <c r="M3" s="29" t="s">
        <v>1373</v>
      </c>
      <c r="N3" s="2"/>
    </row>
    <row r="4" spans="1:14" x14ac:dyDescent="0.3">
      <c r="A4" s="19" t="s">
        <v>1294</v>
      </c>
      <c r="B4" s="20" t="s">
        <v>28</v>
      </c>
      <c r="C4" s="20" t="s">
        <v>30</v>
      </c>
      <c r="D4" s="20" t="s">
        <v>27</v>
      </c>
      <c r="E4" s="20" t="s">
        <v>30</v>
      </c>
      <c r="F4" s="20" t="s">
        <v>27</v>
      </c>
      <c r="G4" s="20" t="s">
        <v>1295</v>
      </c>
      <c r="H4" s="26">
        <v>0.1</v>
      </c>
      <c r="I4" s="20">
        <v>50</v>
      </c>
      <c r="J4" s="20" t="s">
        <v>772</v>
      </c>
      <c r="K4" s="20" t="s">
        <v>773</v>
      </c>
      <c r="L4" s="20" t="s">
        <v>37</v>
      </c>
      <c r="M4" s="20" t="s">
        <v>1296</v>
      </c>
      <c r="N4" s="27"/>
    </row>
    <row r="5" spans="1:14" x14ac:dyDescent="0.3">
      <c r="A5" s="19" t="s">
        <v>1288</v>
      </c>
      <c r="B5" s="20" t="s">
        <v>28</v>
      </c>
      <c r="C5" s="20" t="s">
        <v>30</v>
      </c>
      <c r="D5" s="20" t="s">
        <v>27</v>
      </c>
      <c r="E5" s="20" t="s">
        <v>30</v>
      </c>
      <c r="F5" s="20" t="s">
        <v>27</v>
      </c>
      <c r="G5" s="20" t="s">
        <v>1289</v>
      </c>
      <c r="H5" s="26">
        <v>0.1</v>
      </c>
      <c r="I5" s="20">
        <v>50</v>
      </c>
      <c r="J5" s="20" t="s">
        <v>772</v>
      </c>
      <c r="K5" s="20" t="s">
        <v>773</v>
      </c>
      <c r="L5" s="20" t="s">
        <v>37</v>
      </c>
      <c r="M5" s="20" t="s">
        <v>1290</v>
      </c>
      <c r="N5" s="27"/>
    </row>
    <row r="6" spans="1:14" x14ac:dyDescent="0.3">
      <c r="A6" s="2" t="s">
        <v>1079</v>
      </c>
      <c r="B6" s="2" t="s">
        <v>28</v>
      </c>
      <c r="C6" s="2" t="s">
        <v>30</v>
      </c>
      <c r="D6" s="2" t="s">
        <v>27</v>
      </c>
      <c r="E6" s="2" t="s">
        <v>30</v>
      </c>
      <c r="F6" s="2" t="s">
        <v>27</v>
      </c>
      <c r="G6" s="2" t="s">
        <v>736</v>
      </c>
      <c r="H6" s="11">
        <v>0.1</v>
      </c>
      <c r="I6" s="2">
        <v>50</v>
      </c>
      <c r="J6" s="2" t="s">
        <v>772</v>
      </c>
      <c r="K6" s="2" t="s">
        <v>773</v>
      </c>
      <c r="L6" s="2" t="s">
        <v>37</v>
      </c>
      <c r="M6" s="2">
        <v>1</v>
      </c>
      <c r="N6" s="2"/>
    </row>
    <row r="7" spans="1:14" x14ac:dyDescent="0.3">
      <c r="A7" s="2" t="s">
        <v>700</v>
      </c>
      <c r="B7" s="2" t="s">
        <v>28</v>
      </c>
      <c r="C7" s="2" t="s">
        <v>30</v>
      </c>
      <c r="D7" s="2" t="s">
        <v>27</v>
      </c>
      <c r="E7" s="2" t="s">
        <v>30</v>
      </c>
      <c r="F7" s="2" t="s">
        <v>27</v>
      </c>
      <c r="G7" s="2" t="s">
        <v>737</v>
      </c>
      <c r="H7" s="11">
        <v>0.1</v>
      </c>
      <c r="I7" s="2">
        <v>50</v>
      </c>
      <c r="J7" s="2" t="s">
        <v>772</v>
      </c>
      <c r="K7" s="2" t="s">
        <v>773</v>
      </c>
      <c r="L7" s="2" t="s">
        <v>37</v>
      </c>
      <c r="M7" s="2">
        <v>1.2</v>
      </c>
      <c r="N7" s="2"/>
    </row>
    <row r="8" spans="1:14" x14ac:dyDescent="0.3">
      <c r="A8" s="2" t="s">
        <v>701</v>
      </c>
      <c r="B8" s="2" t="s">
        <v>28</v>
      </c>
      <c r="C8" s="2" t="s">
        <v>30</v>
      </c>
      <c r="D8" s="2" t="s">
        <v>27</v>
      </c>
      <c r="E8" s="2" t="s">
        <v>30</v>
      </c>
      <c r="F8" s="2" t="s">
        <v>27</v>
      </c>
      <c r="G8" s="2" t="s">
        <v>738</v>
      </c>
      <c r="H8" s="11">
        <v>0.1</v>
      </c>
      <c r="I8" s="2">
        <v>50</v>
      </c>
      <c r="J8" s="2" t="s">
        <v>772</v>
      </c>
      <c r="K8" s="2" t="s">
        <v>773</v>
      </c>
      <c r="L8" s="2" t="s">
        <v>37</v>
      </c>
      <c r="M8" s="2">
        <v>1.5</v>
      </c>
      <c r="N8" s="2"/>
    </row>
    <row r="9" spans="1:14" x14ac:dyDescent="0.3">
      <c r="A9" s="2" t="s">
        <v>702</v>
      </c>
      <c r="B9" s="2" t="s">
        <v>28</v>
      </c>
      <c r="C9" s="2" t="s">
        <v>30</v>
      </c>
      <c r="D9" s="2" t="s">
        <v>27</v>
      </c>
      <c r="E9" s="2" t="s">
        <v>30</v>
      </c>
      <c r="F9" s="2" t="s">
        <v>27</v>
      </c>
      <c r="G9" s="2" t="s">
        <v>739</v>
      </c>
      <c r="H9" s="11">
        <v>0.1</v>
      </c>
      <c r="I9" s="2">
        <v>50</v>
      </c>
      <c r="J9" s="2" t="s">
        <v>772</v>
      </c>
      <c r="K9" s="2" t="s">
        <v>773</v>
      </c>
      <c r="L9" s="2" t="s">
        <v>37</v>
      </c>
      <c r="M9" s="2">
        <v>1.8</v>
      </c>
      <c r="N9" s="2"/>
    </row>
    <row r="10" spans="1:14" x14ac:dyDescent="0.3">
      <c r="A10" s="2" t="s">
        <v>703</v>
      </c>
      <c r="B10" s="2" t="s">
        <v>28</v>
      </c>
      <c r="C10" s="2" t="s">
        <v>30</v>
      </c>
      <c r="D10" s="2" t="s">
        <v>27</v>
      </c>
      <c r="E10" s="2" t="s">
        <v>30</v>
      </c>
      <c r="F10" s="2" t="s">
        <v>27</v>
      </c>
      <c r="G10" s="2" t="s">
        <v>740</v>
      </c>
      <c r="H10" s="11">
        <v>0.1</v>
      </c>
      <c r="I10" s="2">
        <v>50</v>
      </c>
      <c r="J10" s="2" t="s">
        <v>772</v>
      </c>
      <c r="K10" s="2" t="s">
        <v>773</v>
      </c>
      <c r="L10" s="2" t="s">
        <v>37</v>
      </c>
      <c r="M10" s="2">
        <v>2.2000000000000002</v>
      </c>
      <c r="N10" s="2"/>
    </row>
    <row r="11" spans="1:14" x14ac:dyDescent="0.3">
      <c r="A11" s="2" t="s">
        <v>704</v>
      </c>
      <c r="B11" s="2" t="s">
        <v>28</v>
      </c>
      <c r="C11" s="2" t="s">
        <v>30</v>
      </c>
      <c r="D11" s="2" t="s">
        <v>27</v>
      </c>
      <c r="E11" s="2" t="s">
        <v>30</v>
      </c>
      <c r="F11" s="2" t="s">
        <v>27</v>
      </c>
      <c r="G11" s="2" t="s">
        <v>741</v>
      </c>
      <c r="H11" s="11">
        <v>0.1</v>
      </c>
      <c r="I11" s="2">
        <v>50</v>
      </c>
      <c r="J11" s="2" t="s">
        <v>772</v>
      </c>
      <c r="K11" s="2" t="s">
        <v>773</v>
      </c>
      <c r="L11" s="2" t="s">
        <v>37</v>
      </c>
      <c r="M11" s="2">
        <v>2.7</v>
      </c>
      <c r="N11" s="2"/>
    </row>
    <row r="12" spans="1:14" x14ac:dyDescent="0.3">
      <c r="A12" s="2" t="s">
        <v>705</v>
      </c>
      <c r="B12" s="2" t="s">
        <v>28</v>
      </c>
      <c r="C12" s="2" t="s">
        <v>30</v>
      </c>
      <c r="D12" s="2" t="s">
        <v>27</v>
      </c>
      <c r="E12" s="2" t="s">
        <v>30</v>
      </c>
      <c r="F12" s="2" t="s">
        <v>27</v>
      </c>
      <c r="G12" s="2" t="s">
        <v>742</v>
      </c>
      <c r="H12" s="11">
        <v>0.1</v>
      </c>
      <c r="I12" s="2">
        <v>50</v>
      </c>
      <c r="J12" s="2" t="s">
        <v>772</v>
      </c>
      <c r="K12" s="2" t="s">
        <v>773</v>
      </c>
      <c r="L12" s="2" t="s">
        <v>37</v>
      </c>
      <c r="M12" s="2">
        <v>3.3</v>
      </c>
      <c r="N12" s="2"/>
    </row>
    <row r="13" spans="1:14" x14ac:dyDescent="0.3">
      <c r="A13" s="2" t="s">
        <v>706</v>
      </c>
      <c r="B13" s="2" t="s">
        <v>28</v>
      </c>
      <c r="C13" s="2" t="s">
        <v>30</v>
      </c>
      <c r="D13" s="2" t="s">
        <v>27</v>
      </c>
      <c r="E13" s="2" t="s">
        <v>30</v>
      </c>
      <c r="F13" s="2" t="s">
        <v>27</v>
      </c>
      <c r="G13" s="2" t="s">
        <v>743</v>
      </c>
      <c r="H13" s="11">
        <v>0.1</v>
      </c>
      <c r="I13" s="2">
        <v>50</v>
      </c>
      <c r="J13" s="2" t="s">
        <v>772</v>
      </c>
      <c r="K13" s="2" t="s">
        <v>773</v>
      </c>
      <c r="L13" s="2" t="s">
        <v>37</v>
      </c>
      <c r="M13" s="2">
        <v>3.9</v>
      </c>
      <c r="N13" s="2"/>
    </row>
    <row r="14" spans="1:14" x14ac:dyDescent="0.3">
      <c r="A14" s="2" t="s">
        <v>707</v>
      </c>
      <c r="B14" s="2" t="s">
        <v>28</v>
      </c>
      <c r="C14" s="2" t="s">
        <v>30</v>
      </c>
      <c r="D14" s="2" t="s">
        <v>27</v>
      </c>
      <c r="E14" s="2" t="s">
        <v>30</v>
      </c>
      <c r="F14" s="2" t="s">
        <v>27</v>
      </c>
      <c r="G14" s="2" t="s">
        <v>744</v>
      </c>
      <c r="H14" s="11">
        <v>0.1</v>
      </c>
      <c r="I14" s="2">
        <v>50</v>
      </c>
      <c r="J14" s="2" t="s">
        <v>772</v>
      </c>
      <c r="K14" s="2" t="s">
        <v>773</v>
      </c>
      <c r="L14" s="2" t="s">
        <v>37</v>
      </c>
      <c r="M14" s="2">
        <v>4.7</v>
      </c>
      <c r="N14" s="2"/>
    </row>
    <row r="15" spans="1:14" x14ac:dyDescent="0.3">
      <c r="A15" s="2" t="s">
        <v>708</v>
      </c>
      <c r="B15" s="2" t="s">
        <v>28</v>
      </c>
      <c r="C15" s="2" t="s">
        <v>30</v>
      </c>
      <c r="D15" s="2" t="s">
        <v>27</v>
      </c>
      <c r="E15" s="2" t="s">
        <v>30</v>
      </c>
      <c r="F15" s="2" t="s">
        <v>27</v>
      </c>
      <c r="G15" s="2" t="s">
        <v>745</v>
      </c>
      <c r="H15" s="11">
        <v>0.1</v>
      </c>
      <c r="I15" s="2">
        <v>50</v>
      </c>
      <c r="J15" s="2" t="s">
        <v>772</v>
      </c>
      <c r="K15" s="2" t="s">
        <v>773</v>
      </c>
      <c r="L15" s="2" t="s">
        <v>37</v>
      </c>
      <c r="M15" s="2">
        <v>5.6</v>
      </c>
      <c r="N15" s="2"/>
    </row>
    <row r="16" spans="1:14" x14ac:dyDescent="0.3">
      <c r="A16" s="2" t="s">
        <v>709</v>
      </c>
      <c r="B16" s="2" t="s">
        <v>28</v>
      </c>
      <c r="C16" s="2" t="s">
        <v>30</v>
      </c>
      <c r="D16" s="2" t="s">
        <v>27</v>
      </c>
      <c r="E16" s="2" t="s">
        <v>30</v>
      </c>
      <c r="F16" s="2" t="s">
        <v>27</v>
      </c>
      <c r="G16" s="2" t="s">
        <v>746</v>
      </c>
      <c r="H16" s="11">
        <v>0.1</v>
      </c>
      <c r="I16" s="2">
        <v>50</v>
      </c>
      <c r="J16" s="2" t="s">
        <v>772</v>
      </c>
      <c r="K16" s="2" t="s">
        <v>773</v>
      </c>
      <c r="L16" s="2" t="s">
        <v>37</v>
      </c>
      <c r="M16" s="2">
        <v>6.8</v>
      </c>
      <c r="N16" s="2"/>
    </row>
    <row r="17" spans="1:14" x14ac:dyDescent="0.3">
      <c r="A17" s="2" t="s">
        <v>710</v>
      </c>
      <c r="B17" s="2" t="s">
        <v>28</v>
      </c>
      <c r="C17" s="2" t="s">
        <v>30</v>
      </c>
      <c r="D17" s="2" t="s">
        <v>27</v>
      </c>
      <c r="E17" s="2" t="s">
        <v>30</v>
      </c>
      <c r="F17" s="2" t="s">
        <v>27</v>
      </c>
      <c r="G17" s="2" t="s">
        <v>747</v>
      </c>
      <c r="H17" s="11">
        <v>0.1</v>
      </c>
      <c r="I17" s="2">
        <v>50</v>
      </c>
      <c r="J17" s="2" t="s">
        <v>772</v>
      </c>
      <c r="K17" s="2" t="s">
        <v>773</v>
      </c>
      <c r="L17" s="2" t="s">
        <v>37</v>
      </c>
      <c r="M17" s="2">
        <v>8.1999999999999993</v>
      </c>
      <c r="N17" s="2"/>
    </row>
    <row r="18" spans="1:14" x14ac:dyDescent="0.3">
      <c r="A18" s="2" t="s">
        <v>711</v>
      </c>
      <c r="B18" s="2" t="s">
        <v>28</v>
      </c>
      <c r="C18" s="2" t="s">
        <v>30</v>
      </c>
      <c r="D18" s="2" t="s">
        <v>27</v>
      </c>
      <c r="E18" s="2" t="s">
        <v>30</v>
      </c>
      <c r="F18" s="2" t="s">
        <v>27</v>
      </c>
      <c r="G18" s="2" t="s">
        <v>748</v>
      </c>
      <c r="H18" s="11">
        <v>0.1</v>
      </c>
      <c r="I18" s="2">
        <v>50</v>
      </c>
      <c r="J18" s="2" t="s">
        <v>772</v>
      </c>
      <c r="K18" s="2" t="s">
        <v>773</v>
      </c>
      <c r="L18" s="2" t="s">
        <v>37</v>
      </c>
      <c r="M18" s="2">
        <v>10</v>
      </c>
      <c r="N18" s="2"/>
    </row>
    <row r="19" spans="1:14" x14ac:dyDescent="0.3">
      <c r="A19" s="2" t="s">
        <v>712</v>
      </c>
      <c r="B19" s="2" t="s">
        <v>28</v>
      </c>
      <c r="C19" s="2" t="s">
        <v>30</v>
      </c>
      <c r="D19" s="2" t="s">
        <v>27</v>
      </c>
      <c r="E19" s="2" t="s">
        <v>30</v>
      </c>
      <c r="F19" s="2" t="s">
        <v>27</v>
      </c>
      <c r="G19" s="2" t="s">
        <v>749</v>
      </c>
      <c r="H19" s="11">
        <v>0.1</v>
      </c>
      <c r="I19" s="2">
        <v>50</v>
      </c>
      <c r="J19" s="2" t="s">
        <v>772</v>
      </c>
      <c r="K19" s="2" t="s">
        <v>773</v>
      </c>
      <c r="L19" s="2" t="s">
        <v>37</v>
      </c>
      <c r="M19" s="2">
        <v>12</v>
      </c>
      <c r="N19" s="2"/>
    </row>
    <row r="20" spans="1:14" x14ac:dyDescent="0.3">
      <c r="A20" s="2" t="s">
        <v>713</v>
      </c>
      <c r="B20" s="2" t="s">
        <v>28</v>
      </c>
      <c r="C20" s="2" t="s">
        <v>30</v>
      </c>
      <c r="D20" s="2" t="s">
        <v>27</v>
      </c>
      <c r="E20" s="2" t="s">
        <v>30</v>
      </c>
      <c r="F20" s="2" t="s">
        <v>27</v>
      </c>
      <c r="G20" s="2" t="s">
        <v>750</v>
      </c>
      <c r="H20" s="11">
        <v>0.1</v>
      </c>
      <c r="I20" s="2">
        <v>50</v>
      </c>
      <c r="J20" s="2" t="s">
        <v>772</v>
      </c>
      <c r="K20" s="2" t="s">
        <v>773</v>
      </c>
      <c r="L20" s="2" t="s">
        <v>37</v>
      </c>
      <c r="M20" s="2">
        <v>15</v>
      </c>
      <c r="N20" s="2"/>
    </row>
    <row r="21" spans="1:14" x14ac:dyDescent="0.3">
      <c r="A21" s="2" t="s">
        <v>714</v>
      </c>
      <c r="B21" s="2" t="s">
        <v>28</v>
      </c>
      <c r="C21" s="2" t="s">
        <v>30</v>
      </c>
      <c r="D21" s="2" t="s">
        <v>27</v>
      </c>
      <c r="E21" s="2" t="s">
        <v>30</v>
      </c>
      <c r="F21" s="2" t="s">
        <v>27</v>
      </c>
      <c r="G21" s="2" t="s">
        <v>751</v>
      </c>
      <c r="H21" s="11">
        <v>0.1</v>
      </c>
      <c r="I21" s="2">
        <v>50</v>
      </c>
      <c r="J21" s="2" t="s">
        <v>772</v>
      </c>
      <c r="K21" s="2" t="s">
        <v>773</v>
      </c>
      <c r="L21" s="2" t="s">
        <v>37</v>
      </c>
      <c r="M21" s="2">
        <v>18</v>
      </c>
      <c r="N21" s="2"/>
    </row>
    <row r="22" spans="1:14" x14ac:dyDescent="0.3">
      <c r="A22" s="2" t="s">
        <v>715</v>
      </c>
      <c r="B22" s="2" t="s">
        <v>28</v>
      </c>
      <c r="C22" s="2" t="s">
        <v>30</v>
      </c>
      <c r="D22" s="2" t="s">
        <v>27</v>
      </c>
      <c r="E22" s="2" t="s">
        <v>30</v>
      </c>
      <c r="F22" s="2" t="s">
        <v>27</v>
      </c>
      <c r="G22" s="2" t="s">
        <v>752</v>
      </c>
      <c r="H22" s="11">
        <v>0.1</v>
      </c>
      <c r="I22" s="2">
        <v>50</v>
      </c>
      <c r="J22" s="2" t="s">
        <v>772</v>
      </c>
      <c r="K22" s="2" t="s">
        <v>773</v>
      </c>
      <c r="L22" s="2" t="s">
        <v>37</v>
      </c>
      <c r="M22" s="2">
        <v>22</v>
      </c>
      <c r="N22" s="2"/>
    </row>
    <row r="23" spans="1:14" x14ac:dyDescent="0.3">
      <c r="A23" s="2" t="s">
        <v>716</v>
      </c>
      <c r="B23" s="2" t="s">
        <v>28</v>
      </c>
      <c r="C23" s="2" t="s">
        <v>30</v>
      </c>
      <c r="D23" s="2" t="s">
        <v>27</v>
      </c>
      <c r="E23" s="2" t="s">
        <v>30</v>
      </c>
      <c r="F23" s="2" t="s">
        <v>27</v>
      </c>
      <c r="G23" s="2" t="s">
        <v>753</v>
      </c>
      <c r="H23" s="11">
        <v>0.1</v>
      </c>
      <c r="I23" s="2">
        <v>50</v>
      </c>
      <c r="J23" s="2" t="s">
        <v>772</v>
      </c>
      <c r="K23" s="2" t="s">
        <v>773</v>
      </c>
      <c r="L23" s="2" t="s">
        <v>37</v>
      </c>
      <c r="M23" s="2">
        <v>27</v>
      </c>
      <c r="N23" s="2"/>
    </row>
    <row r="24" spans="1:14" x14ac:dyDescent="0.3">
      <c r="A24" s="2" t="s">
        <v>717</v>
      </c>
      <c r="B24" s="2" t="s">
        <v>28</v>
      </c>
      <c r="C24" s="2" t="s">
        <v>30</v>
      </c>
      <c r="D24" s="2" t="s">
        <v>27</v>
      </c>
      <c r="E24" s="2" t="s">
        <v>30</v>
      </c>
      <c r="F24" s="2" t="s">
        <v>27</v>
      </c>
      <c r="G24" s="2" t="s">
        <v>754</v>
      </c>
      <c r="H24" s="11">
        <v>0.1</v>
      </c>
      <c r="I24" s="2">
        <v>50</v>
      </c>
      <c r="J24" s="2" t="s">
        <v>772</v>
      </c>
      <c r="K24" s="2" t="s">
        <v>773</v>
      </c>
      <c r="L24" s="2" t="s">
        <v>37</v>
      </c>
      <c r="M24" s="2">
        <v>33</v>
      </c>
      <c r="N24" s="2"/>
    </row>
    <row r="25" spans="1:14" x14ac:dyDescent="0.3">
      <c r="A25" s="2" t="s">
        <v>718</v>
      </c>
      <c r="B25" s="2" t="s">
        <v>28</v>
      </c>
      <c r="C25" s="2" t="s">
        <v>30</v>
      </c>
      <c r="D25" s="2" t="s">
        <v>27</v>
      </c>
      <c r="E25" s="2" t="s">
        <v>30</v>
      </c>
      <c r="F25" s="2" t="s">
        <v>27</v>
      </c>
      <c r="G25" s="2" t="s">
        <v>755</v>
      </c>
      <c r="H25" s="11">
        <v>0.1</v>
      </c>
      <c r="I25" s="2">
        <v>50</v>
      </c>
      <c r="J25" s="2" t="s">
        <v>772</v>
      </c>
      <c r="K25" s="2" t="s">
        <v>773</v>
      </c>
      <c r="L25" s="2" t="s">
        <v>37</v>
      </c>
      <c r="M25" s="2">
        <v>39</v>
      </c>
      <c r="N25" s="2"/>
    </row>
    <row r="26" spans="1:14" x14ac:dyDescent="0.3">
      <c r="A26" s="2" t="s">
        <v>719</v>
      </c>
      <c r="B26" s="2" t="s">
        <v>28</v>
      </c>
      <c r="C26" s="2" t="s">
        <v>30</v>
      </c>
      <c r="D26" s="2" t="s">
        <v>27</v>
      </c>
      <c r="E26" s="2" t="s">
        <v>30</v>
      </c>
      <c r="F26" s="2" t="s">
        <v>27</v>
      </c>
      <c r="G26" s="2" t="s">
        <v>756</v>
      </c>
      <c r="H26" s="11">
        <v>0.1</v>
      </c>
      <c r="I26" s="2">
        <v>50</v>
      </c>
      <c r="J26" s="2" t="s">
        <v>772</v>
      </c>
      <c r="K26" s="2" t="s">
        <v>773</v>
      </c>
      <c r="L26" s="2" t="s">
        <v>37</v>
      </c>
      <c r="M26" s="2">
        <v>47</v>
      </c>
      <c r="N26" s="2"/>
    </row>
    <row r="27" spans="1:14" x14ac:dyDescent="0.3">
      <c r="A27" s="2" t="s">
        <v>720</v>
      </c>
      <c r="B27" s="2" t="s">
        <v>28</v>
      </c>
      <c r="C27" s="2" t="s">
        <v>30</v>
      </c>
      <c r="D27" s="2" t="s">
        <v>27</v>
      </c>
      <c r="E27" s="2" t="s">
        <v>30</v>
      </c>
      <c r="F27" s="2" t="s">
        <v>27</v>
      </c>
      <c r="G27" s="2" t="s">
        <v>757</v>
      </c>
      <c r="H27" s="11">
        <v>0.1</v>
      </c>
      <c r="I27" s="2">
        <v>50</v>
      </c>
      <c r="J27" s="2" t="s">
        <v>772</v>
      </c>
      <c r="K27" s="2" t="s">
        <v>773</v>
      </c>
      <c r="L27" s="2" t="s">
        <v>37</v>
      </c>
      <c r="M27" s="2">
        <v>56</v>
      </c>
      <c r="N27" s="2"/>
    </row>
    <row r="28" spans="1:14" x14ac:dyDescent="0.3">
      <c r="A28" s="2" t="s">
        <v>721</v>
      </c>
      <c r="B28" s="2" t="s">
        <v>28</v>
      </c>
      <c r="C28" s="2" t="s">
        <v>30</v>
      </c>
      <c r="D28" s="2" t="s">
        <v>27</v>
      </c>
      <c r="E28" s="2" t="s">
        <v>30</v>
      </c>
      <c r="F28" s="2" t="s">
        <v>27</v>
      </c>
      <c r="G28" s="2" t="s">
        <v>758</v>
      </c>
      <c r="H28" s="11">
        <v>0.1</v>
      </c>
      <c r="I28" s="2">
        <v>50</v>
      </c>
      <c r="J28" s="2" t="s">
        <v>772</v>
      </c>
      <c r="K28" s="2" t="s">
        <v>773</v>
      </c>
      <c r="L28" s="2" t="s">
        <v>37</v>
      </c>
      <c r="M28" s="2">
        <v>68</v>
      </c>
      <c r="N28" s="2"/>
    </row>
    <row r="29" spans="1:14" x14ac:dyDescent="0.3">
      <c r="A29" s="2" t="s">
        <v>722</v>
      </c>
      <c r="B29" s="2" t="s">
        <v>28</v>
      </c>
      <c r="C29" s="2" t="s">
        <v>30</v>
      </c>
      <c r="D29" s="2" t="s">
        <v>27</v>
      </c>
      <c r="E29" s="2" t="s">
        <v>30</v>
      </c>
      <c r="F29" s="2" t="s">
        <v>27</v>
      </c>
      <c r="G29" s="2" t="s">
        <v>759</v>
      </c>
      <c r="H29" s="11">
        <v>0.1</v>
      </c>
      <c r="I29" s="2">
        <v>50</v>
      </c>
      <c r="J29" s="2" t="s">
        <v>772</v>
      </c>
      <c r="K29" s="2" t="s">
        <v>773</v>
      </c>
      <c r="L29" s="2" t="s">
        <v>37</v>
      </c>
      <c r="M29" s="2">
        <v>82</v>
      </c>
      <c r="N29" s="2"/>
    </row>
    <row r="30" spans="1:14" x14ac:dyDescent="0.3">
      <c r="A30" s="2" t="s">
        <v>723</v>
      </c>
      <c r="B30" s="2" t="s">
        <v>28</v>
      </c>
      <c r="C30" s="2" t="s">
        <v>30</v>
      </c>
      <c r="D30" s="2" t="s">
        <v>27</v>
      </c>
      <c r="E30" s="2" t="s">
        <v>30</v>
      </c>
      <c r="F30" s="2" t="s">
        <v>27</v>
      </c>
      <c r="G30" s="2" t="s">
        <v>31</v>
      </c>
      <c r="H30" s="11">
        <v>0.1</v>
      </c>
      <c r="I30" s="2">
        <v>50</v>
      </c>
      <c r="J30" s="2" t="s">
        <v>772</v>
      </c>
      <c r="K30" s="2" t="s">
        <v>773</v>
      </c>
      <c r="L30" s="2" t="s">
        <v>37</v>
      </c>
      <c r="M30" s="2">
        <v>100</v>
      </c>
      <c r="N30" s="2"/>
    </row>
    <row r="31" spans="1:14" x14ac:dyDescent="0.3">
      <c r="A31" s="2" t="s">
        <v>724</v>
      </c>
      <c r="B31" s="2" t="s">
        <v>28</v>
      </c>
      <c r="C31" s="2" t="s">
        <v>30</v>
      </c>
      <c r="D31" s="2" t="s">
        <v>27</v>
      </c>
      <c r="E31" s="2" t="s">
        <v>30</v>
      </c>
      <c r="F31" s="2" t="s">
        <v>27</v>
      </c>
      <c r="G31" s="2" t="s">
        <v>760</v>
      </c>
      <c r="H31" s="11">
        <v>0.1</v>
      </c>
      <c r="I31" s="2">
        <v>50</v>
      </c>
      <c r="J31" s="2" t="s">
        <v>772</v>
      </c>
      <c r="K31" s="2" t="s">
        <v>773</v>
      </c>
      <c r="L31" s="2" t="s">
        <v>37</v>
      </c>
      <c r="M31" s="2">
        <v>120</v>
      </c>
      <c r="N31" s="2"/>
    </row>
    <row r="32" spans="1:14" x14ac:dyDescent="0.3">
      <c r="A32" s="2" t="s">
        <v>725</v>
      </c>
      <c r="B32" s="2" t="s">
        <v>28</v>
      </c>
      <c r="C32" s="2" t="s">
        <v>30</v>
      </c>
      <c r="D32" s="2" t="s">
        <v>27</v>
      </c>
      <c r="E32" s="2" t="s">
        <v>30</v>
      </c>
      <c r="F32" s="2" t="s">
        <v>27</v>
      </c>
      <c r="G32" s="2" t="s">
        <v>761</v>
      </c>
      <c r="H32" s="11">
        <v>0.1</v>
      </c>
      <c r="I32" s="2">
        <v>50</v>
      </c>
      <c r="J32" s="2" t="s">
        <v>772</v>
      </c>
      <c r="K32" s="2" t="s">
        <v>773</v>
      </c>
      <c r="L32" s="2" t="s">
        <v>37</v>
      </c>
      <c r="M32" s="2">
        <v>150</v>
      </c>
      <c r="N32" s="2"/>
    </row>
    <row r="33" spans="1:14" x14ac:dyDescent="0.3">
      <c r="A33" s="2" t="s">
        <v>726</v>
      </c>
      <c r="B33" s="2" t="s">
        <v>28</v>
      </c>
      <c r="C33" s="2" t="s">
        <v>30</v>
      </c>
      <c r="D33" s="2" t="s">
        <v>27</v>
      </c>
      <c r="E33" s="2" t="s">
        <v>30</v>
      </c>
      <c r="F33" s="2" t="s">
        <v>27</v>
      </c>
      <c r="G33" s="2" t="s">
        <v>762</v>
      </c>
      <c r="H33" s="11">
        <v>0.1</v>
      </c>
      <c r="I33" s="2">
        <v>50</v>
      </c>
      <c r="J33" s="2" t="s">
        <v>772</v>
      </c>
      <c r="K33" s="2" t="s">
        <v>773</v>
      </c>
      <c r="L33" s="2" t="s">
        <v>37</v>
      </c>
      <c r="M33" s="2">
        <v>180</v>
      </c>
      <c r="N33" s="2"/>
    </row>
    <row r="34" spans="1:14" x14ac:dyDescent="0.3">
      <c r="A34" s="2" t="s">
        <v>727</v>
      </c>
      <c r="B34" s="2" t="s">
        <v>28</v>
      </c>
      <c r="C34" s="2" t="s">
        <v>30</v>
      </c>
      <c r="D34" s="2" t="s">
        <v>27</v>
      </c>
      <c r="E34" s="2" t="s">
        <v>30</v>
      </c>
      <c r="F34" s="2" t="s">
        <v>27</v>
      </c>
      <c r="G34" s="2" t="s">
        <v>763</v>
      </c>
      <c r="H34" s="11">
        <v>0.1</v>
      </c>
      <c r="I34" s="2">
        <v>50</v>
      </c>
      <c r="J34" s="2" t="s">
        <v>772</v>
      </c>
      <c r="K34" s="2" t="s">
        <v>773</v>
      </c>
      <c r="L34" s="2" t="s">
        <v>37</v>
      </c>
      <c r="M34" s="2">
        <v>220</v>
      </c>
      <c r="N34" s="2"/>
    </row>
    <row r="35" spans="1:14" x14ac:dyDescent="0.3">
      <c r="A35" s="2" t="s">
        <v>728</v>
      </c>
      <c r="B35" s="2" t="s">
        <v>28</v>
      </c>
      <c r="C35" s="2" t="s">
        <v>30</v>
      </c>
      <c r="D35" s="2" t="s">
        <v>27</v>
      </c>
      <c r="E35" s="2" t="s">
        <v>30</v>
      </c>
      <c r="F35" s="2" t="s">
        <v>27</v>
      </c>
      <c r="G35" s="2" t="s">
        <v>764</v>
      </c>
      <c r="H35" s="11">
        <v>0.1</v>
      </c>
      <c r="I35" s="2">
        <v>50</v>
      </c>
      <c r="J35" s="2" t="s">
        <v>772</v>
      </c>
      <c r="K35" s="2" t="s">
        <v>773</v>
      </c>
      <c r="L35" s="2" t="s">
        <v>37</v>
      </c>
      <c r="M35" s="2">
        <v>270</v>
      </c>
      <c r="N35" s="2"/>
    </row>
    <row r="36" spans="1:14" x14ac:dyDescent="0.3">
      <c r="A36" s="2" t="s">
        <v>729</v>
      </c>
      <c r="B36" s="2" t="s">
        <v>28</v>
      </c>
      <c r="C36" s="2" t="s">
        <v>30</v>
      </c>
      <c r="D36" s="2" t="s">
        <v>27</v>
      </c>
      <c r="E36" s="2" t="s">
        <v>30</v>
      </c>
      <c r="F36" s="2" t="s">
        <v>27</v>
      </c>
      <c r="G36" s="2" t="s">
        <v>765</v>
      </c>
      <c r="H36" s="11">
        <v>0.1</v>
      </c>
      <c r="I36" s="2">
        <v>50</v>
      </c>
      <c r="J36" s="2" t="s">
        <v>772</v>
      </c>
      <c r="K36" s="2" t="s">
        <v>773</v>
      </c>
      <c r="L36" s="2" t="s">
        <v>37</v>
      </c>
      <c r="M36" s="2">
        <v>330</v>
      </c>
      <c r="N36" s="2"/>
    </row>
    <row r="37" spans="1:14" x14ac:dyDescent="0.3">
      <c r="A37" s="2" t="s">
        <v>730</v>
      </c>
      <c r="B37" s="2" t="s">
        <v>28</v>
      </c>
      <c r="C37" s="2" t="s">
        <v>30</v>
      </c>
      <c r="D37" s="2" t="s">
        <v>27</v>
      </c>
      <c r="E37" s="2" t="s">
        <v>30</v>
      </c>
      <c r="F37" s="2" t="s">
        <v>27</v>
      </c>
      <c r="G37" s="2" t="s">
        <v>766</v>
      </c>
      <c r="H37" s="11">
        <v>0.1</v>
      </c>
      <c r="I37" s="2">
        <v>50</v>
      </c>
      <c r="J37" s="2" t="s">
        <v>772</v>
      </c>
      <c r="K37" s="2" t="s">
        <v>773</v>
      </c>
      <c r="L37" s="2" t="s">
        <v>37</v>
      </c>
      <c r="M37" s="2">
        <v>390</v>
      </c>
      <c r="N37" s="2"/>
    </row>
    <row r="38" spans="1:14" x14ac:dyDescent="0.3">
      <c r="A38" s="2" t="s">
        <v>731</v>
      </c>
      <c r="B38" s="2" t="s">
        <v>28</v>
      </c>
      <c r="C38" s="2" t="s">
        <v>30</v>
      </c>
      <c r="D38" s="2" t="s">
        <v>27</v>
      </c>
      <c r="E38" s="2" t="s">
        <v>30</v>
      </c>
      <c r="F38" s="2" t="s">
        <v>27</v>
      </c>
      <c r="G38" s="2" t="s">
        <v>767</v>
      </c>
      <c r="H38" s="11">
        <v>0.1</v>
      </c>
      <c r="I38" s="2">
        <v>50</v>
      </c>
      <c r="J38" s="2" t="s">
        <v>772</v>
      </c>
      <c r="K38" s="2" t="s">
        <v>773</v>
      </c>
      <c r="L38" s="2" t="s">
        <v>37</v>
      </c>
      <c r="M38" s="2">
        <v>470</v>
      </c>
      <c r="N38" s="2"/>
    </row>
    <row r="39" spans="1:14" x14ac:dyDescent="0.3">
      <c r="A39" s="2" t="s">
        <v>732</v>
      </c>
      <c r="B39" s="2" t="s">
        <v>28</v>
      </c>
      <c r="C39" s="2" t="s">
        <v>30</v>
      </c>
      <c r="D39" s="2" t="s">
        <v>27</v>
      </c>
      <c r="E39" s="2" t="s">
        <v>30</v>
      </c>
      <c r="F39" s="2" t="s">
        <v>27</v>
      </c>
      <c r="G39" s="2" t="s">
        <v>768</v>
      </c>
      <c r="H39" s="11">
        <v>0.1</v>
      </c>
      <c r="I39" s="2">
        <v>50</v>
      </c>
      <c r="J39" s="2" t="s">
        <v>772</v>
      </c>
      <c r="K39" s="2" t="s">
        <v>773</v>
      </c>
      <c r="L39" s="2" t="s">
        <v>37</v>
      </c>
      <c r="M39" s="2">
        <v>560</v>
      </c>
      <c r="N39" s="2"/>
    </row>
    <row r="40" spans="1:14" x14ac:dyDescent="0.3">
      <c r="A40" s="2" t="s">
        <v>733</v>
      </c>
      <c r="B40" s="2" t="s">
        <v>28</v>
      </c>
      <c r="C40" s="2" t="s">
        <v>30</v>
      </c>
      <c r="D40" s="2" t="s">
        <v>27</v>
      </c>
      <c r="E40" s="2" t="s">
        <v>30</v>
      </c>
      <c r="F40" s="2" t="s">
        <v>27</v>
      </c>
      <c r="G40" s="2" t="s">
        <v>769</v>
      </c>
      <c r="H40" s="11">
        <v>0.1</v>
      </c>
      <c r="I40" s="2">
        <v>50</v>
      </c>
      <c r="J40" s="2" t="s">
        <v>772</v>
      </c>
      <c r="K40" s="2" t="s">
        <v>773</v>
      </c>
      <c r="L40" s="2" t="s">
        <v>37</v>
      </c>
      <c r="M40" s="2">
        <v>680</v>
      </c>
      <c r="N40" s="2"/>
    </row>
    <row r="41" spans="1:14" x14ac:dyDescent="0.3">
      <c r="A41" s="2" t="s">
        <v>734</v>
      </c>
      <c r="B41" s="2" t="s">
        <v>28</v>
      </c>
      <c r="C41" s="2" t="s">
        <v>30</v>
      </c>
      <c r="D41" s="2" t="s">
        <v>27</v>
      </c>
      <c r="E41" s="2" t="s">
        <v>30</v>
      </c>
      <c r="F41" s="2" t="s">
        <v>27</v>
      </c>
      <c r="G41" s="2" t="s">
        <v>770</v>
      </c>
      <c r="H41" s="11">
        <v>0.1</v>
      </c>
      <c r="I41" s="2">
        <v>50</v>
      </c>
      <c r="J41" s="2" t="s">
        <v>772</v>
      </c>
      <c r="K41" s="2" t="s">
        <v>773</v>
      </c>
      <c r="L41" s="2" t="s">
        <v>37</v>
      </c>
      <c r="M41" s="2">
        <v>820</v>
      </c>
      <c r="N41" s="2"/>
    </row>
    <row r="42" spans="1:14" x14ac:dyDescent="0.3">
      <c r="A42" s="2" t="s">
        <v>735</v>
      </c>
      <c r="B42" s="2" t="s">
        <v>28</v>
      </c>
      <c r="C42" s="2" t="s">
        <v>30</v>
      </c>
      <c r="D42" s="2" t="s">
        <v>27</v>
      </c>
      <c r="E42" s="2" t="s">
        <v>30</v>
      </c>
      <c r="F42" s="2" t="s">
        <v>27</v>
      </c>
      <c r="G42" s="2" t="s">
        <v>771</v>
      </c>
      <c r="H42" s="11">
        <v>0.1</v>
      </c>
      <c r="I42" s="2">
        <v>50</v>
      </c>
      <c r="J42" s="2" t="s">
        <v>772</v>
      </c>
      <c r="K42" s="2" t="s">
        <v>773</v>
      </c>
      <c r="L42" s="2" t="s">
        <v>37</v>
      </c>
      <c r="M42" s="2">
        <v>1000</v>
      </c>
      <c r="N42" s="2"/>
    </row>
    <row r="43" spans="1:14" x14ac:dyDescent="0.3">
      <c r="A43" s="2" t="s">
        <v>1300</v>
      </c>
      <c r="B43" s="2" t="s">
        <v>28</v>
      </c>
      <c r="C43" s="2" t="s">
        <v>30</v>
      </c>
      <c r="D43" s="2" t="s">
        <v>27</v>
      </c>
      <c r="E43" s="2" t="s">
        <v>30</v>
      </c>
      <c r="F43" s="2" t="s">
        <v>27</v>
      </c>
      <c r="G43" s="2" t="s">
        <v>803</v>
      </c>
      <c r="H43" s="11">
        <v>0.1</v>
      </c>
      <c r="I43" s="2">
        <v>50</v>
      </c>
      <c r="J43" s="2" t="s">
        <v>772</v>
      </c>
      <c r="K43" s="2" t="s">
        <v>855</v>
      </c>
      <c r="L43" s="2" t="s">
        <v>856</v>
      </c>
      <c r="M43" s="2" t="s">
        <v>1301</v>
      </c>
      <c r="N43" s="2"/>
    </row>
    <row r="44" spans="1:14" x14ac:dyDescent="0.3">
      <c r="A44" s="2" t="s">
        <v>882</v>
      </c>
      <c r="B44" s="2" t="s">
        <v>28</v>
      </c>
      <c r="C44" s="2" t="s">
        <v>30</v>
      </c>
      <c r="D44" s="2" t="s">
        <v>27</v>
      </c>
      <c r="E44" s="2" t="s">
        <v>30</v>
      </c>
      <c r="F44" s="2" t="s">
        <v>27</v>
      </c>
      <c r="G44" s="2" t="s">
        <v>41</v>
      </c>
      <c r="H44" s="11">
        <v>0.1</v>
      </c>
      <c r="I44" s="2">
        <v>50</v>
      </c>
      <c r="J44" s="2" t="s">
        <v>772</v>
      </c>
      <c r="K44" s="2" t="s">
        <v>855</v>
      </c>
      <c r="L44" s="2" t="s">
        <v>856</v>
      </c>
      <c r="M44" s="2">
        <v>4700</v>
      </c>
      <c r="N44" s="2"/>
    </row>
    <row r="45" spans="1:14" x14ac:dyDescent="0.3">
      <c r="A45" s="2" t="s">
        <v>884</v>
      </c>
      <c r="B45" s="2" t="s">
        <v>28</v>
      </c>
      <c r="C45" s="2" t="s">
        <v>30</v>
      </c>
      <c r="D45" s="2" t="s">
        <v>27</v>
      </c>
      <c r="E45" s="2" t="s">
        <v>30</v>
      </c>
      <c r="F45" s="2" t="s">
        <v>27</v>
      </c>
      <c r="G45" s="2" t="s">
        <v>806</v>
      </c>
      <c r="H45" s="11">
        <v>0.1</v>
      </c>
      <c r="I45" s="2">
        <v>35</v>
      </c>
      <c r="J45" s="2" t="s">
        <v>772</v>
      </c>
      <c r="K45" s="2" t="s">
        <v>857</v>
      </c>
      <c r="L45" s="2" t="s">
        <v>858</v>
      </c>
      <c r="M45" s="2">
        <v>10000</v>
      </c>
      <c r="N45" s="2"/>
    </row>
    <row r="46" spans="1:14" x14ac:dyDescent="0.3">
      <c r="A46" s="2" t="s">
        <v>883</v>
      </c>
      <c r="B46" s="2" t="s">
        <v>28</v>
      </c>
      <c r="C46" s="2" t="s">
        <v>30</v>
      </c>
      <c r="D46" s="2" t="s">
        <v>27</v>
      </c>
      <c r="E46" s="2" t="s">
        <v>30</v>
      </c>
      <c r="F46" s="2" t="s">
        <v>27</v>
      </c>
      <c r="G46" s="2" t="s">
        <v>808</v>
      </c>
      <c r="H46" s="11">
        <v>0.1</v>
      </c>
      <c r="I46" s="2">
        <v>25</v>
      </c>
      <c r="J46" s="2" t="s">
        <v>772</v>
      </c>
      <c r="K46" s="2" t="s">
        <v>857</v>
      </c>
      <c r="L46" s="2" t="s">
        <v>858</v>
      </c>
      <c r="M46" s="2">
        <v>22000</v>
      </c>
      <c r="N46" s="2"/>
    </row>
    <row r="47" spans="1:14" x14ac:dyDescent="0.3">
      <c r="A47" s="2" t="s">
        <v>1129</v>
      </c>
      <c r="B47" s="2" t="s">
        <v>28</v>
      </c>
      <c r="C47" s="2" t="s">
        <v>30</v>
      </c>
      <c r="D47" s="2" t="s">
        <v>27</v>
      </c>
      <c r="E47" s="2" t="s">
        <v>30</v>
      </c>
      <c r="F47" s="2" t="s">
        <v>27</v>
      </c>
      <c r="G47" s="2" t="s">
        <v>31</v>
      </c>
      <c r="H47" s="11">
        <v>0.1</v>
      </c>
      <c r="I47" s="2">
        <v>1000</v>
      </c>
      <c r="J47" s="2" t="s">
        <v>772</v>
      </c>
      <c r="K47" s="2" t="s">
        <v>1127</v>
      </c>
      <c r="L47" s="2" t="s">
        <v>1128</v>
      </c>
      <c r="M47" s="2">
        <v>100</v>
      </c>
      <c r="N47" s="2"/>
    </row>
    <row r="48" spans="1:14" x14ac:dyDescent="0.3">
      <c r="A48" s="2"/>
      <c r="B48" s="2"/>
      <c r="C48" s="2"/>
      <c r="D48" s="2"/>
      <c r="E48" s="2"/>
      <c r="F48" s="2"/>
      <c r="G48" s="2"/>
      <c r="H48" s="11"/>
      <c r="I48" s="2"/>
      <c r="J48" s="2"/>
      <c r="K48" s="2"/>
      <c r="L48" s="2"/>
      <c r="M48" s="2"/>
      <c r="N48" s="2"/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12BA9-4BD1-47E6-ABE1-8290B5E7F33F}">
  <dimension ref="A1:O27"/>
  <sheetViews>
    <sheetView zoomScale="70" zoomScaleNormal="70" workbookViewId="0">
      <selection activeCell="B26" sqref="B26"/>
    </sheetView>
  </sheetViews>
  <sheetFormatPr defaultRowHeight="14.4" x14ac:dyDescent="0.3"/>
  <cols>
    <col min="1" max="1" width="27.5546875" bestFit="1" customWidth="1"/>
    <col min="2" max="2" width="23.109375" bestFit="1" customWidth="1"/>
    <col min="3" max="3" width="12.109375" bestFit="1" customWidth="1"/>
    <col min="4" max="4" width="29.44140625" bestFit="1" customWidth="1"/>
    <col min="5" max="5" width="14.109375" bestFit="1" customWidth="1"/>
    <col min="6" max="6" width="8.109375" bestFit="1" customWidth="1"/>
    <col min="7" max="7" width="12.109375" bestFit="1" customWidth="1"/>
    <col min="8" max="8" width="13" bestFit="1" customWidth="1"/>
    <col min="9" max="9" width="8.88671875" bestFit="1" customWidth="1"/>
    <col min="10" max="10" width="30.109375" bestFit="1" customWidth="1"/>
    <col min="11" max="11" width="16.88671875" bestFit="1" customWidth="1"/>
    <col min="12" max="12" width="14.88671875" bestFit="1" customWidth="1"/>
    <col min="13" max="13" width="19.109375" customWidth="1"/>
    <col min="14" max="14" width="18.44140625" customWidth="1"/>
    <col min="15" max="15" width="13.33203125" customWidth="1"/>
  </cols>
  <sheetData>
    <row r="1" spans="1:15" ht="15.6" x14ac:dyDescent="0.3">
      <c r="A1" s="7" t="s">
        <v>0</v>
      </c>
      <c r="B1" s="6" t="s">
        <v>1</v>
      </c>
      <c r="C1" s="6" t="s">
        <v>14</v>
      </c>
      <c r="D1" s="6" t="s">
        <v>2</v>
      </c>
      <c r="E1" s="6" t="s">
        <v>3</v>
      </c>
      <c r="F1" s="6" t="s">
        <v>25</v>
      </c>
      <c r="G1" s="6" t="s">
        <v>321</v>
      </c>
      <c r="H1" s="6" t="s">
        <v>698</v>
      </c>
      <c r="I1" s="6" t="s">
        <v>780</v>
      </c>
      <c r="J1" s="6" t="s">
        <v>12</v>
      </c>
      <c r="K1" s="6" t="s">
        <v>8</v>
      </c>
      <c r="L1" s="9" t="s">
        <v>779</v>
      </c>
      <c r="M1" s="6" t="s">
        <v>13</v>
      </c>
      <c r="N1" s="6" t="s">
        <v>9</v>
      </c>
      <c r="O1" s="8" t="s">
        <v>1137</v>
      </c>
    </row>
    <row r="2" spans="1:15" x14ac:dyDescent="0.3">
      <c r="A2" s="2" t="s">
        <v>781</v>
      </c>
      <c r="B2" s="2" t="s">
        <v>800</v>
      </c>
      <c r="C2" s="2" t="s">
        <v>27</v>
      </c>
      <c r="D2" s="2" t="s">
        <v>801</v>
      </c>
      <c r="E2" s="2" t="s">
        <v>39</v>
      </c>
      <c r="F2" s="2" t="s">
        <v>771</v>
      </c>
      <c r="G2">
        <v>0.1</v>
      </c>
      <c r="H2">
        <v>50</v>
      </c>
      <c r="I2" s="2" t="s">
        <v>819</v>
      </c>
      <c r="J2" s="2" t="s">
        <v>820</v>
      </c>
      <c r="K2" s="2" t="s">
        <v>123</v>
      </c>
      <c r="L2">
        <v>1</v>
      </c>
    </row>
    <row r="3" spans="1:15" x14ac:dyDescent="0.3">
      <c r="A3" s="2" t="s">
        <v>782</v>
      </c>
      <c r="B3" s="2" t="s">
        <v>800</v>
      </c>
      <c r="C3" s="2" t="s">
        <v>27</v>
      </c>
      <c r="D3" s="2" t="s">
        <v>801</v>
      </c>
      <c r="E3" s="2" t="s">
        <v>39</v>
      </c>
      <c r="F3" s="2" t="s">
        <v>802</v>
      </c>
      <c r="G3">
        <v>0.1</v>
      </c>
      <c r="H3">
        <v>50</v>
      </c>
      <c r="I3" s="2" t="s">
        <v>819</v>
      </c>
      <c r="J3" s="2" t="s">
        <v>820</v>
      </c>
      <c r="K3" s="2" t="s">
        <v>123</v>
      </c>
      <c r="L3">
        <v>1.5</v>
      </c>
    </row>
    <row r="4" spans="1:15" x14ac:dyDescent="0.3">
      <c r="A4" s="2" t="s">
        <v>783</v>
      </c>
      <c r="B4" s="2" t="s">
        <v>800</v>
      </c>
      <c r="C4" s="2" t="s">
        <v>27</v>
      </c>
      <c r="D4" s="2" t="s">
        <v>801</v>
      </c>
      <c r="E4" s="2" t="s">
        <v>39</v>
      </c>
      <c r="F4" s="2" t="s">
        <v>803</v>
      </c>
      <c r="G4">
        <v>0.1</v>
      </c>
      <c r="H4">
        <v>50</v>
      </c>
      <c r="I4" s="2" t="s">
        <v>819</v>
      </c>
      <c r="J4" s="2" t="s">
        <v>820</v>
      </c>
      <c r="K4" s="2" t="s">
        <v>123</v>
      </c>
      <c r="L4">
        <v>2.2000000000000002</v>
      </c>
    </row>
    <row r="5" spans="1:15" x14ac:dyDescent="0.3">
      <c r="A5" s="2" t="s">
        <v>784</v>
      </c>
      <c r="B5" s="2" t="s">
        <v>800</v>
      </c>
      <c r="C5" s="2" t="s">
        <v>27</v>
      </c>
      <c r="D5" s="2" t="s">
        <v>801</v>
      </c>
      <c r="E5" s="2" t="s">
        <v>39</v>
      </c>
      <c r="F5" s="2" t="s">
        <v>804</v>
      </c>
      <c r="G5">
        <v>0.1</v>
      </c>
      <c r="H5">
        <v>50</v>
      </c>
      <c r="I5" s="2" t="s">
        <v>819</v>
      </c>
      <c r="J5" s="2" t="s">
        <v>820</v>
      </c>
      <c r="K5" s="2" t="s">
        <v>123</v>
      </c>
      <c r="L5">
        <v>3.3</v>
      </c>
    </row>
    <row r="6" spans="1:15" x14ac:dyDescent="0.3">
      <c r="A6" s="2" t="s">
        <v>785</v>
      </c>
      <c r="B6" s="2" t="s">
        <v>800</v>
      </c>
      <c r="C6" s="2" t="s">
        <v>27</v>
      </c>
      <c r="D6" s="2" t="s">
        <v>801</v>
      </c>
      <c r="E6" s="2" t="s">
        <v>39</v>
      </c>
      <c r="F6" s="2" t="s">
        <v>41</v>
      </c>
      <c r="G6">
        <v>0.1</v>
      </c>
      <c r="H6">
        <v>50</v>
      </c>
      <c r="I6" s="2" t="s">
        <v>819</v>
      </c>
      <c r="J6" s="2" t="s">
        <v>820</v>
      </c>
      <c r="K6" s="2" t="s">
        <v>123</v>
      </c>
      <c r="L6">
        <v>4.7</v>
      </c>
    </row>
    <row r="7" spans="1:15" x14ac:dyDescent="0.3">
      <c r="A7" s="2" t="s">
        <v>786</v>
      </c>
      <c r="B7" s="2" t="s">
        <v>800</v>
      </c>
      <c r="C7" s="2" t="s">
        <v>27</v>
      </c>
      <c r="D7" s="2" t="s">
        <v>801</v>
      </c>
      <c r="E7" s="2" t="s">
        <v>39</v>
      </c>
      <c r="F7" s="2" t="s">
        <v>805</v>
      </c>
      <c r="G7">
        <v>0.1</v>
      </c>
      <c r="H7">
        <v>50</v>
      </c>
      <c r="I7" s="2" t="s">
        <v>819</v>
      </c>
      <c r="J7" s="2" t="s">
        <v>820</v>
      </c>
      <c r="K7" s="2" t="s">
        <v>123</v>
      </c>
      <c r="L7">
        <v>6.8</v>
      </c>
    </row>
    <row r="8" spans="1:15" x14ac:dyDescent="0.3">
      <c r="A8" s="2" t="s">
        <v>787</v>
      </c>
      <c r="B8" s="2" t="s">
        <v>800</v>
      </c>
      <c r="C8" s="2" t="s">
        <v>27</v>
      </c>
      <c r="D8" s="2" t="s">
        <v>801</v>
      </c>
      <c r="E8" s="2" t="s">
        <v>39</v>
      </c>
      <c r="F8" s="2" t="s">
        <v>806</v>
      </c>
      <c r="G8">
        <v>0.1</v>
      </c>
      <c r="H8">
        <v>50</v>
      </c>
      <c r="I8" s="2" t="s">
        <v>819</v>
      </c>
      <c r="J8" s="2" t="s">
        <v>820</v>
      </c>
      <c r="K8" s="2" t="s">
        <v>123</v>
      </c>
      <c r="L8">
        <v>10</v>
      </c>
    </row>
    <row r="9" spans="1:15" x14ac:dyDescent="0.3">
      <c r="A9" s="2" t="s">
        <v>788</v>
      </c>
      <c r="B9" s="2" t="s">
        <v>800</v>
      </c>
      <c r="C9" s="2" t="s">
        <v>27</v>
      </c>
      <c r="D9" s="2" t="s">
        <v>801</v>
      </c>
      <c r="E9" s="2" t="s">
        <v>39</v>
      </c>
      <c r="F9" s="2" t="s">
        <v>807</v>
      </c>
      <c r="G9">
        <v>0.1</v>
      </c>
      <c r="H9">
        <v>50</v>
      </c>
      <c r="I9" s="2" t="s">
        <v>819</v>
      </c>
      <c r="J9" s="2" t="s">
        <v>820</v>
      </c>
      <c r="K9" s="2" t="s">
        <v>123</v>
      </c>
      <c r="L9">
        <v>15</v>
      </c>
    </row>
    <row r="10" spans="1:15" x14ac:dyDescent="0.3">
      <c r="A10" s="2" t="s">
        <v>789</v>
      </c>
      <c r="B10" s="2" t="s">
        <v>800</v>
      </c>
      <c r="C10" s="2" t="s">
        <v>27</v>
      </c>
      <c r="D10" s="2" t="s">
        <v>801</v>
      </c>
      <c r="E10" s="2" t="s">
        <v>39</v>
      </c>
      <c r="F10" s="2" t="s">
        <v>808</v>
      </c>
      <c r="G10">
        <v>0.1</v>
      </c>
      <c r="H10">
        <v>50</v>
      </c>
      <c r="I10" s="2" t="s">
        <v>819</v>
      </c>
      <c r="J10" s="2" t="s">
        <v>820</v>
      </c>
      <c r="K10" s="2" t="s">
        <v>123</v>
      </c>
      <c r="L10">
        <v>22</v>
      </c>
    </row>
    <row r="11" spans="1:15" x14ac:dyDescent="0.3">
      <c r="A11" s="2" t="s">
        <v>790</v>
      </c>
      <c r="B11" s="2" t="s">
        <v>800</v>
      </c>
      <c r="C11" s="2" t="s">
        <v>27</v>
      </c>
      <c r="D11" s="2" t="s">
        <v>801</v>
      </c>
      <c r="E11" s="2" t="s">
        <v>39</v>
      </c>
      <c r="F11" s="2" t="s">
        <v>809</v>
      </c>
      <c r="G11">
        <v>0.1</v>
      </c>
      <c r="H11">
        <v>50</v>
      </c>
      <c r="I11" s="2" t="s">
        <v>819</v>
      </c>
      <c r="J11" s="2" t="s">
        <v>820</v>
      </c>
      <c r="K11" s="2" t="s">
        <v>123</v>
      </c>
      <c r="L11">
        <v>33</v>
      </c>
    </row>
    <row r="12" spans="1:15" x14ac:dyDescent="0.3">
      <c r="A12" s="2" t="s">
        <v>791</v>
      </c>
      <c r="B12" s="2" t="s">
        <v>800</v>
      </c>
      <c r="C12" s="2" t="s">
        <v>27</v>
      </c>
      <c r="D12" s="2" t="s">
        <v>801</v>
      </c>
      <c r="E12" s="2" t="s">
        <v>39</v>
      </c>
      <c r="F12" s="2" t="s">
        <v>810</v>
      </c>
      <c r="G12">
        <v>0.1</v>
      </c>
      <c r="H12">
        <v>50</v>
      </c>
      <c r="I12" s="2" t="s">
        <v>819</v>
      </c>
      <c r="J12" s="2" t="s">
        <v>820</v>
      </c>
      <c r="K12" s="2" t="s">
        <v>123</v>
      </c>
      <c r="L12">
        <v>47</v>
      </c>
    </row>
    <row r="13" spans="1:15" x14ac:dyDescent="0.3">
      <c r="A13" s="2" t="s">
        <v>792</v>
      </c>
      <c r="B13" s="2" t="s">
        <v>800</v>
      </c>
      <c r="C13" s="2" t="s">
        <v>27</v>
      </c>
      <c r="D13" s="2" t="s">
        <v>801</v>
      </c>
      <c r="E13" s="2" t="s">
        <v>39</v>
      </c>
      <c r="F13" s="2" t="s">
        <v>811</v>
      </c>
      <c r="G13">
        <v>0.1</v>
      </c>
      <c r="H13">
        <v>50</v>
      </c>
      <c r="I13" s="2" t="s">
        <v>819</v>
      </c>
      <c r="J13" s="2" t="s">
        <v>820</v>
      </c>
      <c r="K13" s="2" t="s">
        <v>123</v>
      </c>
      <c r="L13">
        <v>68</v>
      </c>
    </row>
    <row r="14" spans="1:15" x14ac:dyDescent="0.3">
      <c r="A14" s="2" t="s">
        <v>793</v>
      </c>
      <c r="B14" s="2" t="s">
        <v>800</v>
      </c>
      <c r="C14" s="2" t="s">
        <v>27</v>
      </c>
      <c r="D14" s="2" t="s">
        <v>801</v>
      </c>
      <c r="E14" s="2" t="s">
        <v>39</v>
      </c>
      <c r="F14" s="2" t="s">
        <v>812</v>
      </c>
      <c r="G14">
        <v>0.1</v>
      </c>
      <c r="H14">
        <v>50</v>
      </c>
      <c r="I14" s="2" t="s">
        <v>819</v>
      </c>
      <c r="J14" s="2" t="s">
        <v>820</v>
      </c>
      <c r="K14" s="2" t="s">
        <v>123</v>
      </c>
      <c r="L14">
        <v>100</v>
      </c>
    </row>
    <row r="15" spans="1:15" x14ac:dyDescent="0.3">
      <c r="A15" s="2" t="s">
        <v>794</v>
      </c>
      <c r="B15" s="2" t="s">
        <v>800</v>
      </c>
      <c r="C15" s="2" t="s">
        <v>27</v>
      </c>
      <c r="D15" s="2" t="s">
        <v>801</v>
      </c>
      <c r="E15" s="2" t="s">
        <v>39</v>
      </c>
      <c r="F15" s="2" t="s">
        <v>813</v>
      </c>
      <c r="G15">
        <v>0.1</v>
      </c>
      <c r="H15">
        <v>50</v>
      </c>
      <c r="I15" s="2" t="s">
        <v>819</v>
      </c>
      <c r="J15" s="2" t="s">
        <v>820</v>
      </c>
      <c r="K15" s="2" t="s">
        <v>123</v>
      </c>
      <c r="L15">
        <v>150</v>
      </c>
    </row>
    <row r="16" spans="1:15" x14ac:dyDescent="0.3">
      <c r="A16" s="2" t="s">
        <v>795</v>
      </c>
      <c r="B16" s="2" t="s">
        <v>800</v>
      </c>
      <c r="C16" s="2" t="s">
        <v>27</v>
      </c>
      <c r="D16" s="2" t="s">
        <v>801</v>
      </c>
      <c r="E16" s="2" t="s">
        <v>39</v>
      </c>
      <c r="F16" s="2" t="s">
        <v>814</v>
      </c>
      <c r="G16">
        <v>0.1</v>
      </c>
      <c r="H16">
        <v>50</v>
      </c>
      <c r="I16" s="2" t="s">
        <v>819</v>
      </c>
      <c r="J16" s="2" t="s">
        <v>820</v>
      </c>
      <c r="K16" s="2" t="s">
        <v>123</v>
      </c>
      <c r="L16">
        <v>220</v>
      </c>
    </row>
    <row r="17" spans="1:14" x14ac:dyDescent="0.3">
      <c r="A17" s="2" t="s">
        <v>796</v>
      </c>
      <c r="B17" s="2" t="s">
        <v>800</v>
      </c>
      <c r="C17" s="2" t="s">
        <v>27</v>
      </c>
      <c r="D17" s="2" t="s">
        <v>801</v>
      </c>
      <c r="E17" s="2" t="s">
        <v>39</v>
      </c>
      <c r="F17" s="2" t="s">
        <v>815</v>
      </c>
      <c r="G17">
        <v>0.1</v>
      </c>
      <c r="H17">
        <v>50</v>
      </c>
      <c r="I17" s="2" t="s">
        <v>819</v>
      </c>
      <c r="J17" s="2" t="s">
        <v>820</v>
      </c>
      <c r="K17" s="2" t="s">
        <v>123</v>
      </c>
      <c r="L17">
        <v>330</v>
      </c>
    </row>
    <row r="18" spans="1:14" x14ac:dyDescent="0.3">
      <c r="A18" s="2" t="s">
        <v>797</v>
      </c>
      <c r="B18" s="2" t="s">
        <v>800</v>
      </c>
      <c r="C18" s="2" t="s">
        <v>27</v>
      </c>
      <c r="D18" s="2" t="s">
        <v>801</v>
      </c>
      <c r="E18" s="2" t="s">
        <v>39</v>
      </c>
      <c r="F18" s="2" t="s">
        <v>816</v>
      </c>
      <c r="G18">
        <v>0.1</v>
      </c>
      <c r="H18">
        <v>50</v>
      </c>
      <c r="I18" s="2" t="s">
        <v>819</v>
      </c>
      <c r="J18" s="2" t="s">
        <v>820</v>
      </c>
      <c r="K18" s="2" t="s">
        <v>123</v>
      </c>
      <c r="L18">
        <v>470</v>
      </c>
    </row>
    <row r="19" spans="1:14" x14ac:dyDescent="0.3">
      <c r="A19" s="2" t="s">
        <v>798</v>
      </c>
      <c r="B19" s="2" t="s">
        <v>800</v>
      </c>
      <c r="C19" s="2" t="s">
        <v>27</v>
      </c>
      <c r="D19" s="2" t="s">
        <v>801</v>
      </c>
      <c r="E19" s="2" t="s">
        <v>39</v>
      </c>
      <c r="F19" s="2" t="s">
        <v>817</v>
      </c>
      <c r="G19">
        <v>0.1</v>
      </c>
      <c r="H19">
        <v>50</v>
      </c>
      <c r="I19" s="2" t="s">
        <v>819</v>
      </c>
      <c r="J19" s="2" t="s">
        <v>820</v>
      </c>
      <c r="K19" s="2" t="s">
        <v>123</v>
      </c>
      <c r="L19">
        <v>680</v>
      </c>
    </row>
    <row r="20" spans="1:14" x14ac:dyDescent="0.3">
      <c r="A20" s="2" t="s">
        <v>799</v>
      </c>
      <c r="B20" s="2" t="s">
        <v>800</v>
      </c>
      <c r="C20" s="2" t="s">
        <v>27</v>
      </c>
      <c r="D20" s="2" t="s">
        <v>801</v>
      </c>
      <c r="E20" s="2" t="s">
        <v>39</v>
      </c>
      <c r="F20" s="2" t="s">
        <v>818</v>
      </c>
      <c r="G20">
        <v>0.1</v>
      </c>
      <c r="H20">
        <v>50</v>
      </c>
      <c r="I20" s="2" t="s">
        <v>819</v>
      </c>
      <c r="J20" s="2" t="s">
        <v>820</v>
      </c>
      <c r="K20" s="2" t="s">
        <v>123</v>
      </c>
      <c r="L20">
        <v>1000</v>
      </c>
    </row>
    <row r="21" spans="1:14" x14ac:dyDescent="0.3">
      <c r="A21" s="2" t="s">
        <v>910</v>
      </c>
      <c r="B21" t="s">
        <v>906</v>
      </c>
      <c r="C21" s="2" t="s">
        <v>27</v>
      </c>
      <c r="D21" s="2" t="s">
        <v>801</v>
      </c>
      <c r="E21" s="2" t="s">
        <v>39</v>
      </c>
      <c r="F21" s="2" t="s">
        <v>907</v>
      </c>
      <c r="G21">
        <v>20</v>
      </c>
      <c r="H21">
        <v>10</v>
      </c>
      <c r="I21" t="s">
        <v>908</v>
      </c>
      <c r="J21" s="2" t="s">
        <v>909</v>
      </c>
      <c r="K21" t="s">
        <v>905</v>
      </c>
      <c r="L21">
        <v>2200</v>
      </c>
      <c r="M21" s="2" t="s">
        <v>963</v>
      </c>
      <c r="N21" t="s">
        <v>964</v>
      </c>
    </row>
    <row r="22" spans="1:14" x14ac:dyDescent="0.3">
      <c r="A22" t="s">
        <v>916</v>
      </c>
      <c r="B22" t="s">
        <v>917</v>
      </c>
      <c r="C22" s="2" t="s">
        <v>27</v>
      </c>
      <c r="D22" s="2" t="s">
        <v>801</v>
      </c>
      <c r="E22" s="2" t="s">
        <v>39</v>
      </c>
      <c r="F22" s="2" t="s">
        <v>818</v>
      </c>
      <c r="G22">
        <v>20</v>
      </c>
      <c r="H22">
        <v>25</v>
      </c>
      <c r="I22" t="s">
        <v>1076</v>
      </c>
      <c r="J22" s="2" t="s">
        <v>918</v>
      </c>
      <c r="K22" t="s">
        <v>919</v>
      </c>
      <c r="L22">
        <v>1000</v>
      </c>
    </row>
    <row r="23" spans="1:14" x14ac:dyDescent="0.3">
      <c r="A23" t="s">
        <v>1077</v>
      </c>
      <c r="B23" t="s">
        <v>917</v>
      </c>
      <c r="C23" s="2" t="s">
        <v>27</v>
      </c>
      <c r="D23" s="2" t="s">
        <v>801</v>
      </c>
      <c r="E23" s="2" t="s">
        <v>39</v>
      </c>
      <c r="F23" s="2" t="s">
        <v>818</v>
      </c>
      <c r="G23">
        <v>20</v>
      </c>
      <c r="H23">
        <v>35</v>
      </c>
      <c r="I23" t="s">
        <v>1076</v>
      </c>
      <c r="J23" s="2" t="s">
        <v>1075</v>
      </c>
      <c r="K23" t="s">
        <v>1074</v>
      </c>
      <c r="L23">
        <v>1000</v>
      </c>
    </row>
    <row r="24" spans="1:14" x14ac:dyDescent="0.3">
      <c r="A24" t="s">
        <v>1103</v>
      </c>
      <c r="B24" t="s">
        <v>1104</v>
      </c>
      <c r="C24" s="2" t="s">
        <v>27</v>
      </c>
      <c r="D24" s="2" t="s">
        <v>801</v>
      </c>
      <c r="E24" s="2" t="s">
        <v>39</v>
      </c>
      <c r="F24" t="s">
        <v>1105</v>
      </c>
      <c r="G24">
        <v>20</v>
      </c>
      <c r="H24">
        <v>400</v>
      </c>
      <c r="I24" t="s">
        <v>908</v>
      </c>
      <c r="J24" s="2" t="s">
        <v>1109</v>
      </c>
      <c r="K24" t="s">
        <v>1110</v>
      </c>
      <c r="L24">
        <v>3.3</v>
      </c>
      <c r="M24" s="2" t="s">
        <v>1108</v>
      </c>
      <c r="N24" t="s">
        <v>1107</v>
      </c>
    </row>
    <row r="25" spans="1:14" x14ac:dyDescent="0.3">
      <c r="A25" t="s">
        <v>1153</v>
      </c>
      <c r="B25" t="s">
        <v>1154</v>
      </c>
      <c r="C25" s="2" t="s">
        <v>27</v>
      </c>
      <c r="D25" s="2" t="s">
        <v>801</v>
      </c>
      <c r="E25" s="2" t="s">
        <v>39</v>
      </c>
      <c r="F25" t="s">
        <v>1155</v>
      </c>
      <c r="G25">
        <v>20</v>
      </c>
      <c r="H25">
        <v>400</v>
      </c>
      <c r="I25" t="s">
        <v>908</v>
      </c>
      <c r="J25" s="2" t="s">
        <v>1157</v>
      </c>
      <c r="K25" t="s">
        <v>1156</v>
      </c>
      <c r="L25">
        <v>2700</v>
      </c>
    </row>
    <row r="26" spans="1:14" x14ac:dyDescent="0.3">
      <c r="A26" t="s">
        <v>1328</v>
      </c>
      <c r="B26" t="s">
        <v>917</v>
      </c>
      <c r="C26" t="s">
        <v>27</v>
      </c>
      <c r="D26" t="s">
        <v>801</v>
      </c>
      <c r="E26" t="s">
        <v>39</v>
      </c>
      <c r="F26" t="s">
        <v>815</v>
      </c>
      <c r="G26">
        <v>20</v>
      </c>
      <c r="H26">
        <v>35</v>
      </c>
      <c r="I26" t="s">
        <v>1076</v>
      </c>
      <c r="J26" t="s">
        <v>1329</v>
      </c>
      <c r="K26" t="s">
        <v>1330</v>
      </c>
      <c r="L26">
        <v>330</v>
      </c>
    </row>
    <row r="27" spans="1:14" x14ac:dyDescent="0.3">
      <c r="A27" t="s">
        <v>1331</v>
      </c>
      <c r="B27" t="s">
        <v>1332</v>
      </c>
      <c r="C27" t="s">
        <v>27</v>
      </c>
      <c r="D27" t="s">
        <v>801</v>
      </c>
      <c r="E27" t="s">
        <v>39</v>
      </c>
      <c r="F27" t="s">
        <v>812</v>
      </c>
      <c r="G27">
        <v>20</v>
      </c>
      <c r="H27">
        <v>35</v>
      </c>
      <c r="I27" t="s">
        <v>1076</v>
      </c>
      <c r="J27" t="s">
        <v>1333</v>
      </c>
      <c r="K27" t="s">
        <v>1334</v>
      </c>
      <c r="L27">
        <v>100</v>
      </c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00D5DB-EA95-45E0-B4C5-D612FFCA44A9}">
  <dimension ref="A1:Q18"/>
  <sheetViews>
    <sheetView topLeftCell="E1" zoomScaleNormal="100" workbookViewId="0">
      <selection activeCell="K24" sqref="K24"/>
    </sheetView>
  </sheetViews>
  <sheetFormatPr defaultRowHeight="14.4" x14ac:dyDescent="0.3"/>
  <cols>
    <col min="1" max="1" width="14.88671875" customWidth="1"/>
    <col min="2" max="2" width="77.77734375" customWidth="1"/>
    <col min="3" max="3" width="12" customWidth="1"/>
    <col min="4" max="4" width="27.109375" customWidth="1"/>
    <col min="5" max="5" width="12.88671875" customWidth="1"/>
    <col min="6" max="6" width="36.33203125" customWidth="1"/>
    <col min="7" max="7" width="16.88671875" customWidth="1"/>
    <col min="8" max="8" width="18.109375" customWidth="1"/>
    <col min="9" max="9" width="16.88671875" customWidth="1"/>
    <col min="10" max="10" width="18.109375" customWidth="1"/>
    <col min="11" max="11" width="16.88671875" customWidth="1"/>
    <col min="12" max="12" width="18.109375" customWidth="1"/>
    <col min="13" max="13" width="16.88671875" customWidth="1"/>
    <col min="14" max="14" width="18" style="18" bestFit="1" customWidth="1"/>
    <col min="15" max="15" width="13.5546875" bestFit="1" customWidth="1"/>
    <col min="16" max="16" width="8.5546875" bestFit="1" customWidth="1"/>
    <col min="17" max="17" width="12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35</v>
      </c>
      <c r="M1" s="1" t="s">
        <v>36</v>
      </c>
      <c r="N1" s="17" t="s">
        <v>835</v>
      </c>
      <c r="O1" s="1" t="s">
        <v>84</v>
      </c>
      <c r="P1" s="1" t="s">
        <v>25</v>
      </c>
      <c r="Q1" s="1" t="s">
        <v>1137</v>
      </c>
    </row>
    <row r="2" spans="1:17" x14ac:dyDescent="0.3">
      <c r="A2" s="2" t="s">
        <v>102</v>
      </c>
      <c r="B2" s="2" t="s">
        <v>103</v>
      </c>
      <c r="C2" s="2" t="str">
        <f t="shared" ref="C2:C7" si="0">A2</f>
        <v>Inductance</v>
      </c>
      <c r="D2" s="2" t="s">
        <v>104</v>
      </c>
      <c r="E2" s="2" t="s">
        <v>102</v>
      </c>
      <c r="F2" s="2" t="str">
        <f t="shared" ref="F2:F7" si="1">CONCATENATE("Footprints\Inductance\",G2,".PcbLib")</f>
        <v>Footprints\Inductance\0603L.PcbLib</v>
      </c>
      <c r="G2" s="2" t="s">
        <v>105</v>
      </c>
      <c r="H2" s="2" t="str">
        <f>CONCATENATE("Footprints\Inductance\",I2,".PcbLib")</f>
        <v>Footprints\Inductance\1210L.PcbLib</v>
      </c>
      <c r="I2" s="2" t="s">
        <v>106</v>
      </c>
      <c r="J2" s="2" t="str">
        <f>CONCATENATE("Footprints\Inductance\",K2,".PcbLib")</f>
        <v>Footprints\Inductance\1212L.PcbLib</v>
      </c>
      <c r="K2" s="2" t="s">
        <v>107</v>
      </c>
      <c r="L2" s="2" t="str">
        <f>CONCATENATE("Footprints\Inductance\",M2,".PcbLib")</f>
        <v>Footprints\Inductance\12.8x12.8.PcbLib</v>
      </c>
      <c r="M2" s="2" t="s">
        <v>108</v>
      </c>
      <c r="O2" s="2"/>
      <c r="P2" s="2"/>
    </row>
    <row r="3" spans="1:17" x14ac:dyDescent="0.3">
      <c r="A3" s="2" t="s">
        <v>338</v>
      </c>
      <c r="B3" s="2" t="s">
        <v>339</v>
      </c>
      <c r="C3" s="2" t="str">
        <f t="shared" si="0"/>
        <v>IHLP4040DZER330M11</v>
      </c>
      <c r="D3" s="2" t="s">
        <v>104</v>
      </c>
      <c r="E3" s="2" t="s">
        <v>102</v>
      </c>
      <c r="F3" s="2" t="str">
        <f t="shared" si="1"/>
        <v>Footprints\Inductance\IHLP-4040.PcbLib</v>
      </c>
      <c r="G3" s="2" t="s">
        <v>340</v>
      </c>
      <c r="H3" s="2"/>
      <c r="I3" s="2"/>
      <c r="J3" s="2"/>
      <c r="K3" s="2"/>
      <c r="L3" s="2"/>
      <c r="M3" s="2"/>
      <c r="N3" s="18">
        <v>33</v>
      </c>
      <c r="O3" s="2">
        <v>4.4000000000000004</v>
      </c>
      <c r="P3" s="2" t="str">
        <f t="shared" ref="P3:P13" si="2">CONCATENATE(N3, " мк")</f>
        <v>33 мк</v>
      </c>
    </row>
    <row r="4" spans="1:17" x14ac:dyDescent="0.3">
      <c r="A4" s="2" t="s">
        <v>834</v>
      </c>
      <c r="B4" s="2" t="str">
        <f>CONCATENATE("Индуктивность на ", P4, "Гн, номинальный ток ", O4, " A")</f>
        <v>Индуктивность на 68 мкГн, номинальный ток 0,82 A</v>
      </c>
      <c r="C4" s="2" t="str">
        <f t="shared" si="0"/>
        <v>B82472G6683M</v>
      </c>
      <c r="D4" s="2" t="s">
        <v>104</v>
      </c>
      <c r="E4" s="2" t="s">
        <v>102</v>
      </c>
      <c r="F4" s="2" t="str">
        <f t="shared" si="1"/>
        <v>Footprints\Inductance\7.3x7.3.PcbLib</v>
      </c>
      <c r="G4" s="2" t="s">
        <v>836</v>
      </c>
      <c r="H4" s="2"/>
      <c r="I4" s="2"/>
      <c r="J4" s="2"/>
      <c r="K4" s="2"/>
      <c r="L4" s="2"/>
      <c r="M4" s="2"/>
      <c r="N4" s="18">
        <v>68</v>
      </c>
      <c r="O4" s="2">
        <v>0.82</v>
      </c>
      <c r="P4" s="2" t="str">
        <f t="shared" si="2"/>
        <v>68 мк</v>
      </c>
    </row>
    <row r="5" spans="1:17" x14ac:dyDescent="0.3">
      <c r="A5" t="s">
        <v>867</v>
      </c>
      <c r="B5" t="s">
        <v>868</v>
      </c>
      <c r="C5" t="str">
        <f t="shared" si="0"/>
        <v>IHLP2525CZER4R7M01</v>
      </c>
      <c r="D5" s="2" t="s">
        <v>104</v>
      </c>
      <c r="E5" s="2" t="s">
        <v>102</v>
      </c>
      <c r="F5" s="2" t="str">
        <f t="shared" si="1"/>
        <v>Footprints\Inductance\IHLP-2525.PcbLib</v>
      </c>
      <c r="G5" s="2" t="s">
        <v>869</v>
      </c>
      <c r="H5" s="2" t="str">
        <f t="shared" ref="H5:H6" si="3">CONCATENATE("Footprints\Inductance\",I5,".PcbLib")</f>
        <v>Footprints\Inductance\.PcbLib</v>
      </c>
      <c r="I5" s="2"/>
      <c r="J5" s="2" t="str">
        <f t="shared" ref="J5:J6" si="4">CONCATENATE("Footprints\Inductance\",K5,".PcbLib")</f>
        <v>Footprints\Inductance\.PcbLib</v>
      </c>
      <c r="K5" s="2"/>
      <c r="L5" s="2" t="str">
        <f t="shared" ref="L5:L6" si="5">CONCATENATE("Footprints\Inductance\",M5,".PcbLib")</f>
        <v>Footprints\Inductance\.PcbLib</v>
      </c>
      <c r="M5" s="2"/>
      <c r="N5" s="18">
        <v>4.7</v>
      </c>
      <c r="O5" s="2">
        <v>5.5</v>
      </c>
      <c r="P5" t="str">
        <f t="shared" si="2"/>
        <v>4,7 мк</v>
      </c>
    </row>
    <row r="6" spans="1:17" x14ac:dyDescent="0.3">
      <c r="A6" t="s">
        <v>894</v>
      </c>
      <c r="B6" t="s">
        <v>895</v>
      </c>
      <c r="C6" t="str">
        <f t="shared" si="0"/>
        <v>IHLP4040DZER220M11</v>
      </c>
      <c r="D6" s="2" t="s">
        <v>104</v>
      </c>
      <c r="E6" s="2" t="s">
        <v>102</v>
      </c>
      <c r="F6" s="2" t="str">
        <f t="shared" si="1"/>
        <v>Footprints\Inductance\IHLP-4040.PcbLib</v>
      </c>
      <c r="G6" s="2" t="s">
        <v>340</v>
      </c>
      <c r="H6" s="2" t="str">
        <f t="shared" si="3"/>
        <v>Footprints\Inductance\.PcbLib</v>
      </c>
      <c r="I6" s="2"/>
      <c r="J6" s="2" t="str">
        <f t="shared" si="4"/>
        <v>Footprints\Inductance\.PcbLib</v>
      </c>
      <c r="K6" s="2"/>
      <c r="L6" s="2" t="str">
        <f t="shared" si="5"/>
        <v>Footprints\Inductance\.PcbLib</v>
      </c>
      <c r="M6" s="2"/>
      <c r="N6" s="18">
        <v>22</v>
      </c>
      <c r="O6" s="2">
        <v>5</v>
      </c>
      <c r="P6" t="str">
        <f t="shared" si="2"/>
        <v>22 мк</v>
      </c>
    </row>
    <row r="7" spans="1:17" x14ac:dyDescent="0.3">
      <c r="A7" t="s">
        <v>953</v>
      </c>
      <c r="B7" t="s">
        <v>1035</v>
      </c>
      <c r="C7" t="str">
        <f t="shared" si="0"/>
        <v>B82462G4223M</v>
      </c>
      <c r="D7" s="2" t="s">
        <v>104</v>
      </c>
      <c r="E7" s="2" t="s">
        <v>102</v>
      </c>
      <c r="F7" s="2" t="str">
        <f t="shared" si="1"/>
        <v>Footprints\Inductance\B82462G4.PcbLib</v>
      </c>
      <c r="G7" s="2" t="s">
        <v>954</v>
      </c>
      <c r="H7" s="2" t="str">
        <f t="shared" ref="H7:H12" si="6">CONCATENATE("Footprints\Inductance\",I7,".PcbLib")</f>
        <v>Footprints\Inductance\.PcbLib</v>
      </c>
      <c r="I7" s="2"/>
      <c r="J7" s="2" t="str">
        <f t="shared" ref="J7:J12" si="7">CONCATENATE("Footprints\Inductance\",K7,".PcbLib")</f>
        <v>Footprints\Inductance\.PcbLib</v>
      </c>
      <c r="K7" s="2"/>
      <c r="L7" s="2" t="str">
        <f t="shared" ref="L7:L12" si="8">CONCATENATE("Footprints\Inductance\",M7,".PcbLib")</f>
        <v>Footprints\Inductance\.PcbLib</v>
      </c>
      <c r="M7" s="2"/>
      <c r="N7" s="18">
        <v>22</v>
      </c>
      <c r="O7" s="2" t="s">
        <v>1043</v>
      </c>
      <c r="P7" t="str">
        <f t="shared" si="2"/>
        <v>22 мк</v>
      </c>
    </row>
    <row r="8" spans="1:17" x14ac:dyDescent="0.3">
      <c r="A8" t="s">
        <v>1036</v>
      </c>
      <c r="B8" t="s">
        <v>1034</v>
      </c>
      <c r="C8" t="str">
        <f t="shared" ref="C8" si="9">A8</f>
        <v>CSAB0530-R33M</v>
      </c>
      <c r="D8" s="2" t="s">
        <v>104</v>
      </c>
      <c r="E8" s="2" t="s">
        <v>102</v>
      </c>
      <c r="F8" s="2" t="str">
        <f t="shared" ref="F8" si="10">CONCATENATE("Footprints\Inductance\",G8,".PcbLib")</f>
        <v>Footprints\Inductance\CSAB0530.PcbLib</v>
      </c>
      <c r="G8" s="2" t="s">
        <v>1033</v>
      </c>
      <c r="H8" s="2" t="str">
        <f t="shared" si="6"/>
        <v>Footprints\Inductance\.PcbLib</v>
      </c>
      <c r="I8" s="2"/>
      <c r="J8" s="2" t="str">
        <f t="shared" si="7"/>
        <v>Footprints\Inductance\.PcbLib</v>
      </c>
      <c r="K8" s="2"/>
      <c r="L8" s="2" t="str">
        <f t="shared" si="8"/>
        <v>Footprints\Inductance\.PcbLib</v>
      </c>
      <c r="M8" s="2"/>
      <c r="N8" s="18">
        <v>0.33</v>
      </c>
      <c r="O8" s="2">
        <v>15</v>
      </c>
      <c r="P8" t="str">
        <f t="shared" si="2"/>
        <v>0,33 мк</v>
      </c>
    </row>
    <row r="9" spans="1:17" x14ac:dyDescent="0.3">
      <c r="A9" t="s">
        <v>1044</v>
      </c>
      <c r="B9" s="2" t="str">
        <f>CONCATENATE("Индуктивность на ", P9, "Гн, номинальный ток ", O9, " A")</f>
        <v>Индуктивность на 68 мкГн, номинальный ток 2,65 A</v>
      </c>
      <c r="C9" t="str">
        <f t="shared" ref="C9:C14" si="11">A9</f>
        <v>B82477R4683M100</v>
      </c>
      <c r="D9" s="2" t="s">
        <v>104</v>
      </c>
      <c r="E9" s="2" t="s">
        <v>102</v>
      </c>
      <c r="F9" s="2" t="str">
        <f t="shared" ref="F9:F14" si="12">CONCATENATE("Footprints\Inductance\",G9,".PcbLib")</f>
        <v>Footprints\Inductance\12.5x12.5.PcbLib</v>
      </c>
      <c r="G9" s="2" t="s">
        <v>1045</v>
      </c>
      <c r="H9" s="2" t="str">
        <f t="shared" si="6"/>
        <v>Footprints\Inductance\.PcbLib</v>
      </c>
      <c r="I9" s="2"/>
      <c r="J9" s="2" t="str">
        <f t="shared" si="7"/>
        <v>Footprints\Inductance\.PcbLib</v>
      </c>
      <c r="K9" s="2"/>
      <c r="L9" s="2" t="str">
        <f t="shared" si="8"/>
        <v>Footprints\Inductance\.PcbLib</v>
      </c>
      <c r="M9" s="2"/>
      <c r="N9" s="18">
        <v>68</v>
      </c>
      <c r="O9" s="2">
        <v>2.65</v>
      </c>
      <c r="P9" s="2" t="str">
        <f t="shared" si="2"/>
        <v>68 мк</v>
      </c>
    </row>
    <row r="10" spans="1:17" x14ac:dyDescent="0.3">
      <c r="A10" t="s">
        <v>1047</v>
      </c>
      <c r="B10" s="2" t="str">
        <f>CONCATENATE("Индуктивность на ", P10, "Гн, номинальный ток ", O10, " A")</f>
        <v>Индуктивность на 12 мкГн, номинальный ток 1,05 A</v>
      </c>
      <c r="C10" t="str">
        <f t="shared" si="11"/>
        <v>SDR0403-120ML</v>
      </c>
      <c r="D10" s="2" t="s">
        <v>104</v>
      </c>
      <c r="E10" s="2" t="s">
        <v>102</v>
      </c>
      <c r="F10" s="2" t="str">
        <f t="shared" si="12"/>
        <v>Footprints\Inductance\4.5x4_wired.PcbLib</v>
      </c>
      <c r="G10" s="2" t="s">
        <v>1048</v>
      </c>
      <c r="H10" s="2" t="str">
        <f t="shared" si="6"/>
        <v>Footprints\Inductance\.PcbLib</v>
      </c>
      <c r="I10" s="2"/>
      <c r="J10" s="2" t="str">
        <f t="shared" si="7"/>
        <v>Footprints\Inductance\.PcbLib</v>
      </c>
      <c r="K10" s="2"/>
      <c r="L10" s="2" t="str">
        <f t="shared" si="8"/>
        <v>Footprints\Inductance\.PcbLib</v>
      </c>
      <c r="M10" s="2"/>
      <c r="N10" s="18">
        <v>12</v>
      </c>
      <c r="O10">
        <v>1.05</v>
      </c>
      <c r="P10" s="2" t="str">
        <f t="shared" si="2"/>
        <v>12 мк</v>
      </c>
    </row>
    <row r="11" spans="1:17" x14ac:dyDescent="0.3">
      <c r="A11" t="s">
        <v>1084</v>
      </c>
      <c r="B11" t="s">
        <v>1085</v>
      </c>
      <c r="C11" t="s">
        <v>1130</v>
      </c>
      <c r="D11" s="2" t="s">
        <v>1086</v>
      </c>
      <c r="E11" s="2" t="s">
        <v>1084</v>
      </c>
      <c r="F11" s="2" t="str">
        <f t="shared" si="12"/>
        <v>Footprints\Inductance\M20VN.PcbLib</v>
      </c>
      <c r="G11" s="2" t="s">
        <v>1084</v>
      </c>
      <c r="H11" s="2" t="str">
        <f t="shared" si="6"/>
        <v>Footprints\Inductance\.PcbLib</v>
      </c>
      <c r="I11" s="2"/>
      <c r="J11" s="2" t="str">
        <f t="shared" si="7"/>
        <v>Footprints\Inductance\.PcbLib</v>
      </c>
      <c r="K11" s="2"/>
      <c r="L11" s="2" t="str">
        <f t="shared" si="8"/>
        <v>Footprints\Inductance\.PcbLib</v>
      </c>
      <c r="M11" s="2"/>
      <c r="N11" s="18">
        <v>1.2</v>
      </c>
      <c r="O11">
        <v>15</v>
      </c>
      <c r="P11" t="s">
        <v>1087</v>
      </c>
    </row>
    <row r="12" spans="1:17" x14ac:dyDescent="0.3">
      <c r="A12" t="s">
        <v>1100</v>
      </c>
      <c r="B12" t="s">
        <v>1101</v>
      </c>
      <c r="C12" t="str">
        <f t="shared" si="11"/>
        <v>IHLP4040DZER470M11</v>
      </c>
      <c r="D12" s="2" t="s">
        <v>104</v>
      </c>
      <c r="E12" s="2" t="s">
        <v>102</v>
      </c>
      <c r="F12" s="2" t="str">
        <f t="shared" si="12"/>
        <v>Footprints\Inductance\IHLP-4040.PcbLib</v>
      </c>
      <c r="G12" s="2" t="s">
        <v>340</v>
      </c>
      <c r="H12" s="2" t="str">
        <f t="shared" si="6"/>
        <v>Footprints\Inductance\.PcbLib</v>
      </c>
      <c r="I12" s="2"/>
      <c r="J12" s="2" t="str">
        <f t="shared" si="7"/>
        <v>Footprints\Inductance\.PcbLib</v>
      </c>
      <c r="K12" s="2"/>
      <c r="L12" s="2" t="str">
        <f t="shared" si="8"/>
        <v>Footprints\Inductance\.PcbLib</v>
      </c>
      <c r="M12" s="2"/>
      <c r="N12" s="18">
        <v>47</v>
      </c>
      <c r="O12">
        <v>3.3</v>
      </c>
      <c r="P12" s="2" t="str">
        <f t="shared" si="2"/>
        <v>47 мк</v>
      </c>
    </row>
    <row r="13" spans="1:17" x14ac:dyDescent="0.3">
      <c r="A13" t="s">
        <v>1102</v>
      </c>
      <c r="B13" t="s">
        <v>1106</v>
      </c>
      <c r="C13" t="str">
        <f t="shared" si="11"/>
        <v>IHLP4040DZER101M11</v>
      </c>
      <c r="D13" s="2" t="s">
        <v>104</v>
      </c>
      <c r="E13" s="2" t="s">
        <v>102</v>
      </c>
      <c r="F13" s="2" t="str">
        <f t="shared" si="12"/>
        <v>Footprints\Inductance\IHLP-4040.PcbLib</v>
      </c>
      <c r="G13" s="2" t="s">
        <v>340</v>
      </c>
      <c r="H13" s="2" t="str">
        <f>CONCATENATE("Footprints\Inductance\",I13,".PcbLib")</f>
        <v>Footprints\Inductance\.PcbLib</v>
      </c>
      <c r="I13" s="2"/>
      <c r="J13" s="2" t="str">
        <f>CONCATENATE("Footprints\Inductance\",K13,".PcbLib")</f>
        <v>Footprints\Inductance\.PcbLib</v>
      </c>
      <c r="K13" s="2"/>
      <c r="L13" s="2" t="str">
        <f>CONCATENATE("Footprints\Inductance\",M13,".PcbLib")</f>
        <v>Footprints\Inductance\.PcbLib</v>
      </c>
      <c r="M13" s="2"/>
      <c r="N13" s="18">
        <v>100</v>
      </c>
      <c r="O13">
        <v>3.3</v>
      </c>
      <c r="P13" s="2" t="str">
        <f t="shared" si="2"/>
        <v>100 мк</v>
      </c>
    </row>
    <row r="14" spans="1:17" x14ac:dyDescent="0.3">
      <c r="A14" t="s">
        <v>1123</v>
      </c>
      <c r="B14" t="s">
        <v>1125</v>
      </c>
      <c r="C14" t="str">
        <f t="shared" si="11"/>
        <v>HV_trans</v>
      </c>
      <c r="D14" s="2" t="s">
        <v>1124</v>
      </c>
      <c r="E14" s="2" t="s">
        <v>1123</v>
      </c>
      <c r="F14" s="2" t="str">
        <f t="shared" si="12"/>
        <v>Footprints\Inductance\EE16_transformer.PcbLib</v>
      </c>
      <c r="G14" s="2" t="s">
        <v>1126</v>
      </c>
      <c r="H14" s="2" t="str">
        <f>CONCATENATE("Footprints\Inductance\",I14,".PcbLib")</f>
        <v>Footprints\Inductance\.PcbLib</v>
      </c>
      <c r="I14" s="2"/>
      <c r="J14" s="2" t="str">
        <f>CONCATENATE("Footprints\Inductance\",K14,".PcbLib")</f>
        <v>Footprints\Inductance\.PcbLib</v>
      </c>
      <c r="K14" s="2"/>
      <c r="L14" s="2" t="str">
        <f>CONCATENATE("Footprints\Inductance\",M14,".PcbLib")</f>
        <v>Footprints\Inductance\.PcbLib</v>
      </c>
      <c r="M14" s="2"/>
      <c r="O14">
        <v>10000</v>
      </c>
      <c r="P14">
        <f>N14</f>
        <v>0</v>
      </c>
    </row>
    <row r="15" spans="1:17" x14ac:dyDescent="0.3">
      <c r="A15" t="s">
        <v>1277</v>
      </c>
      <c r="B15" t="s">
        <v>1278</v>
      </c>
      <c r="C15" t="str">
        <f>A15</f>
        <v>CDSPRH127-150M</v>
      </c>
      <c r="D15" s="2" t="s">
        <v>104</v>
      </c>
      <c r="E15" s="2" t="s">
        <v>102</v>
      </c>
      <c r="F15" s="2" t="str">
        <f>CONCATENATE("Footprints\Inductance\",G15,".PcbLib")</f>
        <v>Footprints\Inductance\SPRH127.PcbLib</v>
      </c>
      <c r="G15" t="s">
        <v>1309</v>
      </c>
      <c r="H15" s="2" t="str">
        <f>CONCATENATE("Footprints\Inductance\",I15,".PcbLib")</f>
        <v>Footprints\Inductance\.PcbLib</v>
      </c>
      <c r="I15" s="2"/>
      <c r="J15" s="2" t="str">
        <f>CONCATENATE("Footprints\Inductance\",K15,".PcbLib")</f>
        <v>Footprints\Inductance\.PcbLib</v>
      </c>
      <c r="K15" s="2"/>
      <c r="L15" s="2" t="str">
        <f>CONCATENATE("Footprints\Inductance\",M15,".PcbLib")</f>
        <v>Footprints\Inductance\.PcbLib</v>
      </c>
      <c r="M15" s="2"/>
      <c r="N15" s="18">
        <v>15</v>
      </c>
      <c r="O15">
        <v>8.4</v>
      </c>
      <c r="P15" t="s">
        <v>807</v>
      </c>
    </row>
    <row r="16" spans="1:17" x14ac:dyDescent="0.3">
      <c r="A16" t="s">
        <v>1335</v>
      </c>
      <c r="B16" t="str">
        <f>CONCATENATE("Индуктивность на ", P16, "Гн, номинальный ток ", O16, " A")</f>
        <v>Индуктивность на 1 мкГн, номинальный ток 4,3 A</v>
      </c>
      <c r="C16" t="str">
        <f t="shared" ref="C16:C17" si="13">A16</f>
        <v>CDSP43-1R0M</v>
      </c>
      <c r="D16" s="2" t="s">
        <v>104</v>
      </c>
      <c r="E16" s="2" t="s">
        <v>102</v>
      </c>
      <c r="F16" s="2" t="str">
        <f t="shared" ref="F16:F17" si="14">CONCATENATE("Footprints\Inductance\",G16,".PcbLib")</f>
        <v>Footprints\Inductance\4.5x4_wired.PcbLib</v>
      </c>
      <c r="G16" s="2" t="s">
        <v>1048</v>
      </c>
      <c r="H16" s="2" t="str">
        <f t="shared" ref="H16" si="15">CONCATENATE("Footprints\Inductance\",I16,".PcbLib")</f>
        <v>Footprints\Inductance\.PcbLib</v>
      </c>
      <c r="I16" s="2"/>
      <c r="J16" s="2" t="str">
        <f t="shared" ref="J16" si="16">CONCATENATE("Footprints\Inductance\",K16,".PcbLib")</f>
        <v>Footprints\Inductance\.PcbLib</v>
      </c>
      <c r="K16" s="2"/>
      <c r="L16" s="2" t="str">
        <f t="shared" ref="L16" si="17">CONCATENATE("Footprints\Inductance\",M16,".PcbLib")</f>
        <v>Footprints\Inductance\.PcbLib</v>
      </c>
      <c r="M16" s="2"/>
      <c r="N16" s="18">
        <v>1</v>
      </c>
      <c r="O16">
        <v>4.3</v>
      </c>
      <c r="P16" t="s">
        <v>771</v>
      </c>
    </row>
    <row r="17" spans="1:16" x14ac:dyDescent="0.3">
      <c r="A17" t="s">
        <v>1336</v>
      </c>
      <c r="B17" t="str">
        <f>CONCATENATE("Индуктивность на ", P17, "Гн, номинальный ток ", O17, " A")</f>
        <v>Индуктивность на 330 мкГн, номинальный ток 1,79 A</v>
      </c>
      <c r="C17" t="str">
        <f t="shared" si="13"/>
        <v>CDSPRH127-331M</v>
      </c>
      <c r="D17" s="2" t="s">
        <v>104</v>
      </c>
      <c r="E17" s="2" t="s">
        <v>102</v>
      </c>
      <c r="F17" s="2" t="str">
        <f t="shared" si="14"/>
        <v>Footprints\Inductance\12.8x12.8.PcbLib</v>
      </c>
      <c r="G17" s="2" t="s">
        <v>108</v>
      </c>
      <c r="H17" s="2" t="str">
        <f>CONCATENATE("Footprints\Inductance\",I17,".PcbLib")</f>
        <v>Footprints\Inductance\.PcbLib</v>
      </c>
      <c r="I17" s="2"/>
      <c r="J17" s="2" t="str">
        <f>CONCATENATE("Footprints\Inductance\",K17,".PcbLib")</f>
        <v>Footprints\Inductance\.PcbLib</v>
      </c>
      <c r="K17" s="2"/>
      <c r="L17" s="2" t="str">
        <f>CONCATENATE("Footprints\Inductance\",M17,".PcbLib")</f>
        <v>Footprints\Inductance\.PcbLib</v>
      </c>
      <c r="M17" s="2"/>
      <c r="N17" s="18">
        <v>330</v>
      </c>
      <c r="O17">
        <v>1.79</v>
      </c>
      <c r="P17" t="s">
        <v>815</v>
      </c>
    </row>
    <row r="18" spans="1:16" x14ac:dyDescent="0.3">
      <c r="A18" t="s">
        <v>1368</v>
      </c>
      <c r="B18" t="s">
        <v>1369</v>
      </c>
      <c r="C18" t="str">
        <f>A18</f>
        <v>SP43-150K</v>
      </c>
      <c r="D18" s="2" t="s">
        <v>104</v>
      </c>
      <c r="E18" s="2" t="s">
        <v>102</v>
      </c>
      <c r="F18" s="2" t="str">
        <f>CONCATENATE("Footprints\Inductance\",G18,".PcbLib")</f>
        <v>Footprints\Inductance\SP43.PcbLib</v>
      </c>
      <c r="G18" s="2" t="s">
        <v>1370</v>
      </c>
      <c r="H18" s="2" t="str">
        <f>CONCATENATE("Footprints\Inductance\",I18,".PcbLib")</f>
        <v>Footprints\Inductance\.PcbLib</v>
      </c>
      <c r="I18" s="2"/>
      <c r="J18" s="2" t="str">
        <f>CONCATENATE("Footprints\Inductance\",K18,".PcbLib")</f>
        <v>Footprints\Inductance\.PcbLib</v>
      </c>
      <c r="K18" s="2"/>
      <c r="L18" s="2" t="str">
        <f>CONCATENATE("Footprints\Inductance\",M18,".PcbLib")</f>
        <v>Footprints\Inductance\.PcbLib</v>
      </c>
      <c r="M18" s="2"/>
      <c r="N18" s="18">
        <v>15</v>
      </c>
      <c r="O18">
        <v>1.3</v>
      </c>
      <c r="P18" t="s">
        <v>807</v>
      </c>
    </row>
  </sheetData>
  <phoneticPr fontId="8" type="noConversion"/>
  <pageMargins left="0.7" right="0.7" top="0.75" bottom="0.75" header="0.3" footer="0.3"/>
  <pageSetup paperSize="9" orientation="portrait" r:id="rId1"/>
  <ignoredErrors>
    <ignoredError sqref="P3:P4" calculatedColumn="1"/>
  </ignoredErrors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340221-01E6-4F71-BAB9-A1D6F90ACB76}">
  <dimension ref="A1:Q22"/>
  <sheetViews>
    <sheetView workbookViewId="0">
      <selection activeCell="K2" sqref="K2"/>
    </sheetView>
  </sheetViews>
  <sheetFormatPr defaultRowHeight="14.4" x14ac:dyDescent="0.3"/>
  <cols>
    <col min="1" max="1" width="14" customWidth="1"/>
    <col min="2" max="2" width="22.44140625" customWidth="1"/>
    <col min="3" max="3" width="11" customWidth="1"/>
    <col min="4" max="4" width="34.109375" customWidth="1"/>
    <col min="5" max="5" width="20.5546875" customWidth="1"/>
    <col min="6" max="6" width="21.6640625" customWidth="1"/>
    <col min="7" max="7" width="17.88671875" customWidth="1"/>
    <col min="8" max="8" width="22.88671875" customWidth="1"/>
    <col min="9" max="9" width="18.44140625" customWidth="1"/>
    <col min="10" max="10" width="16.6640625" customWidth="1"/>
    <col min="11" max="11" width="12.44140625" customWidth="1"/>
    <col min="12" max="12" width="13.109375" customWidth="1"/>
  </cols>
  <sheetData>
    <row r="1" spans="1:17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1116</v>
      </c>
      <c r="K1" s="1" t="s">
        <v>1141</v>
      </c>
      <c r="L1" s="1" t="s">
        <v>1137</v>
      </c>
      <c r="M1" s="1"/>
      <c r="N1" s="17"/>
      <c r="O1" s="1"/>
      <c r="P1" s="1"/>
      <c r="Q1" s="1"/>
    </row>
    <row r="2" spans="1:17" ht="15.6" x14ac:dyDescent="0.3">
      <c r="A2" s="21" t="s">
        <v>1111</v>
      </c>
      <c r="B2" s="22" t="s">
        <v>1112</v>
      </c>
      <c r="C2" s="20" t="str">
        <f>A2</f>
        <v>TS820-600B-TR</v>
      </c>
      <c r="D2" s="22" t="s">
        <v>1114</v>
      </c>
      <c r="E2" s="22" t="s">
        <v>1113</v>
      </c>
      <c r="F2" s="20" t="str">
        <f t="shared" ref="F2" si="0">CONCATENATE("Footprints\",G2,".PcbLib")</f>
        <v>Footprints\DPAK.PcbLib</v>
      </c>
      <c r="G2" s="22" t="s">
        <v>6</v>
      </c>
      <c r="H2" s="20"/>
      <c r="I2" s="20"/>
      <c r="J2" s="20" t="s">
        <v>1115</v>
      </c>
      <c r="K2" s="27" t="s">
        <v>1117</v>
      </c>
      <c r="L2" s="27"/>
      <c r="M2" s="2"/>
      <c r="N2" s="18"/>
      <c r="O2" s="2"/>
      <c r="P2" s="2"/>
    </row>
    <row r="3" spans="1:17" x14ac:dyDescent="0.3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18"/>
      <c r="O3" s="2"/>
      <c r="P3" s="2"/>
    </row>
    <row r="4" spans="1:17" x14ac:dyDescent="0.3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18"/>
      <c r="O4" s="2"/>
      <c r="P4" s="2"/>
    </row>
    <row r="5" spans="1:17" x14ac:dyDescent="0.3">
      <c r="D5" s="2"/>
      <c r="E5" s="2"/>
      <c r="F5" s="2"/>
      <c r="G5" s="2"/>
      <c r="H5" s="2"/>
      <c r="I5" s="2"/>
      <c r="J5" s="2"/>
      <c r="K5" s="2"/>
      <c r="L5" s="2"/>
      <c r="M5" s="2"/>
      <c r="N5" s="18"/>
      <c r="O5" s="2"/>
    </row>
    <row r="6" spans="1:17" x14ac:dyDescent="0.3">
      <c r="D6" s="2"/>
      <c r="E6" s="2"/>
      <c r="F6" s="2"/>
      <c r="G6" s="2"/>
      <c r="H6" s="2"/>
      <c r="I6" s="2"/>
      <c r="J6" s="2"/>
      <c r="K6" s="2"/>
      <c r="L6" s="2"/>
      <c r="M6" s="2"/>
      <c r="N6" s="18"/>
      <c r="O6" s="2"/>
    </row>
    <row r="7" spans="1:17" x14ac:dyDescent="0.3">
      <c r="D7" s="2"/>
      <c r="E7" s="2"/>
      <c r="F7" s="2"/>
      <c r="G7" s="2"/>
      <c r="H7" s="2"/>
      <c r="I7" s="2"/>
      <c r="J7" s="2"/>
      <c r="K7" s="2"/>
      <c r="L7" s="2"/>
      <c r="M7" s="2"/>
      <c r="N7" s="18"/>
      <c r="O7" s="2"/>
    </row>
    <row r="8" spans="1:17" x14ac:dyDescent="0.3">
      <c r="D8" s="2"/>
      <c r="E8" s="2"/>
      <c r="F8" s="2"/>
      <c r="G8" s="2"/>
      <c r="H8" s="2"/>
      <c r="I8" s="2"/>
      <c r="J8" s="2"/>
      <c r="K8" s="2"/>
      <c r="L8" s="2"/>
      <c r="M8" s="2"/>
      <c r="N8" s="18"/>
      <c r="O8" s="2"/>
    </row>
    <row r="9" spans="1:17" x14ac:dyDescent="0.3">
      <c r="B9" s="2"/>
      <c r="D9" s="2"/>
      <c r="E9" s="2"/>
      <c r="F9" s="2"/>
      <c r="G9" s="2"/>
      <c r="H9" s="2"/>
      <c r="I9" s="2"/>
      <c r="J9" s="2"/>
      <c r="K9" s="2"/>
      <c r="L9" s="2"/>
      <c r="M9" s="2"/>
      <c r="N9" s="18"/>
      <c r="O9" s="2"/>
      <c r="P9" s="2"/>
    </row>
    <row r="10" spans="1:17" x14ac:dyDescent="0.3">
      <c r="B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18"/>
      <c r="P10" s="2"/>
    </row>
    <row r="11" spans="1:17" x14ac:dyDescent="0.3">
      <c r="D11" s="2"/>
      <c r="E11" s="2"/>
      <c r="F11" s="2"/>
      <c r="G11" s="2"/>
      <c r="H11" s="2"/>
      <c r="I11" s="2"/>
      <c r="J11" s="2"/>
      <c r="K11" s="2"/>
      <c r="L11" s="2"/>
      <c r="M11" s="2"/>
      <c r="N11" s="18"/>
    </row>
    <row r="12" spans="1:17" x14ac:dyDescent="0.3">
      <c r="D12" s="2"/>
      <c r="E12" s="2"/>
      <c r="F12" s="2"/>
      <c r="G12" s="2"/>
      <c r="H12" s="2"/>
      <c r="I12" s="2"/>
      <c r="J12" s="2"/>
      <c r="K12" s="2"/>
      <c r="L12" s="2"/>
      <c r="M12" s="2"/>
      <c r="N12" s="18"/>
      <c r="P12" s="2"/>
    </row>
    <row r="13" spans="1:17" x14ac:dyDescent="0.3">
      <c r="D13" s="2"/>
      <c r="E13" s="2"/>
      <c r="F13" s="2"/>
      <c r="G13" s="2"/>
      <c r="H13" s="2"/>
      <c r="I13" s="2"/>
      <c r="J13" s="2"/>
      <c r="K13" s="2"/>
      <c r="L13" s="2"/>
      <c r="M13" s="2"/>
      <c r="N13" s="18"/>
      <c r="P13" s="2"/>
    </row>
    <row r="14" spans="1:17" x14ac:dyDescent="0.3">
      <c r="D14" s="2"/>
      <c r="E14" s="2"/>
      <c r="F14" s="2"/>
      <c r="G14" s="2"/>
      <c r="H14" s="2"/>
      <c r="I14" s="2"/>
      <c r="J14" s="2"/>
      <c r="K14" s="2"/>
      <c r="L14" s="2"/>
      <c r="M14" s="2"/>
      <c r="N14" s="18"/>
    </row>
    <row r="22" spans="14:14" x14ac:dyDescent="0.3">
      <c r="N22" s="18"/>
    </row>
  </sheetData>
  <phoneticPr fontId="8" type="noConversion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7"/>
  <dimension ref="A1:T16"/>
  <sheetViews>
    <sheetView zoomScale="70" zoomScaleNormal="70" workbookViewId="0">
      <selection activeCell="D27" sqref="D27"/>
    </sheetView>
  </sheetViews>
  <sheetFormatPr defaultRowHeight="14.4" x14ac:dyDescent="0.3"/>
  <cols>
    <col min="1" max="1" width="14.88671875" customWidth="1"/>
    <col min="2" max="2" width="120" bestFit="1" customWidth="1"/>
    <col min="3" max="3" width="12.5546875" customWidth="1"/>
    <col min="4" max="4" width="19.5546875" customWidth="1"/>
    <col min="5" max="5" width="12.88671875" customWidth="1"/>
    <col min="6" max="6" width="28" customWidth="1"/>
    <col min="7" max="7" width="16.88671875" customWidth="1"/>
    <col min="8" max="8" width="20.88671875" customWidth="1"/>
    <col min="9" max="9" width="16.88671875" customWidth="1"/>
    <col min="10" max="10" width="31.109375" bestFit="1" customWidth="1"/>
    <col min="11" max="11" width="17.44140625" bestFit="1" customWidth="1"/>
    <col min="12" max="12" width="13.44140625" customWidth="1"/>
  </cols>
  <sheetData>
    <row r="1" spans="1:20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33</v>
      </c>
      <c r="K1" s="1" t="s">
        <v>34</v>
      </c>
      <c r="L1" s="1" t="s">
        <v>1137</v>
      </c>
      <c r="M1" s="1"/>
      <c r="N1" s="1"/>
      <c r="O1" s="1"/>
      <c r="P1" s="1"/>
      <c r="Q1" s="1"/>
      <c r="R1" s="1"/>
      <c r="S1" s="1"/>
      <c r="T1" s="1"/>
    </row>
    <row r="2" spans="1:20" x14ac:dyDescent="0.3">
      <c r="A2" s="2" t="s">
        <v>54</v>
      </c>
      <c r="B2" s="2" t="s">
        <v>55</v>
      </c>
      <c r="C2" s="2" t="str">
        <f>A2</f>
        <v>Tact_button</v>
      </c>
      <c r="D2" s="2" t="str">
        <f>CONCATENATE("Schematic\",A2,".SchLib")</f>
        <v>Schematic\Tact_button.SchLib</v>
      </c>
      <c r="E2" s="2" t="str">
        <f>A2</f>
        <v>Tact_button</v>
      </c>
      <c r="F2" s="2" t="str">
        <f>CONCATENATE("Footprints\Buttons\",G2,".PcbLib")</f>
        <v>Footprints\Buttons\Button_SMD_10mm.PcbLib</v>
      </c>
      <c r="G2" s="2" t="s">
        <v>56</v>
      </c>
      <c r="H2" s="2" t="str">
        <f>CONCATENATE("Footprints\Buttons\",I2,".PcbLib")</f>
        <v>Footprints\Buttons\Button_SMD_6x6.PcbLib</v>
      </c>
      <c r="I2" s="2" t="s">
        <v>57</v>
      </c>
      <c r="J2" s="2" t="str">
        <f>CONCATENATE("Footprints\Buttons\",K2,".PcbLib")</f>
        <v>Footprints\Buttons\Button_tht_6X6.PcbLib</v>
      </c>
      <c r="K2" s="2" t="s">
        <v>1200</v>
      </c>
    </row>
    <row r="3" spans="1:20" x14ac:dyDescent="0.3">
      <c r="A3" s="2" t="s">
        <v>58</v>
      </c>
      <c r="B3" s="2" t="s">
        <v>59</v>
      </c>
      <c r="C3" s="2" t="str">
        <f>A3</f>
        <v>LED</v>
      </c>
      <c r="D3" s="2" t="str">
        <f>CONCATENATE("Schematic\",A3,".SchLib")</f>
        <v>Schematic\LED.SchLib</v>
      </c>
      <c r="E3" s="2" t="str">
        <f>A3</f>
        <v>LED</v>
      </c>
      <c r="F3" s="2" t="str">
        <f>CONCATENATE("Footprints\",G3,".PcbLib")</f>
        <v>Footprints\0805D.PcbLib</v>
      </c>
      <c r="G3" s="2" t="s">
        <v>122</v>
      </c>
      <c r="H3" s="2" t="s">
        <v>1195</v>
      </c>
      <c r="I3" s="2" t="s">
        <v>1194</v>
      </c>
      <c r="J3" s="2"/>
      <c r="K3" s="2"/>
    </row>
    <row r="4" spans="1:20" x14ac:dyDescent="0.3">
      <c r="A4" s="2" t="s">
        <v>60</v>
      </c>
      <c r="B4" s="2" t="s">
        <v>61</v>
      </c>
      <c r="C4" s="2" t="str">
        <f>A4</f>
        <v>XTAL</v>
      </c>
      <c r="D4" s="2" t="str">
        <f>CONCATENATE("Schematic\",A4,".SchLib")</f>
        <v>Schematic\XTAL.SchLib</v>
      </c>
      <c r="E4" s="2" t="str">
        <f>A4</f>
        <v>XTAL</v>
      </c>
      <c r="F4" s="2" t="str">
        <f>CONCATENATE("Footprints\XTAL\",G4,".PcbLib")</f>
        <v>Footprints\XTAL\HC49SD.PcbLib</v>
      </c>
      <c r="G4" s="2" t="s">
        <v>128</v>
      </c>
      <c r="H4" s="2"/>
      <c r="I4" s="2"/>
      <c r="J4" s="2"/>
      <c r="K4" s="2"/>
    </row>
    <row r="5" spans="1:20" x14ac:dyDescent="0.3">
      <c r="A5" s="2" t="s">
        <v>62</v>
      </c>
      <c r="B5" s="2" t="s">
        <v>63</v>
      </c>
      <c r="C5" s="2" t="str">
        <f>A5</f>
        <v>XTAL_GND</v>
      </c>
      <c r="D5" s="2" t="str">
        <f>CONCATENATE("Schematic\",A5,".SchLib")</f>
        <v>Schematic\XTAL_GND.SchLib</v>
      </c>
      <c r="E5" s="2" t="str">
        <f>A5</f>
        <v>XTAL_GND</v>
      </c>
      <c r="F5" s="2" t="str">
        <f>CONCATENATE("Footprints\XTAL\",G5,".PcbLib")</f>
        <v>Footprints\XTAL\QSMD3.2x2.5.PcbLib</v>
      </c>
      <c r="G5" s="2" t="s">
        <v>64</v>
      </c>
      <c r="H5" s="2"/>
      <c r="I5" s="2"/>
      <c r="J5" s="2"/>
      <c r="K5" s="2"/>
    </row>
    <row r="6" spans="1:20" x14ac:dyDescent="0.3">
      <c r="A6" s="2" t="s">
        <v>372</v>
      </c>
      <c r="B6" s="2" t="s">
        <v>374</v>
      </c>
      <c r="C6" s="2" t="str">
        <f>A6</f>
        <v>SB</v>
      </c>
      <c r="D6" s="2" t="str">
        <f>CONCATENATE("Schematic\",A6,".SchLib")</f>
        <v>Schematic\SB.SchLib</v>
      </c>
      <c r="E6" s="2" t="str">
        <f>A6</f>
        <v>SB</v>
      </c>
      <c r="F6" s="2" t="str">
        <f t="shared" ref="F6:H11" si="0">CONCATENATE("Footprints\",G6,".PcbLib")</f>
        <v>Footprints\0805SB.PcbLib</v>
      </c>
      <c r="G6" s="2" t="s">
        <v>373</v>
      </c>
      <c r="H6" s="2" t="str">
        <f t="shared" si="0"/>
        <v>Footprints\1206SB.PcbLib</v>
      </c>
      <c r="I6" s="2" t="s">
        <v>1000</v>
      </c>
      <c r="J6" s="2" t="str">
        <f t="shared" ref="J6" si="1">CONCATENATE("Footprints\",K6,".PcbLib")</f>
        <v>Footprints\0805SB_wide_gap.PcbLib</v>
      </c>
      <c r="K6" s="2" t="s">
        <v>1049</v>
      </c>
    </row>
    <row r="7" spans="1:20" x14ac:dyDescent="0.3">
      <c r="A7" s="2" t="s">
        <v>878</v>
      </c>
      <c r="B7" s="2" t="s">
        <v>879</v>
      </c>
      <c r="C7" s="2" t="str">
        <f t="shared" ref="C7" si="2">A7</f>
        <v>CBM432AST23</v>
      </c>
      <c r="D7" s="2" t="str">
        <f>CONCATENATE("Schematic\precision_shunt_regulator",".SchLib")</f>
        <v>Schematic\precision_shunt_regulator.SchLib</v>
      </c>
      <c r="E7" s="2" t="s">
        <v>880</v>
      </c>
      <c r="F7" s="2" t="str">
        <f t="shared" si="0"/>
        <v>Footprints\SOT23-3.PcbLib</v>
      </c>
      <c r="G7" s="2" t="s">
        <v>18</v>
      </c>
      <c r="H7" s="2"/>
      <c r="I7" s="2"/>
      <c r="J7" s="2"/>
      <c r="K7" s="2"/>
    </row>
    <row r="8" spans="1:20" x14ac:dyDescent="0.3">
      <c r="A8" s="2" t="s">
        <v>902</v>
      </c>
      <c r="B8" s="2" t="s">
        <v>901</v>
      </c>
      <c r="C8" s="2" t="str">
        <f t="shared" ref="C8:C12" si="3">A8</f>
        <v>UMW TL431 0.5%</v>
      </c>
      <c r="D8" s="2" t="str">
        <f>CONCATENATE("Schematic\",Таблица8[[#This Row],[Library Ref]],".SchLib")</f>
        <v>Schematic\precision_shunt_regulator.SchLib</v>
      </c>
      <c r="E8" s="2" t="s">
        <v>880</v>
      </c>
      <c r="F8" s="2" t="str">
        <f t="shared" si="0"/>
        <v>Footprints\SOT23-3.PcbLib</v>
      </c>
      <c r="G8" s="2" t="s">
        <v>18</v>
      </c>
      <c r="H8" s="2"/>
      <c r="I8" s="2"/>
      <c r="J8" s="2"/>
      <c r="K8" s="2"/>
    </row>
    <row r="9" spans="1:20" x14ac:dyDescent="0.3">
      <c r="A9" s="2" t="s">
        <v>914</v>
      </c>
      <c r="B9" s="2" t="s">
        <v>912</v>
      </c>
      <c r="C9" s="2" t="str">
        <f t="shared" si="3"/>
        <v>Fuse 20x5 on clips FC-M</v>
      </c>
      <c r="D9" s="2" t="str">
        <f>CONCATENATE("Schematic\",Таблица8[[#This Row],[Library Ref]],".SchLib")</f>
        <v>Schematic\fuse.SchLib</v>
      </c>
      <c r="E9" s="2" t="s">
        <v>913</v>
      </c>
      <c r="F9" s="2" t="str">
        <f t="shared" si="0"/>
        <v>Footprints\fuse_20x5_on_clips_FC-M.PcbLib</v>
      </c>
      <c r="G9" s="2" t="s">
        <v>911</v>
      </c>
      <c r="H9" s="2"/>
      <c r="I9" s="2"/>
      <c r="J9" s="2"/>
      <c r="K9" s="2"/>
    </row>
    <row r="10" spans="1:20" x14ac:dyDescent="0.3">
      <c r="A10" s="2" t="s">
        <v>958</v>
      </c>
      <c r="B10" s="2" t="s">
        <v>959</v>
      </c>
      <c r="C10" s="2" t="str">
        <f t="shared" si="3"/>
        <v>DHT22</v>
      </c>
      <c r="D10" s="2" t="str">
        <f>CONCATENATE("Schematic\",A10,".SchLib")</f>
        <v>Schematic\DHT22.SchLib</v>
      </c>
      <c r="E10" s="2" t="str">
        <f>A10</f>
        <v>DHT22</v>
      </c>
      <c r="F10" s="2" t="str">
        <f t="shared" si="0"/>
        <v>Footprints\DHT22.PcbLib</v>
      </c>
      <c r="G10" s="2" t="s">
        <v>958</v>
      </c>
      <c r="H10" s="2"/>
      <c r="I10" s="2"/>
      <c r="J10" s="2"/>
      <c r="K10" s="2"/>
    </row>
    <row r="11" spans="1:20" x14ac:dyDescent="0.3">
      <c r="A11" s="2" t="s">
        <v>989</v>
      </c>
      <c r="B11" s="2" t="s">
        <v>990</v>
      </c>
      <c r="C11" s="2" t="str">
        <f t="shared" si="3"/>
        <v>cooler4040</v>
      </c>
      <c r="D11" s="2" t="str">
        <f>CONCATENATE("Schematic\",A11,".SchLib")</f>
        <v>Schematic\cooler4040.SchLib</v>
      </c>
      <c r="E11" s="2" t="str">
        <f>A11</f>
        <v>cooler4040</v>
      </c>
      <c r="F11" s="2" t="str">
        <f t="shared" si="0"/>
        <v>Footprints\cooler4040.PcbLib</v>
      </c>
      <c r="G11" s="2" t="s">
        <v>989</v>
      </c>
      <c r="H11" s="2"/>
      <c r="I11" s="2"/>
      <c r="J11" s="2"/>
      <c r="K11" s="2"/>
    </row>
    <row r="12" spans="1:20" x14ac:dyDescent="0.3">
      <c r="A12" s="2" t="s">
        <v>1037</v>
      </c>
      <c r="B12" s="2" t="s">
        <v>1038</v>
      </c>
      <c r="C12" s="2" t="str">
        <f t="shared" si="3"/>
        <v>cooler3030</v>
      </c>
      <c r="D12" s="2" t="str">
        <f>CONCATENATE("Schematic\","cooler4040.SchLib")</f>
        <v>Schematic\cooler4040.SchLib</v>
      </c>
      <c r="E12" s="2" t="s">
        <v>989</v>
      </c>
      <c r="F12" s="2" t="str">
        <f t="shared" ref="F12" si="4">CONCATENATE("Footprints\",G12,".PcbLib")</f>
        <v>Footprints\cooler3030.PcbLib</v>
      </c>
      <c r="G12" s="2" t="s">
        <v>1037</v>
      </c>
      <c r="H12" s="2"/>
      <c r="I12" s="2"/>
      <c r="J12" s="2"/>
      <c r="K12" s="2"/>
    </row>
    <row r="13" spans="1:20" x14ac:dyDescent="0.3">
      <c r="A13" s="2" t="s">
        <v>1165</v>
      </c>
      <c r="B13" s="2" t="s">
        <v>1167</v>
      </c>
      <c r="C13" s="2" t="s">
        <v>1166</v>
      </c>
      <c r="D13" t="s">
        <v>1168</v>
      </c>
      <c r="E13" s="2" t="s">
        <v>1169</v>
      </c>
      <c r="F13" s="2" t="s">
        <v>1164</v>
      </c>
      <c r="G13" s="2" t="s">
        <v>1163</v>
      </c>
      <c r="H13" s="2"/>
      <c r="I13" s="2"/>
      <c r="J13" s="2"/>
      <c r="K13" s="2"/>
      <c r="L13" s="23" t="s">
        <v>1170</v>
      </c>
    </row>
    <row r="14" spans="1:20" x14ac:dyDescent="0.3">
      <c r="A14" t="s">
        <v>1171</v>
      </c>
      <c r="B14" t="s">
        <v>1173</v>
      </c>
      <c r="C14" t="s">
        <v>1172</v>
      </c>
      <c r="D14" t="s">
        <v>1168</v>
      </c>
      <c r="E14" s="2" t="s">
        <v>1169</v>
      </c>
      <c r="F14" s="2" t="str">
        <f t="shared" ref="F14:F15" si="5">CONCATENATE("Footprints\",G14,".PcbLib")</f>
        <v>Footprints\spacer_m2.5_h16.PcbLib</v>
      </c>
      <c r="G14" t="s">
        <v>1171</v>
      </c>
      <c r="J14" t="str">
        <f>CONCATENATE("Footprints\",K14,".PcbLib")</f>
        <v>Footprints\.PcbLib</v>
      </c>
    </row>
    <row r="15" spans="1:20" x14ac:dyDescent="0.3">
      <c r="A15" t="s">
        <v>1196</v>
      </c>
      <c r="B15" t="s">
        <v>1197</v>
      </c>
      <c r="C15" t="str">
        <f>A15</f>
        <v>CR2032-VAY3-15.2</v>
      </c>
      <c r="D15" t="s">
        <v>1198</v>
      </c>
      <c r="E15" t="s">
        <v>1199</v>
      </c>
      <c r="F15" s="2" t="str">
        <f t="shared" si="5"/>
        <v>Footprints\CR2032-VAY3-15.2.PcbLib</v>
      </c>
      <c r="G15" t="s">
        <v>1196</v>
      </c>
      <c r="J15" t="str">
        <f>CONCATENATE("Footprints\",K15,".PcbLib")</f>
        <v>Footprints\.PcbLib</v>
      </c>
    </row>
    <row r="16" spans="1:20" x14ac:dyDescent="0.3">
      <c r="A16" t="s">
        <v>1224</v>
      </c>
      <c r="B16" t="s">
        <v>1225</v>
      </c>
      <c r="C16" t="s">
        <v>1226</v>
      </c>
      <c r="D16" t="str">
        <f t="shared" ref="D16" si="6">CONCATENATE("Schematic\",A16,".SchLib")</f>
        <v>Schematic\4WayDIP.SchLib</v>
      </c>
      <c r="E16" t="s">
        <v>1227</v>
      </c>
      <c r="F16" t="s">
        <v>1228</v>
      </c>
      <c r="G16" t="s">
        <v>1229</v>
      </c>
      <c r="J16" t="str">
        <f t="shared" ref="J16" si="7">CONCATENATE("Footprints\",K16,".PcbLib")</f>
        <v>Footprints\.PcbLib</v>
      </c>
    </row>
  </sheetData>
  <hyperlinks>
    <hyperlink ref="L13" r:id="rId1" xr:uid="{A9372BC7-0198-410B-8682-8209A52124DB}"/>
  </hyperlinks>
  <pageMargins left="0.7" right="0.7" top="0.75" bottom="0.75" header="0.3" footer="0.3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8"/>
  <dimension ref="A1:K53"/>
  <sheetViews>
    <sheetView topLeftCell="A29" zoomScale="70" zoomScaleNormal="70" workbookViewId="0">
      <selection activeCell="F56" sqref="F56"/>
    </sheetView>
  </sheetViews>
  <sheetFormatPr defaultRowHeight="14.4" x14ac:dyDescent="0.3"/>
  <cols>
    <col min="1" max="1" width="14.88671875" customWidth="1"/>
    <col min="2" max="2" width="40.44140625" customWidth="1"/>
    <col min="3" max="3" width="13.109375" customWidth="1"/>
    <col min="4" max="4" width="45.88671875" customWidth="1"/>
    <col min="5" max="5" width="17.109375" customWidth="1"/>
    <col min="6" max="6" width="51" customWidth="1"/>
    <col min="7" max="7" width="16.88671875" customWidth="1"/>
    <col min="8" max="8" width="44.44140625" customWidth="1"/>
    <col min="9" max="9" width="23.88671875" customWidth="1"/>
    <col min="10" max="10" width="28.88671875" customWidth="1"/>
    <col min="11" max="11" width="11.6640625" customWidth="1"/>
  </cols>
  <sheetData>
    <row r="1" spans="1:11" ht="15.6" x14ac:dyDescent="0.3">
      <c r="A1" s="1" t="s">
        <v>0</v>
      </c>
      <c r="B1" s="1" t="s">
        <v>1</v>
      </c>
      <c r="C1" s="1" t="s">
        <v>14</v>
      </c>
      <c r="D1" s="1" t="s">
        <v>2</v>
      </c>
      <c r="E1" s="1" t="s">
        <v>3</v>
      </c>
      <c r="F1" s="1" t="s">
        <v>12</v>
      </c>
      <c r="G1" s="1" t="s">
        <v>8</v>
      </c>
      <c r="H1" s="1" t="s">
        <v>13</v>
      </c>
      <c r="I1" s="1" t="s">
        <v>9</v>
      </c>
      <c r="J1" s="1" t="s">
        <v>1137</v>
      </c>
      <c r="K1" s="1" t="s">
        <v>1161</v>
      </c>
    </row>
    <row r="2" spans="1:11" x14ac:dyDescent="0.3">
      <c r="A2" s="2" t="s">
        <v>65</v>
      </c>
      <c r="B2" s="2" t="s">
        <v>66</v>
      </c>
      <c r="C2" s="2" t="s">
        <v>65</v>
      </c>
      <c r="D2" t="s">
        <v>348</v>
      </c>
      <c r="E2" s="2" t="s">
        <v>113</v>
      </c>
      <c r="F2" t="s">
        <v>349</v>
      </c>
      <c r="G2" s="2" t="s">
        <v>65</v>
      </c>
      <c r="K2" t="s">
        <v>1162</v>
      </c>
    </row>
    <row r="3" spans="1:11" x14ac:dyDescent="0.3">
      <c r="A3" s="2" t="s">
        <v>67</v>
      </c>
      <c r="B3" s="2" t="s">
        <v>66</v>
      </c>
      <c r="C3" s="2" t="s">
        <v>67</v>
      </c>
      <c r="D3" t="s">
        <v>350</v>
      </c>
      <c r="E3" s="2" t="s">
        <v>114</v>
      </c>
      <c r="F3" t="s">
        <v>351</v>
      </c>
      <c r="G3" s="2" t="s">
        <v>67</v>
      </c>
      <c r="K3" t="s">
        <v>1162</v>
      </c>
    </row>
    <row r="4" spans="1:11" x14ac:dyDescent="0.3">
      <c r="A4" t="s">
        <v>1059</v>
      </c>
      <c r="B4" t="s">
        <v>110</v>
      </c>
      <c r="C4" s="2" t="s">
        <v>1059</v>
      </c>
      <c r="D4" t="s">
        <v>352</v>
      </c>
      <c r="E4" s="2" t="s">
        <v>115</v>
      </c>
      <c r="F4" t="s">
        <v>1131</v>
      </c>
      <c r="G4" t="s">
        <v>109</v>
      </c>
      <c r="K4" t="s">
        <v>1162</v>
      </c>
    </row>
    <row r="5" spans="1:11" x14ac:dyDescent="0.3">
      <c r="A5" t="s">
        <v>111</v>
      </c>
      <c r="B5" t="s">
        <v>112</v>
      </c>
      <c r="C5" s="2" t="s">
        <v>111</v>
      </c>
      <c r="D5" t="s">
        <v>353</v>
      </c>
      <c r="E5" s="2" t="s">
        <v>116</v>
      </c>
      <c r="F5" t="s">
        <v>354</v>
      </c>
      <c r="G5" t="s">
        <v>111</v>
      </c>
      <c r="K5" t="s">
        <v>1162</v>
      </c>
    </row>
    <row r="6" spans="1:11" x14ac:dyDescent="0.3">
      <c r="A6" t="s">
        <v>117</v>
      </c>
      <c r="B6" t="s">
        <v>118</v>
      </c>
      <c r="C6" s="2" t="s">
        <v>117</v>
      </c>
      <c r="D6" t="s">
        <v>355</v>
      </c>
      <c r="E6" s="2" t="s">
        <v>119</v>
      </c>
      <c r="F6" t="s">
        <v>356</v>
      </c>
      <c r="G6" t="s">
        <v>117</v>
      </c>
      <c r="H6" t="s">
        <v>361</v>
      </c>
      <c r="I6" t="s">
        <v>337</v>
      </c>
      <c r="K6" t="s">
        <v>1162</v>
      </c>
    </row>
    <row r="7" spans="1:11" x14ac:dyDescent="0.3">
      <c r="A7" t="s">
        <v>1023</v>
      </c>
      <c r="B7" t="s">
        <v>120</v>
      </c>
      <c r="C7" s="2" t="s">
        <v>1023</v>
      </c>
      <c r="D7" t="s">
        <v>833</v>
      </c>
      <c r="E7" s="2" t="s">
        <v>831</v>
      </c>
      <c r="F7" t="s">
        <v>1024</v>
      </c>
      <c r="G7" t="s">
        <v>1023</v>
      </c>
      <c r="K7" t="s">
        <v>1162</v>
      </c>
    </row>
    <row r="8" spans="1:11" x14ac:dyDescent="0.3">
      <c r="A8" t="s">
        <v>334</v>
      </c>
      <c r="B8" t="s">
        <v>335</v>
      </c>
      <c r="C8" s="2" t="s">
        <v>334</v>
      </c>
      <c r="D8" t="s">
        <v>357</v>
      </c>
      <c r="E8" t="s">
        <v>121</v>
      </c>
      <c r="F8" t="s">
        <v>358</v>
      </c>
      <c r="G8" t="s">
        <v>334</v>
      </c>
      <c r="H8" t="s">
        <v>371</v>
      </c>
      <c r="I8" t="s">
        <v>359</v>
      </c>
      <c r="K8" t="s">
        <v>1162</v>
      </c>
    </row>
    <row r="9" spans="1:11" x14ac:dyDescent="0.3">
      <c r="A9" t="s">
        <v>336</v>
      </c>
      <c r="B9" t="s">
        <v>830</v>
      </c>
      <c r="C9" s="2" t="s">
        <v>336</v>
      </c>
      <c r="D9" t="s">
        <v>1022</v>
      </c>
      <c r="E9" t="s">
        <v>1021</v>
      </c>
      <c r="F9" t="s">
        <v>360</v>
      </c>
      <c r="G9" t="s">
        <v>336</v>
      </c>
      <c r="K9" t="s">
        <v>1162</v>
      </c>
    </row>
    <row r="10" spans="1:11" x14ac:dyDescent="0.3">
      <c r="A10" t="s">
        <v>346</v>
      </c>
      <c r="B10" t="s">
        <v>347</v>
      </c>
      <c r="C10" s="2" t="s">
        <v>346</v>
      </c>
      <c r="D10" t="s">
        <v>357</v>
      </c>
      <c r="E10" t="s">
        <v>121</v>
      </c>
      <c r="F10" t="s">
        <v>362</v>
      </c>
      <c r="G10" t="s">
        <v>346</v>
      </c>
      <c r="K10" t="s">
        <v>1162</v>
      </c>
    </row>
    <row r="11" spans="1:11" x14ac:dyDescent="0.3">
      <c r="A11" t="s">
        <v>363</v>
      </c>
      <c r="B11" t="s">
        <v>364</v>
      </c>
      <c r="C11" s="2" t="s">
        <v>363</v>
      </c>
      <c r="D11" t="s">
        <v>365</v>
      </c>
      <c r="E11" t="s">
        <v>366</v>
      </c>
      <c r="F11" t="s">
        <v>367</v>
      </c>
      <c r="G11" t="s">
        <v>363</v>
      </c>
      <c r="K11" t="s">
        <v>1162</v>
      </c>
    </row>
    <row r="12" spans="1:11" x14ac:dyDescent="0.3">
      <c r="A12" t="s">
        <v>368</v>
      </c>
      <c r="B12" t="s">
        <v>369</v>
      </c>
      <c r="C12" s="2" t="s">
        <v>368</v>
      </c>
      <c r="D12" t="s">
        <v>365</v>
      </c>
      <c r="E12" t="s">
        <v>366</v>
      </c>
      <c r="F12" t="s">
        <v>370</v>
      </c>
      <c r="G12" t="s">
        <v>368</v>
      </c>
      <c r="K12" t="s">
        <v>1162</v>
      </c>
    </row>
    <row r="13" spans="1:11" x14ac:dyDescent="0.3">
      <c r="A13" t="s">
        <v>828</v>
      </c>
      <c r="B13" t="s">
        <v>829</v>
      </c>
      <c r="C13" s="2"/>
      <c r="D13" t="s">
        <v>833</v>
      </c>
      <c r="E13" t="s">
        <v>831</v>
      </c>
      <c r="F13" t="s">
        <v>832</v>
      </c>
      <c r="G13" t="s">
        <v>828</v>
      </c>
      <c r="K13" t="s">
        <v>1162</v>
      </c>
    </row>
    <row r="14" spans="1:11" x14ac:dyDescent="0.3">
      <c r="A14" t="s">
        <v>859</v>
      </c>
      <c r="B14" t="s">
        <v>860</v>
      </c>
      <c r="C14" s="2" t="s">
        <v>861</v>
      </c>
      <c r="D14" t="s">
        <v>862</v>
      </c>
      <c r="E14" t="s">
        <v>861</v>
      </c>
      <c r="F14" t="s">
        <v>863</v>
      </c>
      <c r="G14" t="s">
        <v>861</v>
      </c>
      <c r="K14" t="s">
        <v>1162</v>
      </c>
    </row>
    <row r="15" spans="1:11" x14ac:dyDescent="0.3">
      <c r="A15" t="s">
        <v>928</v>
      </c>
      <c r="B15" t="s">
        <v>931</v>
      </c>
      <c r="C15" s="2" t="s">
        <v>928</v>
      </c>
      <c r="D15" t="s">
        <v>929</v>
      </c>
      <c r="E15" t="s">
        <v>928</v>
      </c>
      <c r="F15" t="s">
        <v>930</v>
      </c>
      <c r="G15" t="s">
        <v>928</v>
      </c>
      <c r="K15" t="s">
        <v>1162</v>
      </c>
    </row>
    <row r="16" spans="1:11" x14ac:dyDescent="0.3">
      <c r="A16" t="s">
        <v>975</v>
      </c>
      <c r="B16" t="s">
        <v>983</v>
      </c>
      <c r="C16" s="2" t="s">
        <v>976</v>
      </c>
      <c r="D16" t="s">
        <v>977</v>
      </c>
      <c r="E16" t="s">
        <v>975</v>
      </c>
      <c r="F16" t="s">
        <v>978</v>
      </c>
      <c r="G16" t="s">
        <v>975</v>
      </c>
      <c r="K16" t="s">
        <v>1162</v>
      </c>
    </row>
    <row r="17" spans="1:11" x14ac:dyDescent="0.3">
      <c r="A17" t="s">
        <v>979</v>
      </c>
      <c r="B17" t="s">
        <v>982</v>
      </c>
      <c r="C17" s="2" t="s">
        <v>980</v>
      </c>
      <c r="D17" t="s">
        <v>981</v>
      </c>
      <c r="E17" t="s">
        <v>979</v>
      </c>
      <c r="F17" t="s">
        <v>984</v>
      </c>
      <c r="G17" t="s">
        <v>985</v>
      </c>
      <c r="K17" t="s">
        <v>1162</v>
      </c>
    </row>
    <row r="18" spans="1:11" x14ac:dyDescent="0.3">
      <c r="A18" t="s">
        <v>986</v>
      </c>
      <c r="B18" t="s">
        <v>987</v>
      </c>
      <c r="C18" s="2" t="s">
        <v>986</v>
      </c>
      <c r="D18" t="s">
        <v>348</v>
      </c>
      <c r="E18" t="s">
        <v>113</v>
      </c>
      <c r="F18" t="s">
        <v>988</v>
      </c>
      <c r="G18" t="s">
        <v>986</v>
      </c>
      <c r="K18" t="s">
        <v>1162</v>
      </c>
    </row>
    <row r="19" spans="1:11" x14ac:dyDescent="0.3">
      <c r="A19" t="s">
        <v>991</v>
      </c>
      <c r="B19" t="s">
        <v>995</v>
      </c>
      <c r="C19" s="2" t="s">
        <v>992</v>
      </c>
      <c r="D19" t="s">
        <v>993</v>
      </c>
      <c r="E19" t="s">
        <v>991</v>
      </c>
      <c r="F19" t="s">
        <v>994</v>
      </c>
      <c r="G19" t="s">
        <v>991</v>
      </c>
      <c r="K19" t="s">
        <v>1162</v>
      </c>
    </row>
    <row r="20" spans="1:11" x14ac:dyDescent="0.3">
      <c r="A20" t="s">
        <v>998</v>
      </c>
      <c r="B20" t="s">
        <v>982</v>
      </c>
      <c r="C20" s="2" t="s">
        <v>999</v>
      </c>
      <c r="D20" t="s">
        <v>981</v>
      </c>
      <c r="E20" t="s">
        <v>979</v>
      </c>
      <c r="F20" t="s">
        <v>997</v>
      </c>
      <c r="G20" t="s">
        <v>996</v>
      </c>
      <c r="K20" t="s">
        <v>1162</v>
      </c>
    </row>
    <row r="21" spans="1:11" x14ac:dyDescent="0.3">
      <c r="A21" t="s">
        <v>1001</v>
      </c>
      <c r="B21" t="s">
        <v>1005</v>
      </c>
      <c r="C21" s="2" t="s">
        <v>1001</v>
      </c>
      <c r="D21" t="s">
        <v>355</v>
      </c>
      <c r="E21" t="s">
        <v>119</v>
      </c>
      <c r="F21" t="s">
        <v>1002</v>
      </c>
      <c r="G21" t="s">
        <v>1001</v>
      </c>
      <c r="K21" t="s">
        <v>1162</v>
      </c>
    </row>
    <row r="22" spans="1:11" x14ac:dyDescent="0.3">
      <c r="A22" t="s">
        <v>1004</v>
      </c>
      <c r="B22" t="s">
        <v>1003</v>
      </c>
      <c r="C22" s="2" t="s">
        <v>1004</v>
      </c>
      <c r="D22" t="s">
        <v>352</v>
      </c>
      <c r="E22" t="s">
        <v>115</v>
      </c>
      <c r="F22" t="s">
        <v>1006</v>
      </c>
      <c r="G22" t="s">
        <v>1004</v>
      </c>
      <c r="K22" t="s">
        <v>1162</v>
      </c>
    </row>
    <row r="23" spans="1:11" x14ac:dyDescent="0.3">
      <c r="A23" t="s">
        <v>1007</v>
      </c>
      <c r="B23" t="s">
        <v>1008</v>
      </c>
      <c r="C23" s="2" t="s">
        <v>1007</v>
      </c>
      <c r="D23" t="s">
        <v>353</v>
      </c>
      <c r="E23" t="s">
        <v>116</v>
      </c>
      <c r="F23" t="s">
        <v>1009</v>
      </c>
      <c r="G23" t="s">
        <v>1007</v>
      </c>
      <c r="K23" t="s">
        <v>1162</v>
      </c>
    </row>
    <row r="24" spans="1:11" x14ac:dyDescent="0.3">
      <c r="A24" t="s">
        <v>1011</v>
      </c>
      <c r="B24" t="s">
        <v>1010</v>
      </c>
      <c r="C24" s="2" t="s">
        <v>1011</v>
      </c>
      <c r="D24" t="s">
        <v>355</v>
      </c>
      <c r="E24" t="s">
        <v>119</v>
      </c>
      <c r="F24" t="s">
        <v>1014</v>
      </c>
      <c r="G24" t="s">
        <v>1011</v>
      </c>
      <c r="K24" t="s">
        <v>1162</v>
      </c>
    </row>
    <row r="25" spans="1:11" x14ac:dyDescent="0.3">
      <c r="A25" t="s">
        <v>1017</v>
      </c>
      <c r="B25" t="s">
        <v>1020</v>
      </c>
      <c r="C25" s="2" t="s">
        <v>1017</v>
      </c>
      <c r="D25" t="s">
        <v>352</v>
      </c>
      <c r="E25" t="s">
        <v>115</v>
      </c>
      <c r="F25" t="s">
        <v>1015</v>
      </c>
      <c r="G25" t="s">
        <v>1017</v>
      </c>
      <c r="K25" t="s">
        <v>1162</v>
      </c>
    </row>
    <row r="26" spans="1:11" x14ac:dyDescent="0.3">
      <c r="A26" t="s">
        <v>1018</v>
      </c>
      <c r="B26" t="s">
        <v>1019</v>
      </c>
      <c r="C26" s="2" t="s">
        <v>1018</v>
      </c>
      <c r="D26" t="s">
        <v>1012</v>
      </c>
      <c r="E26" t="s">
        <v>1013</v>
      </c>
      <c r="F26" t="s">
        <v>1016</v>
      </c>
      <c r="G26" t="s">
        <v>1018</v>
      </c>
      <c r="K26" t="s">
        <v>1162</v>
      </c>
    </row>
    <row r="27" spans="1:11" x14ac:dyDescent="0.3">
      <c r="A27" t="s">
        <v>1058</v>
      </c>
      <c r="B27" t="s">
        <v>1057</v>
      </c>
      <c r="C27" s="2" t="s">
        <v>1058</v>
      </c>
      <c r="D27" t="s">
        <v>357</v>
      </c>
      <c r="E27" s="2" t="s">
        <v>121</v>
      </c>
      <c r="F27" t="s">
        <v>1131</v>
      </c>
      <c r="G27" t="s">
        <v>1056</v>
      </c>
      <c r="K27" t="s">
        <v>1162</v>
      </c>
    </row>
    <row r="28" spans="1:11" x14ac:dyDescent="0.3">
      <c r="A28" t="s">
        <v>1132</v>
      </c>
      <c r="B28" t="s">
        <v>1139</v>
      </c>
      <c r="C28" t="s">
        <v>1132</v>
      </c>
      <c r="D28" t="s">
        <v>352</v>
      </c>
      <c r="E28" s="2" t="s">
        <v>115</v>
      </c>
      <c r="F28" t="s">
        <v>1133</v>
      </c>
      <c r="G28" t="s">
        <v>1134</v>
      </c>
      <c r="J28" t="s">
        <v>1138</v>
      </c>
      <c r="K28" t="s">
        <v>1162</v>
      </c>
    </row>
    <row r="29" spans="1:11" x14ac:dyDescent="0.3">
      <c r="A29" t="s">
        <v>1135</v>
      </c>
      <c r="B29" t="s">
        <v>1140</v>
      </c>
      <c r="C29" t="s">
        <v>1135</v>
      </c>
      <c r="D29" t="s">
        <v>357</v>
      </c>
      <c r="E29" s="2" t="s">
        <v>121</v>
      </c>
      <c r="F29" t="s">
        <v>1133</v>
      </c>
      <c r="G29" t="s">
        <v>1136</v>
      </c>
      <c r="J29" t="s">
        <v>1138</v>
      </c>
      <c r="K29" t="s">
        <v>1162</v>
      </c>
    </row>
    <row r="30" spans="1:11" x14ac:dyDescent="0.3">
      <c r="A30" t="s">
        <v>1143</v>
      </c>
      <c r="B30" t="s">
        <v>1142</v>
      </c>
      <c r="C30" t="str">
        <f>Таблица9[[#This Row],[Part Number]]</f>
        <v>PBS-4</v>
      </c>
      <c r="D30" t="s">
        <v>352</v>
      </c>
      <c r="E30" s="2" t="s">
        <v>115</v>
      </c>
      <c r="F30" t="s">
        <v>1147</v>
      </c>
      <c r="G30" t="s">
        <v>1145</v>
      </c>
      <c r="J30" t="s">
        <v>1148</v>
      </c>
      <c r="K30" t="s">
        <v>1162</v>
      </c>
    </row>
    <row r="31" spans="1:11" x14ac:dyDescent="0.3">
      <c r="A31" t="s">
        <v>1144</v>
      </c>
      <c r="B31" t="s">
        <v>1142</v>
      </c>
      <c r="C31" t="str">
        <f>Таблица9[[#This Row],[Part Number]]</f>
        <v>PBS-2</v>
      </c>
      <c r="D31" t="s">
        <v>357</v>
      </c>
      <c r="E31" s="2" t="s">
        <v>121</v>
      </c>
      <c r="F31" t="s">
        <v>1147</v>
      </c>
      <c r="G31" t="s">
        <v>1146</v>
      </c>
      <c r="J31" t="s">
        <v>1148</v>
      </c>
      <c r="K31" t="s">
        <v>1162</v>
      </c>
    </row>
    <row r="32" spans="1:11" x14ac:dyDescent="0.3">
      <c r="A32" t="s">
        <v>1158</v>
      </c>
      <c r="B32" t="s">
        <v>120</v>
      </c>
      <c r="C32" t="s">
        <v>1158</v>
      </c>
      <c r="D32" t="s">
        <v>357</v>
      </c>
      <c r="E32" s="2" t="s">
        <v>121</v>
      </c>
      <c r="F32" t="s">
        <v>1159</v>
      </c>
      <c r="G32" t="s">
        <v>1158</v>
      </c>
      <c r="J32" t="s">
        <v>1160</v>
      </c>
      <c r="K32" t="s">
        <v>1162</v>
      </c>
    </row>
    <row r="33" spans="1:11" x14ac:dyDescent="0.3">
      <c r="A33" t="s">
        <v>1174</v>
      </c>
      <c r="B33" t="s">
        <v>1175</v>
      </c>
      <c r="C33" t="s">
        <v>1174</v>
      </c>
      <c r="D33" t="s">
        <v>353</v>
      </c>
      <c r="E33" s="2" t="s">
        <v>116</v>
      </c>
      <c r="F33" t="s">
        <v>1131</v>
      </c>
      <c r="G33" t="s">
        <v>1176</v>
      </c>
      <c r="J33" t="s">
        <v>1190</v>
      </c>
      <c r="K33" t="s">
        <v>1162</v>
      </c>
    </row>
    <row r="34" spans="1:11" x14ac:dyDescent="0.3">
      <c r="A34" t="s">
        <v>1177</v>
      </c>
      <c r="B34" t="s">
        <v>1178</v>
      </c>
      <c r="C34" t="s">
        <v>1177</v>
      </c>
      <c r="D34" t="s">
        <v>1179</v>
      </c>
      <c r="E34" s="2" t="s">
        <v>1180</v>
      </c>
      <c r="F34" t="s">
        <v>1181</v>
      </c>
      <c r="G34" t="s">
        <v>1182</v>
      </c>
      <c r="J34" t="s">
        <v>1148</v>
      </c>
      <c r="K34" t="s">
        <v>1162</v>
      </c>
    </row>
    <row r="35" spans="1:11" x14ac:dyDescent="0.3">
      <c r="A35" t="s">
        <v>1183</v>
      </c>
      <c r="B35" t="s">
        <v>1184</v>
      </c>
      <c r="C35" t="s">
        <v>1185</v>
      </c>
      <c r="D35" t="s">
        <v>1186</v>
      </c>
      <c r="E35" t="s">
        <v>1187</v>
      </c>
      <c r="F35" t="s">
        <v>1188</v>
      </c>
      <c r="G35" t="s">
        <v>1183</v>
      </c>
      <c r="J35" t="s">
        <v>1189</v>
      </c>
      <c r="K35" t="s">
        <v>1162</v>
      </c>
    </row>
    <row r="36" spans="1:11" x14ac:dyDescent="0.3">
      <c r="A36" t="s">
        <v>1191</v>
      </c>
      <c r="B36" t="s">
        <v>1192</v>
      </c>
      <c r="C36" t="s">
        <v>1191</v>
      </c>
      <c r="D36" t="s">
        <v>355</v>
      </c>
      <c r="E36" s="2" t="s">
        <v>119</v>
      </c>
      <c r="F36" t="s">
        <v>1131</v>
      </c>
      <c r="G36" t="s">
        <v>1193</v>
      </c>
      <c r="J36" t="s">
        <v>1190</v>
      </c>
      <c r="K36" t="s">
        <v>1162</v>
      </c>
    </row>
    <row r="37" spans="1:11" x14ac:dyDescent="0.3">
      <c r="A37" t="s">
        <v>1230</v>
      </c>
      <c r="B37" t="s">
        <v>1231</v>
      </c>
      <c r="C37" t="s">
        <v>1230</v>
      </c>
      <c r="D37" t="s">
        <v>1232</v>
      </c>
      <c r="E37" t="s">
        <v>1230</v>
      </c>
      <c r="F37" t="s">
        <v>1233</v>
      </c>
      <c r="G37" t="s">
        <v>1230</v>
      </c>
      <c r="K37" t="s">
        <v>1162</v>
      </c>
    </row>
    <row r="38" spans="1:11" x14ac:dyDescent="0.3">
      <c r="A38" t="s">
        <v>1234</v>
      </c>
      <c r="B38" t="s">
        <v>1235</v>
      </c>
      <c r="C38" t="s">
        <v>1234</v>
      </c>
      <c r="D38" t="s">
        <v>1236</v>
      </c>
      <c r="E38" t="s">
        <v>1234</v>
      </c>
      <c r="F38" t="s">
        <v>1237</v>
      </c>
      <c r="G38" t="s">
        <v>1234</v>
      </c>
      <c r="K38" t="s">
        <v>1162</v>
      </c>
    </row>
    <row r="39" spans="1:11" x14ac:dyDescent="0.3">
      <c r="A39" t="s">
        <v>1238</v>
      </c>
      <c r="B39" t="s">
        <v>1239</v>
      </c>
      <c r="C39" t="s">
        <v>1240</v>
      </c>
      <c r="D39" t="s">
        <v>1241</v>
      </c>
      <c r="E39" t="s">
        <v>1238</v>
      </c>
      <c r="F39" t="s">
        <v>1242</v>
      </c>
      <c r="G39" t="s">
        <v>1238</v>
      </c>
      <c r="K39" t="s">
        <v>1162</v>
      </c>
    </row>
    <row r="40" spans="1:11" x14ac:dyDescent="0.3">
      <c r="A40" t="s">
        <v>1243</v>
      </c>
      <c r="B40" t="s">
        <v>1244</v>
      </c>
      <c r="C40" t="s">
        <v>1245</v>
      </c>
      <c r="D40" t="s">
        <v>1246</v>
      </c>
      <c r="E40" t="s">
        <v>1247</v>
      </c>
      <c r="F40" t="s">
        <v>1248</v>
      </c>
      <c r="G40" t="s">
        <v>1249</v>
      </c>
      <c r="K40" t="s">
        <v>1162</v>
      </c>
    </row>
    <row r="41" spans="1:11" x14ac:dyDescent="0.3">
      <c r="A41" s="2" t="s">
        <v>1252</v>
      </c>
      <c r="B41" t="s">
        <v>1250</v>
      </c>
      <c r="C41" s="2" t="str">
        <f>A41</f>
        <v>DF12(3.0)-32DP</v>
      </c>
      <c r="D41" t="str">
        <f>CONCATENATE("Schematic\Connectors\", E41, ".SchLib")</f>
        <v>Schematic\Connectors\Conn_32pin.SchLib</v>
      </c>
      <c r="E41" t="s">
        <v>1253</v>
      </c>
      <c r="F41" t="str">
        <f>CONCATENATE("Footprints\Connectors\", G41, ".PcbLib")</f>
        <v>Footprints\Connectors\DF12(3.0)-32DP.PcbLib</v>
      </c>
      <c r="G41" t="s">
        <v>1252</v>
      </c>
      <c r="K41" t="s">
        <v>1162</v>
      </c>
    </row>
    <row r="42" spans="1:11" x14ac:dyDescent="0.3">
      <c r="A42" s="2" t="s">
        <v>1251</v>
      </c>
      <c r="B42" t="s">
        <v>1254</v>
      </c>
      <c r="C42" s="2" t="str">
        <f>A42</f>
        <v>DF12(3.0)-32DS</v>
      </c>
      <c r="D42" t="str">
        <f>CONCATENATE("Schematic\Connectors\", E42, ".SchLib")</f>
        <v>Schematic\Connectors\Conn_32pin.SchLib</v>
      </c>
      <c r="E42" t="s">
        <v>1253</v>
      </c>
      <c r="F42" t="str">
        <f>CONCATENATE("Footprints\Connectors\", G42, ".PcbLib")</f>
        <v>Footprints\Connectors\DF12(3.0)-32DS.PcbLib</v>
      </c>
      <c r="G42" t="s">
        <v>1251</v>
      </c>
      <c r="K42" t="s">
        <v>1162</v>
      </c>
    </row>
    <row r="43" spans="1:11" x14ac:dyDescent="0.3">
      <c r="A43" t="s">
        <v>1255</v>
      </c>
      <c r="B43" t="s">
        <v>1256</v>
      </c>
      <c r="C43" s="2" t="str">
        <f t="shared" ref="C43:C46" si="0">A43</f>
        <v>DF40C-50DP</v>
      </c>
      <c r="D43" t="str">
        <f t="shared" ref="D43:D46" si="1">CONCATENATE("Schematic\Connectors\", E43, ".SchLib")</f>
        <v>Schematic\Connectors\Conn_50pin_double.SchLib</v>
      </c>
      <c r="E43" t="s">
        <v>1257</v>
      </c>
      <c r="F43" t="str">
        <f t="shared" ref="F43:F45" si="2">CONCATENATE("Footprints\Connectors\", G43, ".PcbLib")</f>
        <v>Footprints\Connectors\DF40C-50DP.PcbLib</v>
      </c>
      <c r="G43" t="s">
        <v>1255</v>
      </c>
      <c r="K43" t="s">
        <v>1162</v>
      </c>
    </row>
    <row r="44" spans="1:11" x14ac:dyDescent="0.3">
      <c r="A44" t="s">
        <v>1258</v>
      </c>
      <c r="B44" t="s">
        <v>1259</v>
      </c>
      <c r="C44" s="2" t="str">
        <f t="shared" si="0"/>
        <v>DF40C-50DS</v>
      </c>
      <c r="D44" t="str">
        <f t="shared" si="1"/>
        <v>Schematic\Connectors\Conn_50pin_double.SchLib</v>
      </c>
      <c r="E44" t="s">
        <v>1257</v>
      </c>
      <c r="F44" t="str">
        <f t="shared" si="2"/>
        <v>Footprints\Connectors\DF40C-50DS.PcbLib</v>
      </c>
      <c r="G44" t="s">
        <v>1258</v>
      </c>
      <c r="K44" t="s">
        <v>1162</v>
      </c>
    </row>
    <row r="45" spans="1:11" x14ac:dyDescent="0.3">
      <c r="A45" t="s">
        <v>1260</v>
      </c>
      <c r="B45" t="s">
        <v>1259</v>
      </c>
      <c r="C45" s="2" t="str">
        <f t="shared" si="0"/>
        <v>DF40HC(4.0)-50DS</v>
      </c>
      <c r="D45" t="str">
        <f t="shared" si="1"/>
        <v>Schematic\Connectors\Conn_50pin_double.SchLib</v>
      </c>
      <c r="E45" t="s">
        <v>1257</v>
      </c>
      <c r="F45" t="str">
        <f t="shared" si="2"/>
        <v>Footprints\Connectors\DF40HC(4.0)-50DS.PcbLib</v>
      </c>
      <c r="G45" t="s">
        <v>1260</v>
      </c>
      <c r="K45" t="s">
        <v>1162</v>
      </c>
    </row>
    <row r="46" spans="1:11" x14ac:dyDescent="0.3">
      <c r="A46" t="s">
        <v>1261</v>
      </c>
      <c r="B46" t="s">
        <v>1262</v>
      </c>
      <c r="C46" s="2" t="str">
        <f t="shared" si="0"/>
        <v>PLS-6</v>
      </c>
      <c r="D46" t="str">
        <f t="shared" si="1"/>
        <v>Schematic\Connectors\Conn_6pin.SchLib</v>
      </c>
      <c r="E46" t="s">
        <v>1263</v>
      </c>
      <c r="F46" t="s">
        <v>1131</v>
      </c>
      <c r="G46" t="s">
        <v>1264</v>
      </c>
      <c r="K46" t="s">
        <v>1162</v>
      </c>
    </row>
    <row r="47" spans="1:11" x14ac:dyDescent="0.3">
      <c r="A47" t="s">
        <v>1337</v>
      </c>
      <c r="B47" t="s">
        <v>1338</v>
      </c>
      <c r="C47" s="2" t="s">
        <v>1337</v>
      </c>
      <c r="D47" t="s">
        <v>355</v>
      </c>
      <c r="E47" s="2" t="s">
        <v>119</v>
      </c>
      <c r="F47" t="s">
        <v>1339</v>
      </c>
      <c r="G47" t="s">
        <v>1337</v>
      </c>
      <c r="K47" t="s">
        <v>1162</v>
      </c>
    </row>
    <row r="48" spans="1:11" x14ac:dyDescent="0.3">
      <c r="A48" t="s">
        <v>1340</v>
      </c>
      <c r="B48" t="s">
        <v>1341</v>
      </c>
      <c r="C48" s="2" t="s">
        <v>1340</v>
      </c>
      <c r="D48" t="s">
        <v>833</v>
      </c>
      <c r="E48" s="2" t="s">
        <v>831</v>
      </c>
      <c r="F48" t="s">
        <v>1342</v>
      </c>
      <c r="G48" t="s">
        <v>1340</v>
      </c>
      <c r="K48" t="s">
        <v>1162</v>
      </c>
    </row>
    <row r="49" spans="1:11" x14ac:dyDescent="0.3">
      <c r="A49" t="s">
        <v>1343</v>
      </c>
      <c r="B49" t="s">
        <v>1344</v>
      </c>
      <c r="C49" s="2" t="s">
        <v>1343</v>
      </c>
      <c r="D49" t="s">
        <v>1345</v>
      </c>
      <c r="E49" s="2" t="s">
        <v>1346</v>
      </c>
      <c r="F49" t="s">
        <v>1347</v>
      </c>
      <c r="G49" t="s">
        <v>1343</v>
      </c>
      <c r="K49" t="s">
        <v>1162</v>
      </c>
    </row>
    <row r="50" spans="1:11" x14ac:dyDescent="0.3">
      <c r="A50" t="s">
        <v>1349</v>
      </c>
      <c r="B50" t="s">
        <v>1350</v>
      </c>
      <c r="C50" s="2" t="str">
        <f t="shared" ref="C50:C51" si="3">A50</f>
        <v>DF40C-40DP</v>
      </c>
      <c r="D50" t="str">
        <f t="shared" ref="D50:D53" si="4">CONCATENATE("Schematic\Connectors\", E50, ".SchLib")</f>
        <v>Schematic\Connectors\Conn_40pin_double.SchLib</v>
      </c>
      <c r="E50" t="s">
        <v>1346</v>
      </c>
      <c r="F50" t="str">
        <f t="shared" ref="F50:F53" si="5">CONCATENATE("Footprints\Connectors\", G50, ".PcbLib")</f>
        <v>Footprints\Connectors\DF40C-40DP.PcbLib</v>
      </c>
      <c r="G50" t="s">
        <v>1349</v>
      </c>
      <c r="K50" t="s">
        <v>1162</v>
      </c>
    </row>
    <row r="51" spans="1:11" x14ac:dyDescent="0.3">
      <c r="A51" t="s">
        <v>1351</v>
      </c>
      <c r="B51" t="s">
        <v>1352</v>
      </c>
      <c r="C51" s="2" t="str">
        <f t="shared" si="3"/>
        <v>DF40C-40DS</v>
      </c>
      <c r="D51" t="str">
        <f t="shared" si="4"/>
        <v>Schematic\Connectors\Conn_40pin_double.SchLib</v>
      </c>
      <c r="E51" t="s">
        <v>1346</v>
      </c>
      <c r="F51" t="str">
        <f t="shared" si="5"/>
        <v>Footprints\Connectors\DF40C-40DS.PcbLib</v>
      </c>
      <c r="G51" t="s">
        <v>1351</v>
      </c>
      <c r="K51" t="s">
        <v>1162</v>
      </c>
    </row>
    <row r="52" spans="1:11" x14ac:dyDescent="0.3">
      <c r="A52" t="s">
        <v>1374</v>
      </c>
      <c r="B52" t="s">
        <v>1375</v>
      </c>
      <c r="C52" t="s">
        <v>1374</v>
      </c>
      <c r="D52" t="str">
        <f t="shared" si="4"/>
        <v>Schematic\Connectors\Conn_10pin.SchLib</v>
      </c>
      <c r="E52" s="2" t="s">
        <v>113</v>
      </c>
      <c r="F52" t="str">
        <f t="shared" si="5"/>
        <v>Footprints\Connectors\M80-4001042.PcbLib</v>
      </c>
      <c r="G52" t="s">
        <v>1374</v>
      </c>
      <c r="J52" t="s">
        <v>1376</v>
      </c>
      <c r="K52" t="s">
        <v>1162</v>
      </c>
    </row>
    <row r="53" spans="1:11" x14ac:dyDescent="0.3">
      <c r="A53" t="s">
        <v>1378</v>
      </c>
      <c r="B53" t="s">
        <v>1377</v>
      </c>
      <c r="C53" t="s">
        <v>1374</v>
      </c>
      <c r="D53" t="str">
        <f t="shared" si="4"/>
        <v>Schematic\Connectors\Conn_10pin.SchLib</v>
      </c>
      <c r="E53" s="2" t="s">
        <v>113</v>
      </c>
      <c r="F53" t="str">
        <f t="shared" si="5"/>
        <v>Footprints\Connectors\M80-4001042_govnodelie.PcbLib</v>
      </c>
      <c r="G53" t="s">
        <v>1379</v>
      </c>
      <c r="J53" t="s">
        <v>1376</v>
      </c>
      <c r="K53" t="s">
        <v>1162</v>
      </c>
    </row>
  </sheetData>
  <phoneticPr fontId="1" type="noConversion"/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14</vt:i4>
      </vt:variant>
    </vt:vector>
  </HeadingPairs>
  <TitlesOfParts>
    <vt:vector size="14" baseType="lpstr">
      <vt:lpstr>Chips</vt:lpstr>
      <vt:lpstr>Schottky</vt:lpstr>
      <vt:lpstr>Zener</vt:lpstr>
      <vt:lpstr>TVS</vt:lpstr>
      <vt:lpstr>Transistors</vt:lpstr>
      <vt:lpstr>Resistors</vt:lpstr>
      <vt:lpstr>Rectifier_diodes</vt:lpstr>
      <vt:lpstr>Capacitors</vt:lpstr>
      <vt:lpstr>Capacitors_ceramic</vt:lpstr>
      <vt:lpstr>Capacitors_electrolytic</vt:lpstr>
      <vt:lpstr>Inductance</vt:lpstr>
      <vt:lpstr>Thyristors</vt:lpstr>
      <vt:lpstr>Other</vt:lpstr>
      <vt:lpstr>Connectors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2025-08-18T13:27:30Z</dcterms:modified>
</cp:coreProperties>
</file>