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750BB073-386D-4C3B-8447-362970CC7604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9" l="1"/>
  <c r="C3" i="9"/>
  <c r="B3" i="9"/>
  <c r="L3" i="10"/>
  <c r="J3" i="10"/>
  <c r="H3" i="10"/>
  <c r="F3" i="10"/>
  <c r="C3" i="10"/>
  <c r="F10" i="6"/>
  <c r="D10" i="6"/>
  <c r="C10" i="6"/>
  <c r="F9" i="6"/>
  <c r="E9" i="6"/>
  <c r="D9" i="6"/>
  <c r="C9" i="6"/>
  <c r="G8" i="6"/>
  <c r="F8" i="6" s="1"/>
  <c r="D8" i="6"/>
  <c r="C8" i="6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<sst xmlns="http://schemas.openxmlformats.org/spreadsheetml/2006/main" count="1584" uniqueCount="626">
  <si>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</si>
  <si>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</si>
  <si>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</si>
  <si>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</si>
  <si>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</si>
  <si>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</si>
  <si>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</si>
  <si>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</si>
  <si>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</si>
  <si>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</si>
  <si>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</si>
  <si>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</si>
  <si>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</si>
  <si>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</si>
  <si>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</si>
  <si>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</si>
  <si>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</si>
  <si>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</si>
  <si>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</si>
  <si>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</si>
  <si>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</si>
  <si>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</si>
  <si>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</si>
  <si>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</si>
  <si>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</si>
  <si>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</si>
  <si>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</si>
  <si>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</si>
  <si>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</si>
  <si>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</si>
  <si>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</si>
  <si>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</si>
  <si>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</si>
  <si>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</si>
  <si>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</si>
  <si>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</si>
  <si>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</si>
  <si>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</si>
  <si>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</si>
  <si>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</si>
  <si>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</si>
  <si>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</si>
  <si>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</si>
  <si>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</si>
  <si>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</si>
  <si>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</si>
  <si>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</si>
  <si>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</si>
  <si>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</si>
  <si>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</si>
  <si>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</si>
  <si>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</si>
  <si>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</si>
  <si>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</si>
  <si>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</si>
  <si>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</si>
  <si>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</si>
  <si>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</si>
  <si>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</si>
  <si>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</si>
  <si>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</si>
  <si>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</si>
  <si>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</si>
  <si>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</si>
  <si>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</si>
  <si>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</si>
  <si>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</si>
  <si>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</si>
  <si>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</si>
  <si>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</si>
  <si>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</si>
  <si>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</si>
  <si>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</si>
  <si>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</si>
  <si>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</si>
  <si>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</si>
  <si>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</si>
  <si>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</si>
  <si>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</si>
  <si>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</si>
  <si>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</si>
  <si>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</si>
  <si>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</si>
  <si>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</si>
  <si>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</si>
  <si>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</si>
  <si>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</si>
  <si>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</si>
  <si>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</si>
  <si>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</si>
  <si>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</si>
  <si>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</si>
  <si>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</si>
  <si>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</si>
  <si>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</si>
  <si>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</si>
  <si>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</si>
  <si>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</si>
  <si>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</si>
  <si>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</si>
  <si>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</si>
  <si>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</si>
  <si>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</si>
  <si>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</si>
  <si>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</si>
  <si>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</si>
  <si>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</si>
  <si>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</si>
  <si>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</si>
  <si>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</si>
  <si>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</si>
  <si>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</si>
  <si>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</si>
  <si>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</si>
  <si>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</si>
  <si>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</si>
  <si>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</si>
  <si>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</si>
  <si>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</si>
  <si>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</si>
  <si>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</si>
  <si>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</si>
  <si>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</si>
  <si>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</si>
  <si>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</si>
  <si>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</si>
  <si>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</si>
  <si>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</si>
  <si>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</si>
  <si>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</si>
  <si>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</si>
  <si>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</si>
  <si>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</si>
  <si>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</si>
  <si>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</si>
  <si>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</si>
  <si>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</si>
  <si>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</si>
  <si>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</si>
  <si>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</si>
  <si>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</si>
  <si>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</si>
  <si>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</si>
  <si>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</si>
  <si>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</si>
  <si>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</si>
  <si>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</si>
  <si>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</si>
  <si>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</si>
  <si>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</si>
  <si>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</si>
  <si>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</si>
  <si>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</si>
  <si>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</si>
  <si>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</si>
  <si>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</si>
  <si>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</si>
  <si>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</si>
  <si>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</si>
  <si>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</si>
  <si>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</si>
  <si>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</si>
  <si>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</si>
  <si>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</si>
  <si>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</si>
  <si>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</si>
  <si>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</si>
  <si>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</si>
  <si>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</si>
  <si>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</si>
  <si>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</si>
  <si>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</si>
  <si>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</si>
  <si>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</si>
  <si>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</si>
  <si>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</si>
  <si>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</si>
  <si>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</si>
  <si>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</si>
  <si>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</si>
  <si>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</si>
  <si>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</si>
  <si>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</si>
  <si>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</si>
  <si>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</si>
  <si>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</si>
  <si>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</si>
  <si>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</si>
  <si>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</si>
  <si>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</si>
  <si>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</si>
  <si>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</si>
  <si>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</si>
  <si>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</si>
  <si>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</si>
  <si>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</si>
  <si>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</si>
  <si>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</si>
  <si>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</si>
  <si>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</si>
  <si>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</si>
  <si>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</si>
  <si>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</si>
  <si>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</si>
  <si>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</si>
  <si>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</si>
  <si>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</si>
  <si>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</si>
  <si>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</si>
  <si>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</si>
  <si>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</si>
  <si>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</si>
  <si>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</si>
  <si>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</si>
  <si>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</si>
  <si>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</si>
  <si>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</si>
  <si>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</si>
  <si>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</si>
  <si>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</si>
  <si>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</si>
  <si>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</si>
  <si>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</si>
  <si>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</si>
  <si>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</si>
  <si>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</si>
  <si>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</si>
  <si>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</si>
  <si>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</si>
  <si>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</si>
  <si>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</si>
  <si>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</si>
  <si>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</si>
  <si>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</si>
  <si>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</si>
  <si>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</si>
  <si>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</si>
  <si>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</si>
  <si>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</si>
  <si>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</si>
  <si>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</si>
  <si>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</si>
  <si>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</si>
  <si>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</si>
  <si>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</si>
  <si>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</si>
  <si>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</si>
  <si>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</si>
  <si>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</si>
  <si>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</si>
  <si>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</si>
  <si>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</si>
  <si>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</si>
  <si>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</si>
  <si>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</si>
  <si>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</si>
  <si>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</si>
  <si>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</si>
  <si>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</si>
  <si>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</si>
  <si>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</si>
  <si>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</si>
  <si>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</si>
  <si>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</si>
  <si>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</si>
  <si>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</si>
  <si>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</si>
  <si>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</si>
  <si>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</si>
  <si>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</si>
  <si>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</si>
  <si>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</si>
  <si>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</si>
  <si>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</si>
  <si>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</si>
  <si>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</si>
  <si>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</si>
  <si>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</si>
  <si>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</si>
  <si>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</si>
  <si>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</si>
  <si>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</si>
  <si>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</si>
  <si>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</si>
  <si>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</si>
  <si>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</si>
  <si>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</si>
  <si>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</si>
  <si>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</si>
  <si>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</si>
  <si>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</si>
  <si>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</si>
  <si>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</si>
  <si>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</si>
  <si>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</si>
  <si>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</si>
  <si>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</si>
  <si>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</si>
  <si>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</si>
  <si>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</si>
  <si>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</si>
  <si>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</si>
  <si>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</si>
  <si>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</si>
  <si>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</si>
  <si>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</si>
  <si>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</si>
  <si>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</si>
  <si>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</si>
  <si>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</si>
  <si>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</si>
  <si>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</si>
  <si>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</si>
  <si>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</si>
  <si>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</si>
  <si>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</si>
  <si>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</si>
  <si>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</si>
  <si>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</si>
  <si>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</si>
  <si>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</si>
  <si>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</si>
  <si>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</si>
  <si>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</si>
  <si>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</si>
  <si>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</si>
  <si>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</si>
  <si>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</si>
  <si>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</si>
  <si>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</si>
  <si>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</si>
  <si>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</si>
  <si>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</si>
  <si>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</si>
  <si>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</si>
  <si>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</si>
  <si>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</si>
  <si>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</si>
  <si>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</si>
  <si>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</si>
  <si>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</si>
  <si>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</si>
  <si>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</si>
  <si>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</si>
  <si>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</si>
  <si>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</si>
  <si>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</si>
  <si>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</si>
  <si>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</si>
  <si>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</si>
  <si>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</si>
  <si>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</si>
  <si>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</si>
  <si>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</si>
  <si>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</si>
  <si>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</si>
  <si>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</si>
  <si>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</si>
  <si>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</si>
  <si>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</si>
  <si>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</si>
  <si>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</si>
  <si>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</si>
  <si>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</si>
  <si>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</si>
  <si>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</si>
  <si>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</si>
  <si>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</si>
  <si>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</si>
  <si>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</si>
  <si>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</si>
  <si>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</si>
  <si>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</si>
  <si>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</si>
  <si>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</si>
  <si>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</si>
  <si>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</si>
  <si>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</si>
  <si>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</si>
  <si>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</si>
  <si>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</si>
  <si>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</si>
  <si>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</si>
  <si>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</si>
  <si>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</si>
  <si>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</si>
  <si>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</si>
  <si>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</si>
  <si>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</si>
  <si>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</si>
  <si>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</si>
  <si>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</si>
  <si>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</si>
  <si>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</si>
  <si>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</si>
  <si>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</si>
  <si>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</si>
  <si>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</si>
  <si>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</si>
  <si>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</si>
  <si>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</si>
  <si>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</si>
  <si>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</si>
  <si>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</si>
  <si>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</si>
  <si>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</si>
  <si>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</si>
  <si>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</si>
  <si>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</si>
  <si>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</si>
  <si>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</si>
  <si>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</si>
  <si>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</si>
  <si>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</si>
  <si>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</si>
  <si>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</si>
  <si>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</si>
  <si>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</si>
  <si>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</si>
  <si>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</si>
  <si>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</si>
  <si>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</si>
  <si>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</si>
  <si>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</si>
  <si>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</si>
  <si>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</si>
  <si>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</si>
  <si>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</si>
  <si>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</si>
  <si>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</si>
  <si>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</si>
  <si>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</si>
  <si>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</si>
  <si>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</si>
  <si>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</si>
  <si>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</si>
  <si>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</si>
  <si>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</si>
  <si>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</si>
  <si>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</si>
  <si>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</si>
  <si>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</si>
  <si>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</si>
  <si>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</si>
  <si>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</si>
  <si>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</si>
  <si>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</si>
  <si>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</si>
  <si>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</si>
  <si>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</si>
  <si>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</si>
  <si>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</si>
  <si>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</si>
  <si>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</si>
  <si>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</si>
  <si>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</si>
  <si>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</si>
  <si>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</si>
  <si>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</si>
  <si>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</si>
  <si>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</si>
  <si>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</si>
  <si>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</si>
  <si>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</si>
  <si>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</si>
  <si>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</si>
  <si>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</si>
  <si>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</si>
  <si>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</si>
  <si>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</si>
  <si>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</si>
  <si>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</si>
  <si>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</si>
  <si>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</si>
  <si>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</si>
  <si>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</si>
  <si>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</si>
  <si>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</si>
  <si>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</si>
  <si>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</si>
  <si>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</si>
  <si>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</si>
  <si>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</si>
  <si>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</si>
  <si>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</si>
  <si>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</si>
  <si>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</si>
  <si>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</si>
  <si>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</si>
  <si>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</si>
  <si>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</si>
  <si>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</si>
  <si>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</si>
  <si>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</si>
  <si>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</si>
  <si>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</si>
  <si>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</si>
  <si>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</si>
  <si>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</si>
  <si>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</si>
  <si>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</si>
  <si>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</si>
  <si>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</si>
  <si>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</si>
  <si>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</si>
  <si>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</si>
  <si>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</si>
  <si>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</si>
  <si>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</si>
  <si>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</si>
  <si>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</si>
  <si>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</si>
  <si>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</si>
  <si>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</si>
  <si>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</si>
  <si>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</si>
  <si>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</si>
  <si>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</si>
  <si>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</si>
  <si>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</si>
  <si>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</si>
  <si>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</si>
  <si>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</si>
  <si>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</si>
  <si>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</si>
  <si>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</si>
  <si>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</si>
  <si>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</si>
  <si>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</si>
  <si>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</si>
  <si>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</si>
  <si>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</si>
  <si>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</si>
  <si>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</si>
  <si>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</si>
  <si>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</si>
  <si>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</si>
  <si>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</si>
  <si>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</si>
  <si>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</si>
  <si>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</si>
  <si>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</si>
  <si>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</si>
  <si>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</si>
  <si>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</si>
  <si>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</si>
  <si>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</si>
  <si>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</si>
  <si>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</si>
  <si>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</si>
  <si>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</si>
  <si>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</si>
  <si>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</si>
  <si>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</si>
  <si>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</si>
  <si>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</si>
  <si>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</si>
  <si>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</si>
  <si>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</si>
  <si>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</si>
  <si>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</si>
  <si>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</si>
  <si>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</si>
  <si>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</si>
  <si>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</si>
  <si>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</si>
  <si>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</si>
  <si>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</si>
  <si>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</si>
  <si>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</si>
  <si>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</si>
  <si>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</si>
  <si>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</si>
  <si>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</si>
  <si>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</si>
  <si>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</si>
  <si>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</si>
  <si>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</si>
  <si>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</si>
  <si>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</si>
  <si>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</si>
  <si>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</si>
  <si>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</si>
  <si>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</si>
  <si>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</si>
  <si>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</si>
  <si>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</si>
  <si>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</si>
  <si>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</si>
  <si>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</si>
  <si>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</si>
  <si>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</si>
  <si>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</si>
  <si>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</si>
  <si>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</si>
  <si>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</si>
  <si>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</si>
  <si>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</si>
  <si>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</si>
  <si>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</si>
  <si>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</si>
  <si>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</si>
  <si>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</si>
  <si>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</si>
  <si>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</si>
  <si>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</si>
  <si>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</si>
  <si>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</si>
  <si>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net_tie</t>
  </si>
  <si>
    <t>net tie запаиваемая перемычка</t>
  </si>
  <si>
    <t>0805net_tie</t>
  </si>
  <si>
    <t>2_PADS</t>
  </si>
  <si>
    <t>2 контактные площадки под пайку толстых проводов</t>
  </si>
  <si>
    <t>CONN-2</t>
  </si>
  <si>
    <t>XT30PW-M</t>
  </si>
  <si>
    <t>30 А (15 продолжительно), 2 контакта разъем</t>
  </si>
  <si>
    <t>another_CWF-3</t>
  </si>
  <si>
    <t>CONN-3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</si>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</sst>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10" tableType="xml" totalsRowShown="0" headerRowDxfId="3" connectionId="5">
  <autoFilter ref="A1:G10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C17" sqref="C17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595</v>
      </c>
      <c r="B11" t="s">
        <v>596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597</v>
      </c>
    </row>
    <row r="12" spans="1:20" x14ac:dyDescent="0.3">
      <c r="A12" t="s">
        <v>598</v>
      </c>
      <c r="B12" t="s">
        <v>599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600</v>
      </c>
    </row>
    <row r="13" spans="1:20" x14ac:dyDescent="0.3">
      <c r="A13" t="s">
        <v>601</v>
      </c>
      <c r="B13" t="s">
        <v>602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603</v>
      </c>
    </row>
    <row r="14" spans="1:20" x14ac:dyDescent="0.3">
      <c r="A14" t="s">
        <v>604</v>
      </c>
      <c r="B14" t="s">
        <v>605</v>
      </c>
      <c r="C14" s="2" t="s">
        <v>604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3"/>
  <sheetViews>
    <sheetView tabSelected="1" workbookViewId="0">
      <selection activeCell="C9" sqref="C9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624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625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622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607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622</v>
      </c>
      <c r="H5" s="6">
        <v>18</v>
      </c>
      <c r="I5" s="6">
        <v>600</v>
      </c>
      <c r="J5" s="6" t="s">
        <v>623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4" x14ac:dyDescent="0.3"/>
  <cols>
    <col min="1" max="1" width="25.2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21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6" x14ac:dyDescent="0.3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6" x14ac:dyDescent="0.3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6" x14ac:dyDescent="0.3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6" x14ac:dyDescent="0.3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6" x14ac:dyDescent="0.3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6" x14ac:dyDescent="0.3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6" x14ac:dyDescent="0.3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6" x14ac:dyDescent="0.3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6" x14ac:dyDescent="0.3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6" x14ac:dyDescent="0.3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6" x14ac:dyDescent="0.3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6" x14ac:dyDescent="0.3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6" x14ac:dyDescent="0.3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6" x14ac:dyDescent="0.3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6" x14ac:dyDescent="0.3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6" x14ac:dyDescent="0.3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6" x14ac:dyDescent="0.3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6" x14ac:dyDescent="0.3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6" x14ac:dyDescent="0.3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6" x14ac:dyDescent="0.3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6" x14ac:dyDescent="0.3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6" x14ac:dyDescent="0.3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6" x14ac:dyDescent="0.3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6" x14ac:dyDescent="0.3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6" x14ac:dyDescent="0.3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6" x14ac:dyDescent="0.3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6" x14ac:dyDescent="0.3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6" x14ac:dyDescent="0.3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6" x14ac:dyDescent="0.3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6" x14ac:dyDescent="0.3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6" x14ac:dyDescent="0.3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6" x14ac:dyDescent="0.3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6" x14ac:dyDescent="0.3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6" x14ac:dyDescent="0.3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6" x14ac:dyDescent="0.3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6" x14ac:dyDescent="0.3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6" x14ac:dyDescent="0.3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6" x14ac:dyDescent="0.3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6" x14ac:dyDescent="0.3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6" x14ac:dyDescent="0.3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6" x14ac:dyDescent="0.3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6" x14ac:dyDescent="0.3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6" x14ac:dyDescent="0.3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6" x14ac:dyDescent="0.3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6" x14ac:dyDescent="0.3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6" x14ac:dyDescent="0.3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6" x14ac:dyDescent="0.3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6" x14ac:dyDescent="0.3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6" x14ac:dyDescent="0.3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6" x14ac:dyDescent="0.3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6" x14ac:dyDescent="0.3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6" x14ac:dyDescent="0.3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6" x14ac:dyDescent="0.3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6" x14ac:dyDescent="0.3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6" x14ac:dyDescent="0.3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6" x14ac:dyDescent="0.3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6" x14ac:dyDescent="0.3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6" x14ac:dyDescent="0.3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6" x14ac:dyDescent="0.3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6" x14ac:dyDescent="0.3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6" x14ac:dyDescent="0.3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6" x14ac:dyDescent="0.3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6" x14ac:dyDescent="0.3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6" x14ac:dyDescent="0.3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6" x14ac:dyDescent="0.3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6" x14ac:dyDescent="0.3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6" x14ac:dyDescent="0.3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6" x14ac:dyDescent="0.3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6" x14ac:dyDescent="0.3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6" x14ac:dyDescent="0.3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6" x14ac:dyDescent="0.3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6" x14ac:dyDescent="0.3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6" x14ac:dyDescent="0.3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6" x14ac:dyDescent="0.3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6" x14ac:dyDescent="0.3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6" x14ac:dyDescent="0.3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6" x14ac:dyDescent="0.3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6" x14ac:dyDescent="0.3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6" x14ac:dyDescent="0.3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6" x14ac:dyDescent="0.3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6" x14ac:dyDescent="0.3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6" x14ac:dyDescent="0.3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6" x14ac:dyDescent="0.3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6" x14ac:dyDescent="0.3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6" x14ac:dyDescent="0.3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6" x14ac:dyDescent="0.3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6" x14ac:dyDescent="0.3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6" x14ac:dyDescent="0.3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6" x14ac:dyDescent="0.3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6" x14ac:dyDescent="0.3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6" x14ac:dyDescent="0.3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6" x14ac:dyDescent="0.3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6" x14ac:dyDescent="0.3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6" x14ac:dyDescent="0.3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6" x14ac:dyDescent="0.3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6" x14ac:dyDescent="0.3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6" x14ac:dyDescent="0.3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6" x14ac:dyDescent="0.3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6" x14ac:dyDescent="0.3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6" x14ac:dyDescent="0.3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6" x14ac:dyDescent="0.3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6" x14ac:dyDescent="0.3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6" x14ac:dyDescent="0.3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6" x14ac:dyDescent="0.3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6" x14ac:dyDescent="0.3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6" x14ac:dyDescent="0.3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6" x14ac:dyDescent="0.3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6" x14ac:dyDescent="0.3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6" x14ac:dyDescent="0.3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6" x14ac:dyDescent="0.3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6" x14ac:dyDescent="0.3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6" x14ac:dyDescent="0.3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6" x14ac:dyDescent="0.3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6" x14ac:dyDescent="0.3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6" x14ac:dyDescent="0.3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6" x14ac:dyDescent="0.3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6" x14ac:dyDescent="0.3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6" x14ac:dyDescent="0.3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6" x14ac:dyDescent="0.3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6" x14ac:dyDescent="0.3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6" x14ac:dyDescent="0.3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6" x14ac:dyDescent="0.3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6" x14ac:dyDescent="0.3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6" x14ac:dyDescent="0.3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6" x14ac:dyDescent="0.3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6" x14ac:dyDescent="0.3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6" x14ac:dyDescent="0.3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6" x14ac:dyDescent="0.3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6" x14ac:dyDescent="0.3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6" x14ac:dyDescent="0.3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6" x14ac:dyDescent="0.3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6" x14ac:dyDescent="0.3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6" x14ac:dyDescent="0.3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6" x14ac:dyDescent="0.3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6" x14ac:dyDescent="0.3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6" x14ac:dyDescent="0.3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6" x14ac:dyDescent="0.3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6" x14ac:dyDescent="0.3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6" x14ac:dyDescent="0.3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6" x14ac:dyDescent="0.3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6" x14ac:dyDescent="0.3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6" x14ac:dyDescent="0.3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6" x14ac:dyDescent="0.3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6" x14ac:dyDescent="0.3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6" x14ac:dyDescent="0.3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6" x14ac:dyDescent="0.3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6" x14ac:dyDescent="0.3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6" x14ac:dyDescent="0.3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6" x14ac:dyDescent="0.3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6" x14ac:dyDescent="0.3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6" x14ac:dyDescent="0.3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6" x14ac:dyDescent="0.3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6" x14ac:dyDescent="0.3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6" x14ac:dyDescent="0.3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6" x14ac:dyDescent="0.3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6" x14ac:dyDescent="0.3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6" x14ac:dyDescent="0.3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6" x14ac:dyDescent="0.3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6" x14ac:dyDescent="0.3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6" x14ac:dyDescent="0.3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6" x14ac:dyDescent="0.3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6" x14ac:dyDescent="0.3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6" x14ac:dyDescent="0.3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6" x14ac:dyDescent="0.3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6" x14ac:dyDescent="0.3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6" x14ac:dyDescent="0.3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6" x14ac:dyDescent="0.3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6" x14ac:dyDescent="0.3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6" x14ac:dyDescent="0.3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  <c r="O2" s="2"/>
    </row>
    <row r="3" spans="1:15" x14ac:dyDescent="0.3">
      <c r="A3" t="s">
        <v>619</v>
      </c>
      <c r="B3" t="s">
        <v>620</v>
      </c>
      <c r="C3" t="str">
        <f>A3</f>
        <v>IHLP4040DZER330M11</v>
      </c>
      <c r="D3" s="2" t="s">
        <v>106</v>
      </c>
      <c r="E3" s="2" t="s">
        <v>104</v>
      </c>
      <c r="F3" s="2" t="str">
        <f>CONCATENATE("Footprints\Inductance\",G3,".PcbLib")</f>
        <v>Footprints\Inductance\IHLP-4040.PcbLib</v>
      </c>
      <c r="G3" s="2" t="s">
        <v>621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B10" sqref="B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608</v>
      </c>
      <c r="B6" s="6" t="s">
        <v>609</v>
      </c>
      <c r="C6" s="6" t="str">
        <f>A6</f>
        <v>net_tie</v>
      </c>
      <c r="D6" s="6" t="str">
        <f>CONCATENATE("Schematic\",A6,".SchLib")</f>
        <v>Schematic\net_tie.SchLib</v>
      </c>
      <c r="E6" s="6" t="str">
        <f>A6</f>
        <v>net_tie</v>
      </c>
      <c r="F6" s="6" t="str">
        <f>CONCATENATE("Footprints\",G6,".PcbLib")</f>
        <v>Footprints\0805net_tie.PcbLib</v>
      </c>
      <c r="G6" s="6" t="s">
        <v>610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0"/>
  <sheetViews>
    <sheetView workbookViewId="0">
      <selection activeCell="C2" sqref="C2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">
      <c r="A8" t="s">
        <v>611</v>
      </c>
      <c r="B8" t="s">
        <v>612</v>
      </c>
      <c r="C8" s="2" t="str">
        <f>A8</f>
        <v>2_PADS</v>
      </c>
      <c r="D8" s="6" t="str">
        <f>CONCATENATE("Schematic\Connectors\","CONN-2.SchLib")</f>
        <v>Schematic\Connectors\CONN-2.SchLib</v>
      </c>
      <c r="E8" t="s">
        <v>613</v>
      </c>
      <c r="F8" s="6" t="str">
        <f>CONCATENATE("Footprints\Connectors\",IF(ISNUMBER(FIND("PLS",A8)),"PLS\",),IF(ISNUMBER(FIND("CWF",A8)),"CWF\",),G8,".PcbLib")</f>
        <v>Footprints\Connectors\2_PADS.PcbLib</v>
      </c>
      <c r="G8" t="str">
        <f>A8</f>
        <v>2_PADS</v>
      </c>
    </row>
    <row r="9" spans="1:9" x14ac:dyDescent="0.3">
      <c r="A9" t="s">
        <v>614</v>
      </c>
      <c r="B9" t="s">
        <v>615</v>
      </c>
      <c r="C9" s="2" t="str">
        <f>A9</f>
        <v>XT30PW-M</v>
      </c>
      <c r="D9" s="6" t="str">
        <f>CONCATENATE("Schematic\Connectors\",IF(ISNUMBER(FIND("PLS",A9)),"PLS\",),IF(ISNUMBER(FIND("CWF",A9)),"CWF\",),A9,".SchLib")</f>
        <v>Schematic\Connectors\XT30PW-M.SchLib</v>
      </c>
      <c r="E9" t="str">
        <f>A9</f>
        <v>XT30PW-M</v>
      </c>
      <c r="F9" s="6" t="str">
        <f>CONCATENATE("Footprints\Connectors\",IF(ISNUMBER(FIND("PLS",A9)),"PLS\",),IF(ISNUMBER(FIND("CWF",A9)),"CWF\",),G9,".PcbLib")</f>
        <v>Footprints\Connectors\XT30PW-M.PcbLib</v>
      </c>
      <c r="G9" t="s">
        <v>614</v>
      </c>
    </row>
    <row r="10" spans="1:9" x14ac:dyDescent="0.3">
      <c r="A10" t="s">
        <v>616</v>
      </c>
      <c r="B10" t="s">
        <v>120</v>
      </c>
      <c r="C10" s="2" t="str">
        <f>A10</f>
        <v>another_CWF-3</v>
      </c>
      <c r="D10" s="6" t="str">
        <f>CONCATENATE("Schematic\Connectors\","CONN-3.SchLib")</f>
        <v>Schematic\Connectors\CONN-3.SchLib</v>
      </c>
      <c r="E10" t="s">
        <v>617</v>
      </c>
      <c r="F10" s="6" t="str">
        <f>CONCATENATE("Footprints\Connectors\",IF(ISNUMBER(FIND("PLS",A10)),"PLS\",),IF(ISNUMBER(FIND("CWF",A10)),"CWF\",),G10,".PcbLib")</f>
        <v>Footprints\Connectors\CWF\anotherCWF-3.PcbLib</v>
      </c>
      <c r="G10" t="s">
        <v>618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2024-11-04T19:07:35Z</dcterms:modified>
</cp:coreProperties>
</file>