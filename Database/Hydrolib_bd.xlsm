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797B9BA3-A451-4A7B-8825-A440D229B96B}" xr6:coauthVersionLast="47" xr6:coauthVersionMax="47" xr10:uidLastSave="{00000000-0000-0000-0000-000000000000}"/>
  <bookViews>
    <workbookView xWindow="4392" yWindow="420" windowWidth="20940" windowHeight="8832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6" l="1"/>
  <c r="D10" i="6"/>
  <c r="C10" i="6"/>
  <c r="F9" i="6"/>
  <c r="E9" i="6"/>
  <c r="D9" i="6"/>
  <c r="C9" i="6"/>
  <c r="G8" i="6"/>
  <c r="F8" i="6" s="1"/>
  <c r="D8" i="6"/>
  <c r="C8" i="6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F2" i="6"/>
  <c r="G5" i="6"/>
  <c r="F5" i="6" s="1"/>
  <c r="G4" i="6"/>
  <c r="F4" i="6" s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F8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G3" i="6"/>
  <c r="F3" i="6" s="1"/>
  <c r="G2" i="6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0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1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2" xr16:uid="{D8C58BCC-C573-42A7-95CA-60E0EBCAC4FF}" name="TVS" type="4" refreshedVersion="0" background="1">
    <webPr xml="1" sourceData="1" url="C:\Users\1\Desktop\testlib\Готовое\TVS.xml" htmlTables="1" htmlFormat="all"/>
  </connection>
  <connection id="13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<sst xmlns="http://schemas.openxmlformats.org/spreadsheetml/2006/main" count="1574" uniqueCount="621">
  <si>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</si>
  <si>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</si>
  <si>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</si>
  <si>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</si>
  <si>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</si>
  <si>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</si>
  <si>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</si>
  <si>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</si>
  <si>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</si>
  <si>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</si>
  <si>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</si>
  <si>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</si>
  <si>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</si>
  <si>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</si>
  <si>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</si>
  <si>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</si>
  <si>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</si>
  <si>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</si>
  <si>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</si>
  <si>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</si>
  <si>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</si>
  <si>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</si>
  <si>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</si>
  <si>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</si>
  <si>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</si>
  <si>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</si>
  <si>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</si>
  <si>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</si>
  <si>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</si>
  <si>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</si>
  <si>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</si>
  <si>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</si>
  <si>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</si>
  <si>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</si>
  <si>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</si>
  <si>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</si>
  <si>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</si>
  <si>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</si>
  <si>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</si>
  <si>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</si>
  <si>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</si>
  <si>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</si>
  <si>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</si>
  <si>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</si>
  <si>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</si>
  <si>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</si>
  <si>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</si>
  <si>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</si>
  <si>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</si>
  <si>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</si>
  <si>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</si>
  <si>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</si>
  <si>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</si>
  <si>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</si>
  <si>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</si>
  <si>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</si>
  <si>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</si>
  <si>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</si>
  <si>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</si>
  <si>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</si>
  <si>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</si>
  <si>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</si>
  <si>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</si>
  <si>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</si>
  <si>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</si>
  <si>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</si>
  <si>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</si>
  <si>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</si>
  <si>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</si>
  <si>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</si>
  <si>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</si>
  <si>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</si>
  <si>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</si>
  <si>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</si>
  <si>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</si>
  <si>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</si>
  <si>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</si>
  <si>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</si>
  <si>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</si>
  <si>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</si>
  <si>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</si>
  <si>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</si>
  <si>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</si>
  <si>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</si>
  <si>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</si>
  <si>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</si>
  <si>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</si>
  <si>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</si>
  <si>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</si>
  <si>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</si>
  <si>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</si>
  <si>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</si>
  <si>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</si>
  <si>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</si>
  <si>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</si>
  <si>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</si>
  <si>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</si>
  <si>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</si>
  <si>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</si>
  <si>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SOP-16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</si>
  <si>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</si>
  <si>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</si>
  <si>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</si>
  <si>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</si>
  <si>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</si>
  <si>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</si>
  <si>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</si>
  <si>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</si>
  <si>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</si>
  <si>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</si>
  <si>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</si>
  <si>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</si>
  <si>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</si>
  <si>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</si>
  <si>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</si>
  <si>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</si>
  <si>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</si>
  <si>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</si>
  <si>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</si>
  <si>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</si>
  <si>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</si>
  <si>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</si>
  <si>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</si>
  <si>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</si>
  <si>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</si>
  <si>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</si>
  <si>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</si>
  <si>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</si>
  <si>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</si>
  <si>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</si>
  <si>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</si>
  <si>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</si>
  <si>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</si>
  <si>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</si>
  <si>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</si>
  <si>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</si>
  <si>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</si>
  <si>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Резистор номиналом 1,0Ом и точностью1%</t>
  </si>
  <si>
    <t>1,0</t>
  </si>
  <si>
    <t>1%</t>
  </si>
  <si>
    <t>Footprints/Resistors/0603R.PcbLib</t>
  </si>
  <si>
    <t>Resistor_1.1_1_0603</t>
  </si>
  <si>
    <t>Резистор номиналом 1,1Ом и точностью1%</t>
  </si>
  <si>
    <t>1,1</t>
  </si>
  <si>
    <t>Resistor_1.2_1_0603</t>
  </si>
  <si>
    <t>Резистор номиналом 1,2Ом и точностью1%</t>
  </si>
  <si>
    <t>1,2</t>
  </si>
  <si>
    <t>Resistor_1.3_1_0603</t>
  </si>
  <si>
    <t>Резистор номиналом 1,3Ом и точностью1%</t>
  </si>
  <si>
    <t>1,3</t>
  </si>
  <si>
    <t>Resistor_1.5_1_0603</t>
  </si>
  <si>
    <t>Резистор номиналом 1,5Ом и точностью1%</t>
  </si>
  <si>
    <t>1,5</t>
  </si>
  <si>
    <t>Resistor_1.6_1_0603</t>
  </si>
  <si>
    <t>Резистор номиналом 1,6Ом и точностью1%</t>
  </si>
  <si>
    <t>1,6</t>
  </si>
  <si>
    <t>Resistor_1.8_1_0603</t>
  </si>
  <si>
    <t>Резистор номиналом 1,8Ом и точностью1%</t>
  </si>
  <si>
    <t>1,8</t>
  </si>
  <si>
    <t>Resistor_2.0_1_0603</t>
  </si>
  <si>
    <t>Резистор номиналом 2,0Ом и точностью1%</t>
  </si>
  <si>
    <t>2,0</t>
  </si>
  <si>
    <t>Resistor_2.2_1_0603</t>
  </si>
  <si>
    <t>Резистор номиналом 2,2Ом и точностью1%</t>
  </si>
  <si>
    <t>2,2</t>
  </si>
  <si>
    <t>Resistor_2.4_1_0603</t>
  </si>
  <si>
    <t>Резистор номиналом 2,4Ом и точностью1%</t>
  </si>
  <si>
    <t>2,4</t>
  </si>
  <si>
    <t>Resistor_2.6_1_0603</t>
  </si>
  <si>
    <t>Резистор номиналом 2,6Ом и точностью1%</t>
  </si>
  <si>
    <t>2,6</t>
  </si>
  <si>
    <t>Resistor_2.9_1_0603</t>
  </si>
  <si>
    <t>Резистор номиналом 2,9Ом и точностью1%</t>
  </si>
  <si>
    <t>2,9</t>
  </si>
  <si>
    <t>Resistor_3.2_1_0603</t>
  </si>
  <si>
    <t>Резистор номиналом 3,2Ом и точностью1%</t>
  </si>
  <si>
    <t>3,2</t>
  </si>
  <si>
    <t>Resistor_3.5_1_0603</t>
  </si>
  <si>
    <t>Резистор номиналом 3,5Ом и точностью1%</t>
  </si>
  <si>
    <t>3,5</t>
  </si>
  <si>
    <t>Resistor_3.8_1_0603</t>
  </si>
  <si>
    <t>Резистор номиналом 3,8Ом и точностью1%</t>
  </si>
  <si>
    <t>3,8</t>
  </si>
  <si>
    <t>Resistor_4.2_1_0603</t>
  </si>
  <si>
    <t>Резистор номиналом 4,2Ом и точностью1%</t>
  </si>
  <si>
    <t>4,2</t>
  </si>
  <si>
    <t>Resistor_4.6_1_0603</t>
  </si>
  <si>
    <t>Резистор номиналом 4,6Ом и точностью1%</t>
  </si>
  <si>
    <t>4,6</t>
  </si>
  <si>
    <t>Resistor_5.1_1_0603</t>
  </si>
  <si>
    <t>Резистор номиналом 5,1Ом и точностью1%</t>
  </si>
  <si>
    <t>5,1</t>
  </si>
  <si>
    <t>Resistor_5.6_1_0603</t>
  </si>
  <si>
    <t>Резистор номиналом 5,6Ом и точностью1%</t>
  </si>
  <si>
    <t>5,6</t>
  </si>
  <si>
    <t>Resistor_6.2_1_0603</t>
  </si>
  <si>
    <t>Резистор номиналом 6,2Ом и точностью1%</t>
  </si>
  <si>
    <t>6,2</t>
  </si>
  <si>
    <t>Resistor_6.8_1_0603</t>
  </si>
  <si>
    <t>Резистор номиналом 6,8Ом и точностью1%</t>
  </si>
  <si>
    <t>6,8</t>
  </si>
  <si>
    <t>Resistor_7.5_1_0603</t>
  </si>
  <si>
    <t>Резистор номиналом 7,5Ом и точностью1%</t>
  </si>
  <si>
    <t>7,5</t>
  </si>
  <si>
    <t>Resistor_8.3_1_0603</t>
  </si>
  <si>
    <t>Резистор номиналом 8,3Ом и точностью1%</t>
  </si>
  <si>
    <t>8,3</t>
  </si>
  <si>
    <t>Resistor_9.1_1_0603</t>
  </si>
  <si>
    <t>Резистор номиналом 9,1Ом и точностью1%</t>
  </si>
  <si>
    <t>9,1</t>
  </si>
  <si>
    <t>Resistor_10_1_0603</t>
  </si>
  <si>
    <t>Резистор номиналом 10Ом и точностью1%</t>
  </si>
  <si>
    <t>Resistor_11_1_0603</t>
  </si>
  <si>
    <t>Резистор номиналом 11Ом и точностью1%</t>
  </si>
  <si>
    <t>Resistor_12_1_0603</t>
  </si>
  <si>
    <t>Резистор номиналом 12Ом и точностью1%</t>
  </si>
  <si>
    <t>Resistor_13_1_0603</t>
  </si>
  <si>
    <t>Резистор номиналом 13Ом и точностью1%</t>
  </si>
  <si>
    <t>Resistor_15_1_0603</t>
  </si>
  <si>
    <t>Резистор номиналом 15Ом и точностью1%</t>
  </si>
  <si>
    <t>Resistor_16_1_0603</t>
  </si>
  <si>
    <t>Резистор номиналом 16Ом и точностью1%</t>
  </si>
  <si>
    <t>Resistor_18_1_0603</t>
  </si>
  <si>
    <t>Резистор номиналом 18Ом и точностью1%</t>
  </si>
  <si>
    <t>Resistor_20_1_0603</t>
  </si>
  <si>
    <t>Резистор номиналом 20Ом и точностью1%</t>
  </si>
  <si>
    <t>Resistor_22_1_0603</t>
  </si>
  <si>
    <t>Резистор номиналом 22Ом и точностью1%</t>
  </si>
  <si>
    <t>Resistor_24_1_0603</t>
  </si>
  <si>
    <t>Резистор номиналом 24Ом и точностью1%</t>
  </si>
  <si>
    <t>Resistor_26_1_0603</t>
  </si>
  <si>
    <t>Резистор номиналом 26Ом и точностью1%</t>
  </si>
  <si>
    <t>Resistor_29_1_0603</t>
  </si>
  <si>
    <t>Резистор номиналом 29Ом и точностью1%</t>
  </si>
  <si>
    <t>Resistor_32_1_0603</t>
  </si>
  <si>
    <t>Резистор номиналом 32Ом и точностью1%</t>
  </si>
  <si>
    <t>Resistor_35_1_0603</t>
  </si>
  <si>
    <t>Резистор номиналом 35Ом и точностью1%</t>
  </si>
  <si>
    <t>Resistor_38_1_0603</t>
  </si>
  <si>
    <t>Резистор номиналом 38Ом и точностью1%</t>
  </si>
  <si>
    <t>Resistor_42_1_0603</t>
  </si>
  <si>
    <t>Резистор номиналом 42Ом и точностью1%</t>
  </si>
  <si>
    <t>Resistor_46_1_0603</t>
  </si>
  <si>
    <t>Резистор номиналом 46Ом и точностью1%</t>
  </si>
  <si>
    <t>Resistor_51_1_0603</t>
  </si>
  <si>
    <t>Резистор номиналом 51Ом и точностью1%</t>
  </si>
  <si>
    <t>Resistor_56_1_0603</t>
  </si>
  <si>
    <t>Резистор номиналом 56Ом и точностью1%</t>
  </si>
  <si>
    <t>Resistor_62_1_0603</t>
  </si>
  <si>
    <t>Резистор номиналом 62Ом и точностью1%</t>
  </si>
  <si>
    <t>Resistor_68_1_0603</t>
  </si>
  <si>
    <t>Резистор номиналом 68Ом и точностью1%</t>
  </si>
  <si>
    <t>Resistor_75_1_0603</t>
  </si>
  <si>
    <t>Резистор номиналом 75Ом и точностью1%</t>
  </si>
  <si>
    <t>Resistor_83_1_0603</t>
  </si>
  <si>
    <t>Резистор номиналом 83Ом и точностью1%</t>
  </si>
  <si>
    <t>Resistor_91_1_0603</t>
  </si>
  <si>
    <t>Резистор номиналом 91Ом и точностью1%</t>
  </si>
  <si>
    <t>Resistor_100_1_0603</t>
  </si>
  <si>
    <t>Резистор номиналом 100Ом и точностью1%</t>
  </si>
  <si>
    <t>Resistor_110_1_0603</t>
  </si>
  <si>
    <t>Резистор номиналом 110Ом и точностью1%</t>
  </si>
  <si>
    <t>Resistor_120_1_0603</t>
  </si>
  <si>
    <t>Резистор номиналом 120Ом и точностью1%</t>
  </si>
  <si>
    <t>Resistor_130_1_0603</t>
  </si>
  <si>
    <t>Резистор номиналом 130Ом и точностью1%</t>
  </si>
  <si>
    <t>Resistor_150_1_0603</t>
  </si>
  <si>
    <t>Резистор номиналом 150Ом и точностью1%</t>
  </si>
  <si>
    <t>Resistor_160_1_0603</t>
  </si>
  <si>
    <t>Резистор номиналом 160Ом и точностью1%</t>
  </si>
  <si>
    <t>Resistor_180_1_0603</t>
  </si>
  <si>
    <t>Резистор номиналом 180Ом и точностью1%</t>
  </si>
  <si>
    <t>Resistor_200_1_0603</t>
  </si>
  <si>
    <t>Резистор номиналом 200Ом и точностью1%</t>
  </si>
  <si>
    <t>Resistor_220_1_0603</t>
  </si>
  <si>
    <t>Резистор номиналом 220Ом и точностью1%</t>
  </si>
  <si>
    <t>Resistor_240_1_0603</t>
  </si>
  <si>
    <t>Резистор номиналом 240Ом и точностью1%</t>
  </si>
  <si>
    <t>Resistor_260_1_0603</t>
  </si>
  <si>
    <t>Резистор номиналом 260Ом и точностью1%</t>
  </si>
  <si>
    <t>Resistor_290_1_0603</t>
  </si>
  <si>
    <t>Резистор номиналом 290Ом и точностью1%</t>
  </si>
  <si>
    <t>Resistor_320_1_0603</t>
  </si>
  <si>
    <t>Резистор номиналом 320Ом и точностью1%</t>
  </si>
  <si>
    <t>Resistor_350_1_0603</t>
  </si>
  <si>
    <t>Резистор номиналом 350Ом и точностью1%</t>
  </si>
  <si>
    <t>Resistor_380_1_0603</t>
  </si>
  <si>
    <t>Резистор номиналом 380Ом и точностью1%</t>
  </si>
  <si>
    <t>Resistor_420_1_0603</t>
  </si>
  <si>
    <t>Резистор номиналом 420Ом и точностью1%</t>
  </si>
  <si>
    <t>Resistor_460_1_0603</t>
  </si>
  <si>
    <t>Резистор номиналом 460Ом и точностью1%</t>
  </si>
  <si>
    <t>Resistor_510_1_0603</t>
  </si>
  <si>
    <t>Резистор номиналом 510Ом и точностью1%</t>
  </si>
  <si>
    <t>Resistor_560_1_0603</t>
  </si>
  <si>
    <t>Резистор номиналом 560Ом и точностью1%</t>
  </si>
  <si>
    <t>Resistor_620_1_0603</t>
  </si>
  <si>
    <t>Резистор номиналом 620Ом и точностью1%</t>
  </si>
  <si>
    <t>Resistor_680_1_0603</t>
  </si>
  <si>
    <t>Резистор номиналом 680Ом и точностью1%</t>
  </si>
  <si>
    <t>Resistor_750_1_0603</t>
  </si>
  <si>
    <t>Резистор номиналом 750Ом и точностью1%</t>
  </si>
  <si>
    <t>Resistor_830_1_0603</t>
  </si>
  <si>
    <t>Резистор номиналом 830Ом и точностью1%</t>
  </si>
  <si>
    <t>Resistor_910_1_0603</t>
  </si>
  <si>
    <t>Резистор номиналом 910Ом и точностью1%</t>
  </si>
  <si>
    <t>Resistor_1.0k _1_0603</t>
  </si>
  <si>
    <t>Резистор номиналом 1,0 к Ом и точностью1%</t>
  </si>
  <si>
    <t xml:space="preserve">1,0 к </t>
  </si>
  <si>
    <t>Resistor_1.1k_1_0603</t>
  </si>
  <si>
    <t>Резистор номиналом 1,1 кОм и точностью1%</t>
  </si>
  <si>
    <t>1,1 к</t>
  </si>
  <si>
    <t>Resistor_1.2k_1_0603</t>
  </si>
  <si>
    <t>Резистор номиналом 1,2 кОм и точностью1%</t>
  </si>
  <si>
    <t>1,2 к</t>
  </si>
  <si>
    <t>Resistor_1.3k_1_0603</t>
  </si>
  <si>
    <t>Резистор номиналом 1,3 кОм и точностью1%</t>
  </si>
  <si>
    <t>1,3 к</t>
  </si>
  <si>
    <t>Resistor_1.5k_1_0603</t>
  </si>
  <si>
    <t>Резистор номиналом 1,5 кОм и точностью1%</t>
  </si>
  <si>
    <t>1,5 к</t>
  </si>
  <si>
    <t>Resistor_1.6k_1_0603</t>
  </si>
  <si>
    <t>Резистор номиналом 1,6 кОм и точностью1%</t>
  </si>
  <si>
    <t>1,6 к</t>
  </si>
  <si>
    <t>Resistor_1.8k_1_0603</t>
  </si>
  <si>
    <t>Резистор номиналом 1,8 кОм и точностью1%</t>
  </si>
  <si>
    <t>1,8 к</t>
  </si>
  <si>
    <t>Resistor_2k_1_0603</t>
  </si>
  <si>
    <t>Резистор номиналом 2 кОм и точностью1%</t>
  </si>
  <si>
    <t>2 к</t>
  </si>
  <si>
    <t>Resistor_2.2k_1_0603</t>
  </si>
  <si>
    <t>Резистор номиналом 2,2 кОм и точностью1%</t>
  </si>
  <si>
    <t>2,2 к</t>
  </si>
  <si>
    <t>Resistor_2.4k_1_0603</t>
  </si>
  <si>
    <t>Резистор номиналом 2,4 кОм и точностью1%</t>
  </si>
  <si>
    <t>2,4 к</t>
  </si>
  <si>
    <t>Resistor_2.6k_1_0603</t>
  </si>
  <si>
    <t>Резистор номиналом 2,6 кОм и точностью1%</t>
  </si>
  <si>
    <t>2,6 к</t>
  </si>
  <si>
    <t>Resistor_2.9k_1_0603</t>
  </si>
  <si>
    <t>Резистор номиналом 2,9 кОм и точностью1%</t>
  </si>
  <si>
    <t>2,9 к</t>
  </si>
  <si>
    <t>Resistor_3.2k_1_0603</t>
  </si>
  <si>
    <t>Резистор номиналом 3,2 кОм и точностью1%</t>
  </si>
  <si>
    <t>3,2 к</t>
  </si>
  <si>
    <t>Resistor_3.5k_1_0603</t>
  </si>
  <si>
    <t>Резистор номиналом 3,5 кОм и точностью1%</t>
  </si>
  <si>
    <t>3,5 к</t>
  </si>
  <si>
    <t>Resistor_3.8k_1_0603</t>
  </si>
  <si>
    <t>Резистор номиналом 3,8 кОм и точностью1%</t>
  </si>
  <si>
    <t>3,8 к</t>
  </si>
  <si>
    <t>Resistor_4.2k_1_0603</t>
  </si>
  <si>
    <t>Резистор номиналом 4,2 кОм и точностью1%</t>
  </si>
  <si>
    <t>4,2 к</t>
  </si>
  <si>
    <t>Resistor_4.6k_1_0603</t>
  </si>
  <si>
    <t>Резистор номиналом 4,6 кОм и точностью1%</t>
  </si>
  <si>
    <t>4,6 к</t>
  </si>
  <si>
    <t>Resistor_5.1k_1_0603</t>
  </si>
  <si>
    <t>Резистор номиналом 5,1 кОм и точностью1%</t>
  </si>
  <si>
    <t>5,1 к</t>
  </si>
  <si>
    <t>Resistor_5.6k_1_0603</t>
  </si>
  <si>
    <t>Резистор номиналом 5,6 кОм и точностью1%</t>
  </si>
  <si>
    <t>5,6 к</t>
  </si>
  <si>
    <t>Resistor_6.2k_1_0603</t>
  </si>
  <si>
    <t>Резистор номиналом 6,2 кОм и точностью1%</t>
  </si>
  <si>
    <t>6,2 к</t>
  </si>
  <si>
    <t>Resistor_6.8k_1_0603</t>
  </si>
  <si>
    <t>Резистор номиналом 6,8 кОм и точностью1%</t>
  </si>
  <si>
    <t>6,8 к</t>
  </si>
  <si>
    <t>Resistor_7.5k_1_0603</t>
  </si>
  <si>
    <t>Резистор номиналом 7,5 кОм и точностью1%</t>
  </si>
  <si>
    <t>7,5 к</t>
  </si>
  <si>
    <t>Resistor_8.3k_1_0603</t>
  </si>
  <si>
    <t>Резистор номиналом 8,3 кОм и точностью1%</t>
  </si>
  <si>
    <t>8,3 к</t>
  </si>
  <si>
    <t>Resistor_9.1k_1_0603</t>
  </si>
  <si>
    <t>Резистор номиналом 9,1 кОм и точностью1%</t>
  </si>
  <si>
    <t>9,1 к</t>
  </si>
  <si>
    <t>Resistor_10k_1_0603</t>
  </si>
  <si>
    <t>Резистор номиналом 10 кОм и точностью1%</t>
  </si>
  <si>
    <t>10 к</t>
  </si>
  <si>
    <t>Resistor_11k_1_0603</t>
  </si>
  <si>
    <t>Резистор номиналом 11 кОм и точностью1%</t>
  </si>
  <si>
    <t>11 к</t>
  </si>
  <si>
    <t>Resistor_13k_1_0603</t>
  </si>
  <si>
    <t>Резистор номиналом 13 кОм и точностью1%</t>
  </si>
  <si>
    <t>13 к</t>
  </si>
  <si>
    <t>Resistor_15k_1_0603</t>
  </si>
  <si>
    <t>Резистор номиналом 15 кОм и точностью1%</t>
  </si>
  <si>
    <t>15 к</t>
  </si>
  <si>
    <t>Resistor_16k_1_0603</t>
  </si>
  <si>
    <t>Резистор номиналом 16 кОм и точностью1%</t>
  </si>
  <si>
    <t>16 к</t>
  </si>
  <si>
    <t>Resistor_18k_1_0603</t>
  </si>
  <si>
    <t>Резистор номиналом 18 кОм и точностью1%</t>
  </si>
  <si>
    <t>18 к</t>
  </si>
  <si>
    <t>Resistor_20k_1_0603</t>
  </si>
  <si>
    <t>Резистор номиналом 20 кОм и точностью1%</t>
  </si>
  <si>
    <t>20 к</t>
  </si>
  <si>
    <t>Resistor_22k_1_0603</t>
  </si>
  <si>
    <t>Резистор номиналом 22 кОм и точностью1%</t>
  </si>
  <si>
    <t>22 к</t>
  </si>
  <si>
    <t>Resistor_24k_1_0603</t>
  </si>
  <si>
    <t>Резистор номиналом 24 кОм и точностью1%</t>
  </si>
  <si>
    <t>24 к</t>
  </si>
  <si>
    <t>Resistor_26k_1_0603</t>
  </si>
  <si>
    <t>Резистор номиналом 26 кОм и точностью1%</t>
  </si>
  <si>
    <t>26 к</t>
  </si>
  <si>
    <t>Resistor_29k_1_0603</t>
  </si>
  <si>
    <t>Резистор номиналом 29 кОм и точностью1%</t>
  </si>
  <si>
    <t>29 к</t>
  </si>
  <si>
    <t>Resistor_32k_1_0603</t>
  </si>
  <si>
    <t>Резистор номиналом 32 кОм и точностью1%</t>
  </si>
  <si>
    <t>32 к</t>
  </si>
  <si>
    <t>Resistor_35k_1_0603</t>
  </si>
  <si>
    <t>Резистор номиналом 35 кОм и точностью1%</t>
  </si>
  <si>
    <t>35 к</t>
  </si>
  <si>
    <t>Resistor_38k_1_0603</t>
  </si>
  <si>
    <t>Резистор номиналом 38 кОм и точностью1%</t>
  </si>
  <si>
    <t>38 к</t>
  </si>
  <si>
    <t>Resistor_42k_1_0603</t>
  </si>
  <si>
    <t>Резистор номиналом 42 кОм и точностью1%</t>
  </si>
  <si>
    <t>42 к</t>
  </si>
  <si>
    <t>Resistor_46k_1_0603</t>
  </si>
  <si>
    <t>Резистор номиналом 46 кОм и точностью1%</t>
  </si>
  <si>
    <t>46 к</t>
  </si>
  <si>
    <t>Resistor_51k_1_0603</t>
  </si>
  <si>
    <t>Резистор номиналом 51 кОм и точностью1%</t>
  </si>
  <si>
    <t>51 к</t>
  </si>
  <si>
    <t>Resistor_56k_1_0603</t>
  </si>
  <si>
    <t>Резистор номиналом 56 кОм и точностью1%</t>
  </si>
  <si>
    <t>56 к</t>
  </si>
  <si>
    <t>Resistor_62k_1_0603</t>
  </si>
  <si>
    <t>Резистор номиналом 62 кОм и точностью1%</t>
  </si>
  <si>
    <t>62 к</t>
  </si>
  <si>
    <t>Resistor_68k_1_0603</t>
  </si>
  <si>
    <t>Резистор номиналом 68 кОм и точностью1%</t>
  </si>
  <si>
    <t>68 к</t>
  </si>
  <si>
    <t>Resistor_75k_1_0603</t>
  </si>
  <si>
    <t>Резистор номиналом 75 кОм и точностью1%</t>
  </si>
  <si>
    <t>75 к</t>
  </si>
  <si>
    <t>Resistor_83k_1_0603</t>
  </si>
  <si>
    <t>Резистор номиналом 83 кОм и точностью1%</t>
  </si>
  <si>
    <t>83 к</t>
  </si>
  <si>
    <t>Resistor_91k_1_0603</t>
  </si>
  <si>
    <t>Резистор номиналом 91 кОм и точностью1%</t>
  </si>
  <si>
    <t>91 к</t>
  </si>
  <si>
    <t>Resistor_100k_1_0603</t>
  </si>
  <si>
    <t>Резистор номиналом 100 кОм и точностью1%</t>
  </si>
  <si>
    <t>100 к</t>
  </si>
  <si>
    <t>Resistor_110k_1_0603</t>
  </si>
  <si>
    <t>Резистор номиналом 110 кОм и точностью1%</t>
  </si>
  <si>
    <t>110 к</t>
  </si>
  <si>
    <t>Resistor_120k_1_0603</t>
  </si>
  <si>
    <t>Резистор номиналом 120 кОм и точностью1%</t>
  </si>
  <si>
    <t>120 к</t>
  </si>
  <si>
    <t>Resistor_130k_1_0603</t>
  </si>
  <si>
    <t>Резистор номиналом 130 кОм и точностью1%</t>
  </si>
  <si>
    <t>130 к</t>
  </si>
  <si>
    <t>Resistor_150k_1_0603</t>
  </si>
  <si>
    <t>Резистор номиналом 150 кОм и точностью1%</t>
  </si>
  <si>
    <t>150 к</t>
  </si>
  <si>
    <t>Resistor_160k_1_0603</t>
  </si>
  <si>
    <t>Резистор номиналом 160 кОм и точностью1%</t>
  </si>
  <si>
    <t>160 к</t>
  </si>
  <si>
    <t>Resistor_180k_1_0603</t>
  </si>
  <si>
    <t>Резистор номиналом 180 кОм и точностью1%</t>
  </si>
  <si>
    <t>180 к</t>
  </si>
  <si>
    <t>Resistor_200k_1_0603</t>
  </si>
  <si>
    <t>Резистор номиналом 200 кОм и точностью1%</t>
  </si>
  <si>
    <t>200 к</t>
  </si>
  <si>
    <t>Resistor_220k_1_0603</t>
  </si>
  <si>
    <t>Резистор номиналом 220 кОм и точностью1%</t>
  </si>
  <si>
    <t>220 к</t>
  </si>
  <si>
    <t>Resistor_240k_1_0603</t>
  </si>
  <si>
    <t>Резистор номиналом 240 кОм и точностью1%</t>
  </si>
  <si>
    <t>240 к</t>
  </si>
  <si>
    <t>Resistor_260k_1_0603</t>
  </si>
  <si>
    <t>Резистор номиналом 260 кОм и точностью1%</t>
  </si>
  <si>
    <t>260 к</t>
  </si>
  <si>
    <t>Resistor_290k_1_0603</t>
  </si>
  <si>
    <t>Резистор номиналом 290 кОм и точностью1%</t>
  </si>
  <si>
    <t>290 к</t>
  </si>
  <si>
    <t>Resistor_320k_1_0603</t>
  </si>
  <si>
    <t>Резистор номиналом 320 кОм и точностью1%</t>
  </si>
  <si>
    <t>320 к</t>
  </si>
  <si>
    <t>Resistor_350k_1_0603</t>
  </si>
  <si>
    <t>Резистор номиналом 350 кОм и точностью1%</t>
  </si>
  <si>
    <t>350 к</t>
  </si>
  <si>
    <t>Resistor_380k_1_0603</t>
  </si>
  <si>
    <t>Резистор номиналом 380 кОм и точностью1%</t>
  </si>
  <si>
    <t>380 к</t>
  </si>
  <si>
    <t>Resistor_420k_1_0603</t>
  </si>
  <si>
    <t>Резистор номиналом 420 кОм и точностью1%</t>
  </si>
  <si>
    <t>420 к</t>
  </si>
  <si>
    <t>Resistor_460k_1_0603</t>
  </si>
  <si>
    <t>Резистор номиналом 460 кОм и точностью1%</t>
  </si>
  <si>
    <t>460 к</t>
  </si>
  <si>
    <t>Resistor_510k_1_0603</t>
  </si>
  <si>
    <t>Резистор номиналом 510 кОм и точностью1%</t>
  </si>
  <si>
    <t>510 к</t>
  </si>
  <si>
    <t>Resistor_560k_1_0603</t>
  </si>
  <si>
    <t>Резистор номиналом 560 кОм и точностью1%</t>
  </si>
  <si>
    <t>560 к</t>
  </si>
  <si>
    <t>Resistor_620k_1_0603</t>
  </si>
  <si>
    <t>Резистор номиналом 620 кОм и точностью1%</t>
  </si>
  <si>
    <t>620 к</t>
  </si>
  <si>
    <t>Resistor_680k_1_0603</t>
  </si>
  <si>
    <t>Резистор номиналом 680 кОм и точностью1%</t>
  </si>
  <si>
    <t>680 к</t>
  </si>
  <si>
    <t>Resistor_750k_1_0603</t>
  </si>
  <si>
    <t>Резистор номиналом 750 кОм и точностью1%</t>
  </si>
  <si>
    <t>750 к</t>
  </si>
  <si>
    <t>Resistor_830k_1_0603</t>
  </si>
  <si>
    <t>Резистор номиналом 830 кОм и точностью1%</t>
  </si>
  <si>
    <t>830 к</t>
  </si>
  <si>
    <t>Resistor_910k_1_0603</t>
  </si>
  <si>
    <t>Резистор номиналом 910 кОм и точностью1%</t>
  </si>
  <si>
    <t>910 к</t>
  </si>
  <si>
    <t>Resistor_1.0M_1_0603</t>
  </si>
  <si>
    <t>Резистор номиналом 1,0 МОм и точностью1%</t>
  </si>
  <si>
    <t>1,0 М</t>
  </si>
  <si>
    <t>Resistor_1.1M_1_0603</t>
  </si>
  <si>
    <t>Резистор номиналом 1,1 МОм и точностью1%</t>
  </si>
  <si>
    <t>1,1 М</t>
  </si>
  <si>
    <t>Resistor_1.2M_1_0603</t>
  </si>
  <si>
    <t>Резистор номиналом 1,2 МОм и точностью1%</t>
  </si>
  <si>
    <t>1,2 М</t>
  </si>
  <si>
    <t>Resistor_1.3M_1_0603</t>
  </si>
  <si>
    <t>Резистор номиналом 1,3 МОм и точностью1%</t>
  </si>
  <si>
    <t>1,3 М</t>
  </si>
  <si>
    <t>Resistor_1.5M_1_0603</t>
  </si>
  <si>
    <t>Резистор номиналом 1,5 МОм и точностью1%</t>
  </si>
  <si>
    <t>1,5 М</t>
  </si>
  <si>
    <t>Resistor_1.6M_1_0603</t>
  </si>
  <si>
    <t>Резистор номиналом 1,6 МОм и точностью1%</t>
  </si>
  <si>
    <t>1,6 М</t>
  </si>
  <si>
    <t>Resistor_1.8M_1_0603</t>
  </si>
  <si>
    <t>Резистор номиналом 1,8 МОм и точностью1%</t>
  </si>
  <si>
    <t>1,8 М</t>
  </si>
  <si>
    <t>Resistor_2M_1_0603</t>
  </si>
  <si>
    <t>Резистор номиналом 2 МОм и точностью1%</t>
  </si>
  <si>
    <t>2 М</t>
  </si>
  <si>
    <t>Resistor_2.2M_1_0603</t>
  </si>
  <si>
    <t>Резистор номиналом 2,2 МОм и точностью1%</t>
  </si>
  <si>
    <t>2,2 М</t>
  </si>
  <si>
    <t>Resistor_2.4M_1_0603</t>
  </si>
  <si>
    <t>Резистор номиналом 2,4 МОм и точностью1%</t>
  </si>
  <si>
    <t>2,4 М</t>
  </si>
  <si>
    <t>Resistor_2.6M_1_0603</t>
  </si>
  <si>
    <t>Резистор номиналом 2,6 МОм и точностью1%</t>
  </si>
  <si>
    <t>2,6 М</t>
  </si>
  <si>
    <t>Resistor_2.9M_1_0603</t>
  </si>
  <si>
    <t>Резистор номиналом 2,9 МОм и точностью1%</t>
  </si>
  <si>
    <t>2,9 М</t>
  </si>
  <si>
    <t>Resistor_3.2M_1_0603</t>
  </si>
  <si>
    <t>Резистор номиналом 3,2 МОм и точностью1%</t>
  </si>
  <si>
    <t>3,2 М</t>
  </si>
  <si>
    <t>Resistor_3.5M_1_0603</t>
  </si>
  <si>
    <t>Резистор номиналом 3,5 МОм и точностью1%</t>
  </si>
  <si>
    <t>3,5 М</t>
  </si>
  <si>
    <t>Resistor_3.8M_1_0603</t>
  </si>
  <si>
    <t>Резистор номиналом 3,8 МОм и точностью1%</t>
  </si>
  <si>
    <t>3,8 М</t>
  </si>
  <si>
    <t>Resistor_4.2M_1_0603</t>
  </si>
  <si>
    <t>Резистор номиналом 4,2 МОм и точностью1%</t>
  </si>
  <si>
    <t>4,2 М</t>
  </si>
  <si>
    <t>Resistor_4.6M_1_0603</t>
  </si>
  <si>
    <t>Резистор номиналом 4,6 МОм и точностью1%</t>
  </si>
  <si>
    <t>4,6 М</t>
  </si>
  <si>
    <t>Resistor_5.1M_1_0603</t>
  </si>
  <si>
    <t>Резистор номиналом 5,1 МОм и точностью1%</t>
  </si>
  <si>
    <t>5,1 М</t>
  </si>
  <si>
    <t>Resistor_5.6M_1_0603</t>
  </si>
  <si>
    <t>Резистор номиналом 5,6 МОм и точностью1%</t>
  </si>
  <si>
    <t>5,6 М</t>
  </si>
  <si>
    <t>Resistor_6.2M_1_0603</t>
  </si>
  <si>
    <t>Резистор номиналом 6,2 МОм и точностью1%</t>
  </si>
  <si>
    <t>6,2 М</t>
  </si>
  <si>
    <t>Resistor_6.8M_1_0603</t>
  </si>
  <si>
    <t>Резистор номиналом 6,8 МОм и точностью1%</t>
  </si>
  <si>
    <t>6,8 М</t>
  </si>
  <si>
    <t>Resistor_7.5M_1_0603</t>
  </si>
  <si>
    <t>Резистор номиналом 7,5 МОм и точностью1%</t>
  </si>
  <si>
    <t>7,5 М</t>
  </si>
  <si>
    <t>Resistor_8.3M_1_0603</t>
  </si>
  <si>
    <t>Резистор номиналом 8,3 МОм и точностью1%</t>
  </si>
  <si>
    <t>8,3 М</t>
  </si>
  <si>
    <t>Resistor_9.1M_1_0603</t>
  </si>
  <si>
    <t>Резистор номиналом 9,1 МОм и точностью1%</t>
  </si>
  <si>
    <t>9,1 М</t>
  </si>
  <si>
    <t>Resistor_10M_1_0603</t>
  </si>
  <si>
    <t>Резистор номиналом 10 МОм и точностью1%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</si>
  <si>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</si>
  <si>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</si>
  <si>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</si>
  <si>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</si>
  <si>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</si>
  <si>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</si>
  <si>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</si>
  <si>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</si>
  <si>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</si>
  <si>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</si>
  <si>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</si>
  <si>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</si>
  <si>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</si>
  <si>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</si>
  <si>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</si>
  <si>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SMB_DO-214AA</t>
  </si>
  <si>
    <t>18В</t>
  </si>
  <si>
    <t>net_tie</t>
  </si>
  <si>
    <t>net tie запаиваемая перемычка</t>
  </si>
  <si>
    <t>0805net_tie</t>
  </si>
  <si>
    <t>2_PADS</t>
  </si>
  <si>
    <t>2 контактные площадки под пайку толстых проводов</t>
  </si>
  <si>
    <t>CONN-2</t>
  </si>
  <si>
    <t>XT30PW-M</t>
  </si>
  <si>
    <t>30 А (15 продолжительно), 2 контакта разъем</t>
  </si>
  <si>
    <t>another_CWF-3</t>
  </si>
  <si>
    <t>CONN-3</t>
  </si>
  <si>
    <t>anotherCWF-3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</si>
</sst>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0" fillId="0" borderId="0" xfId="0" applyNumberFormat="1"/>
  </cellXfs>
  <cellStyles count="1">
    <cellStyle name="Обычный" xfId="0" builtinId="0"/>
  </cellStyles>
  <dxfs count="70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9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0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1" DataBindingLoadMode="1"/>
  </Map>
  <Map ID="6" Name="TVS" RootElement="TVS" SchemaID="Schema6" ShowImportExportValidationErrors="false" AutoFit="true" Append="false" PreserveSortAFLayout="true" PreserveFormat="true">
    <DataBinding FileBinding="true" ConnectionID="12" DataBindingLoadMode="1"/>
  </Map>
  <Map ID="5" Name="Zener" RootElement="Zener" SchemaID="Schema5" ShowImportExportValidationErrors="false" AutoFit="true" Append="false" PreserveSortAFLayout="true" PreserveFormat="true">
    <DataBinding FileBinding="true" ConnectionID="1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69" connectionId="4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68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0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3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67" connectionId="12">
  <autoFilter ref="A1:K5" xr:uid="{35EAFB53-5120-48E8-B7CF-F527619EF3EB}"/>
  <tableColumns count="11">
    <tableColumn id="1" xr3:uid="{8FF51BCB-1CBC-41C4-B0E3-6994AEB249EF}" uniqueName="PartNumber" name="Part Number" dataDxfId="66">
      <xmlColumnPr mapId="6" xpath="/TVS/Part/PartNumber" xmlDataType="string"/>
    </tableColumn>
    <tableColumn id="2" xr3:uid="{254709FF-71DC-4C18-A11E-3F482A74905F}" uniqueName="Description" name="Description" dataDxfId="6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6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6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62">
      <xmlColumnPr mapId="6" xpath="/TVS/Part/LibraryRef" xmlDataType="string"/>
    </tableColumn>
    <tableColumn id="6" xr3:uid="{C5C7E783-B9B8-469C-B255-FC24F12E71DC}" uniqueName="FootprintPath1" name="Footprint Path 1" dataDxfId="6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60">
      <xmlColumnPr mapId="6" xpath="/TVS/Part/FootprintRef1" xmlDataType="string"/>
    </tableColumn>
    <tableColumn id="8" xr3:uid="{16B3AEE3-BEA7-4870-9494-F8A0EC5E9CCD}" uniqueName="VoltageNominal" name="Voltage nominal (V)" dataDxfId="59">
      <xmlColumnPr mapId="6" xpath="/TVS/Part/VoltageNominal" xmlDataType="string"/>
    </tableColumn>
    <tableColumn id="9" xr3:uid="{7DDE345A-D145-4A55-B781-91F88095B1FE}" uniqueName="Power" name="Power (W)" dataDxfId="58">
      <xmlColumnPr mapId="6" xpath="/TVS/Part/Power" xmlDataType="string"/>
    </tableColumn>
    <tableColumn id="10" xr3:uid="{EBB777BC-3BC6-4EF4-AC63-F94C7CFCFC0E}" uniqueName="Value" name="Value" dataDxfId="5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56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55" connectionId="11">
  <autoFilter ref="A1:I6" xr:uid="{11DAD5D3-6841-4BFD-8583-65DE6E00D680}"/>
  <tableColumns count="9">
    <tableColumn id="1" xr3:uid="{59488B22-9EFD-4960-9418-72616CC8F6CC}" uniqueName="PartNumber" name="Part Number" dataDxfId="54">
      <xmlColumnPr mapId="8" xpath="/Transistors/Part/PartNumber" xmlDataType="string"/>
    </tableColumn>
    <tableColumn id="2" xr3:uid="{B6051881-2BC5-4D5F-9AEE-A86DF4412A4C}" uniqueName="Description" name="Description" dataDxfId="53">
      <xmlColumnPr mapId="8" xpath="/Transistors/Part/Description" xmlDataType="string"/>
    </tableColumn>
    <tableColumn id="3" xr3:uid="{377CEA9C-B3A1-4F57-920A-BA1AC9164370}" uniqueName="Comment" name="Comment" dataDxfId="5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51">
      <xmlColumnPr mapId="8" xpath="/Transistors/Part/LibraryPath" xmlDataType="string"/>
    </tableColumn>
    <tableColumn id="5" xr3:uid="{02693066-D721-4B47-BEE5-D678B96A10FB}" uniqueName="LibraryRef" name="Library Ref" dataDxfId="5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4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48" dataDxfId="47" connectionId="9">
  <autoFilter ref="A1:I170" xr:uid="{02061886-A591-4FD8-8C5B-3D1D2DB1F417}"/>
  <tableColumns count="9">
    <tableColumn id="1" xr3:uid="{1DE1C76C-B7F9-47FB-9EB0-156A2D87FD9E}" uniqueName="PartNumber" name="Part Number" dataDxfId="46">
      <xmlColumnPr mapId="38" xpath="/Resistors/Part/PartNumber" xmlDataType="string"/>
    </tableColumn>
    <tableColumn id="2" xr3:uid="{64E60790-EB9B-4A0D-B52C-7CB5A6F82DE8}" uniqueName="Description" name="Description" dataDxfId="45">
      <xmlColumnPr mapId="38" xpath="/Resistors/Part/Description" xmlDataType="string"/>
    </tableColumn>
    <tableColumn id="3" xr3:uid="{497E7478-3EE2-4F8D-A572-C738B7321387}" uniqueName="Comment" name="Comment" dataDxfId="44">
      <xmlColumnPr mapId="38" xpath="/Resistors/Part/Comment" xmlDataType="string"/>
    </tableColumn>
    <tableColumn id="4" xr3:uid="{255B034D-70D9-458C-8FA7-FEB8317A497F}" uniqueName="LibraryPath" name="Library Path" dataDxfId="43">
      <xmlColumnPr mapId="38" xpath="/Resistors/Part/LibraryPath" xmlDataType="string"/>
    </tableColumn>
    <tableColumn id="5" xr3:uid="{A3865419-9EA5-4AAA-B07F-FF52D437DC02}" uniqueName="LibraryRef" name="Library Ref" dataDxfId="42">
      <xmlColumnPr mapId="38" xpath="/Resistors/Part/LibraryRef" xmlDataType="string"/>
    </tableColumn>
    <tableColumn id="6" xr3:uid="{CE64E0F7-2F9E-477F-8D1B-040D90CB5685}" uniqueName="Value" name="Value" dataDxfId="41">
      <xmlColumnPr mapId="38" xpath="/Resistors/Part/Value" xmlDataType="string"/>
    </tableColumn>
    <tableColumn id="7" xr3:uid="{41F7703B-5A2D-47F6-B9C9-B9D386FC3CF8}" uniqueName="Tolerance" name="Tolerance" dataDxfId="40">
      <xmlColumnPr mapId="38" xpath="/Resistors/Part/Tolerance" xmlDataType="double"/>
    </tableColumn>
    <tableColumn id="8" xr3:uid="{429E7452-DB30-417B-B5E7-8F2AA238A5A4}" uniqueName="FootprintPath1" name="Footprint Path 1" dataDxfId="39">
      <xmlColumnPr mapId="38" xpath="/Resistors/Part/FootprintPath1" xmlDataType="string"/>
    </tableColumn>
    <tableColumn id="9" xr3:uid="{298A4272-57F5-45C2-AFCD-965909B2DD40}" uniqueName="FootprintRef1" name="Footprint Ref 1" dataDxfId="38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37" dataDxfId="36" connectionId="1">
  <autoFilter ref="A1:T3" xr:uid="{1041C5C1-00FD-47DC-8B7C-9DEBE212D9D4}"/>
  <tableColumns count="20">
    <tableColumn id="1" xr3:uid="{55BDD111-6381-449E-BF2B-3FEC8107762D}" uniqueName="PartNumber" name="Part Number" dataDxfId="35">
      <xmlColumnPr mapId="18" xpath="/Capacitors/Part/PartNumber" xmlDataType="string"/>
    </tableColumn>
    <tableColumn id="2" xr3:uid="{0D3E1F2C-B0CC-4A36-A41B-2F2DAEC98E3B}" uniqueName="Description" name="Description" dataDxfId="34">
      <xmlColumnPr mapId="18" xpath="/Capacitors/Part/Description" xmlDataType="string"/>
    </tableColumn>
    <tableColumn id="3" xr3:uid="{16739D52-8082-4E8D-B1E1-B82F60766E2A}" uniqueName="Comment" name="Comment" dataDxfId="33">
      <xmlColumnPr mapId="18" xpath="/Capacitors/Part/Comment" xmlDataType="string"/>
    </tableColumn>
    <tableColumn id="4" xr3:uid="{AC1F3F2E-0C78-451D-9178-0A9D15C49726}" uniqueName="LibraryPath" name="Library Path" dataDxfId="32">
      <xmlColumnPr mapId="18" xpath="/Capacitors/Part/LibraryPath" xmlDataType="string"/>
    </tableColumn>
    <tableColumn id="5" xr3:uid="{9169ABA3-E41E-40E0-B785-3D3B749D70BB}" uniqueName="LibraryRef" name="Library Ref" dataDxfId="31">
      <xmlColumnPr mapId="18" xpath="/Capacitors/Part/LibraryRef" xmlDataType="string"/>
    </tableColumn>
    <tableColumn id="6" xr3:uid="{01EADD2D-36E6-41EE-B894-B537CCE6649E}" uniqueName="Value" name="Value" dataDxfId="30">
      <xmlColumnPr mapId="18" xpath="/Capacitors/Part/Value" xmlDataType="string"/>
    </tableColumn>
    <tableColumn id="7" xr3:uid="{EC779EF2-47DD-4E8F-A8D2-159E83C79180}" uniqueName="FootprintPath1" name="Footprint Path 1" dataDxfId="29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28">
      <xmlColumnPr mapId="18" xpath="/Capacitors/Part/FootprintRef1" xmlDataType="string"/>
    </tableColumn>
    <tableColumn id="9" xr3:uid="{85136BD9-A68F-40E0-9A6F-E71ECA929F04}" uniqueName="FootprintPath2" name="Footprint Path 2" dataDxfId="27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26">
      <xmlColumnPr mapId="18" xpath="/Capacitors/Part/FootprintRef2" xmlDataType="string"/>
    </tableColumn>
    <tableColumn id="11" xr3:uid="{50FA7750-FC9E-444C-8D52-C6B51BBD63C1}" uniqueName="FootprintPath3" name="Footprint Path 3" dataDxfId="25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24">
      <xmlColumnPr mapId="18" xpath="/Capacitors/Part/FootprintRef3" xmlDataType="string"/>
    </tableColumn>
    <tableColumn id="13" xr3:uid="{6B23463C-82AA-426D-ACBC-49A19C1D46FA}" uniqueName="FootprintPath4" name="Footprint Path 4" dataDxfId="23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22">
      <xmlColumnPr mapId="18" xpath="/Capacitors/Part/FootprintRef4" xmlDataType="string"/>
    </tableColumn>
    <tableColumn id="15" xr3:uid="{FD0F620C-73A8-49FB-B6E9-F06F81ED3185}" uniqueName="FootprintPath5" name="Footprint Path 5" dataDxfId="21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20">
      <xmlColumnPr mapId="18" xpath="/Capacitors/Part/FootprintRef5" xmlDataType="string"/>
    </tableColumn>
    <tableColumn id="17" xr3:uid="{130B1CD3-35EC-447E-93DF-ED8F8DC7A59A}" uniqueName="FootprintPath6" name="Footprint Path 6" dataDxfId="19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18">
      <xmlColumnPr mapId="18" xpath="/Capacitors/Part/FootprintRef6" xmlDataType="string"/>
    </tableColumn>
    <tableColumn id="19" xr3:uid="{6809872D-01AC-4EF6-B33F-6B8DA2D054C9}" uniqueName="FootprintPath7" name="Footprint Path 7" dataDxfId="17">
      <xmlColumnPr mapId="18" xpath="/Capacitors/Part/FootprintPath7" xmlDataType="string"/>
    </tableColumn>
    <tableColumn id="20" xr3:uid="{352E5BAE-89D3-4F1C-AA92-CDC22EDD2B11}" uniqueName="FootprintRef7" name="Footprint Ref 7" dataDxfId="16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15" connectionId="6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7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10" tableType="xml" totalsRowShown="0" headerRowDxfId="3" connectionId="5">
  <autoFilter ref="A1:G10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tabSelected="1" workbookViewId="0">
      <selection activeCell="C17" sqref="C17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91</v>
      </c>
    </row>
    <row r="6" spans="1:20" x14ac:dyDescent="0.3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 t="shared" si="3"/>
        <v>Footprints\SOP-16.PcbLib</v>
      </c>
      <c r="G8" t="s">
        <v>99</v>
      </c>
    </row>
    <row r="9" spans="1:20" x14ac:dyDescent="0.3">
      <c r="A9" t="s">
        <v>100</v>
      </c>
      <c r="B9" t="s">
        <v>101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102</v>
      </c>
    </row>
    <row r="10" spans="1:20" x14ac:dyDescent="0.3">
      <c r="A10" t="s">
        <v>103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  <row r="11" spans="1:20" x14ac:dyDescent="0.3">
      <c r="A11" t="s">
        <v>595</v>
      </c>
      <c r="B11" t="s">
        <v>596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597</v>
      </c>
    </row>
    <row r="12" spans="1:20" x14ac:dyDescent="0.3">
      <c r="A12" t="s">
        <v>598</v>
      </c>
      <c r="B12" t="s">
        <v>599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600</v>
      </c>
    </row>
    <row r="13" spans="1:20" x14ac:dyDescent="0.3">
      <c r="A13" t="s">
        <v>601</v>
      </c>
      <c r="B13" t="s">
        <v>602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603</v>
      </c>
    </row>
    <row r="14" spans="1:20" x14ac:dyDescent="0.3">
      <c r="A14" t="s">
        <v>604</v>
      </c>
      <c r="B14" t="s">
        <v>605</v>
      </c>
      <c r="C14" s="2" t="s">
        <v>604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606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2"/>
  <sheetViews>
    <sheetView workbookViewId="0">
      <selection activeCell="I5" sqref="I5"/>
    </sheetView>
  </sheetViews>
  <sheetFormatPr defaultRowHeight="14.4" x14ac:dyDescent="0.3"/>
  <cols>
    <col min="1" max="1" width="13.6640625" customWidth="1"/>
    <col min="2" max="2" width="12.33203125" customWidth="1"/>
    <col min="3" max="3" width="11.21875" customWidth="1"/>
    <col min="4" max="4" width="13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2.21875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4" x14ac:dyDescent="0.3"/>
  <cols>
    <col min="1" max="1" width="14.77734375" customWidth="1"/>
    <col min="2" max="2" width="45.88671875" customWidth="1"/>
    <col min="3" max="3" width="11.21875" customWidth="1"/>
    <col min="4" max="4" width="13" customWidth="1"/>
    <col min="5" max="5" width="11.88671875" customWidth="1"/>
    <col min="6" max="6" width="23.5546875" customWidth="1"/>
    <col min="7" max="7" width="15.33203125" customWidth="1"/>
    <col min="8" max="8" width="19.6640625" customWidth="1"/>
    <col min="9" max="9" width="21.21875" customWidth="1"/>
    <col min="10" max="10" width="11.77734375" customWidth="1"/>
    <col min="11" max="11" width="8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.05" customHeight="1" x14ac:dyDescent="0.3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topLeftCell="E1" workbookViewId="0">
      <selection activeCell="A11" sqref="A11"/>
    </sheetView>
  </sheetViews>
  <sheetFormatPr defaultRowHeight="14.4" x14ac:dyDescent="0.3"/>
  <cols>
    <col min="1" max="1" width="20.33203125" customWidth="1"/>
    <col min="2" max="2" width="24.777343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">
      <c r="A4" t="s">
        <v>132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133</v>
      </c>
      <c r="H4">
        <v>12</v>
      </c>
      <c r="I4">
        <v>400</v>
      </c>
      <c r="J4" t="str">
        <f t="shared" si="0"/>
        <v>12 В</v>
      </c>
    </row>
    <row r="5" spans="1:11" x14ac:dyDescent="0.3">
      <c r="A5" s="6" t="s">
        <v>607</v>
      </c>
      <c r="B5" s="6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s="6" t="str">
        <f>A5</f>
        <v>SMBJ18A</v>
      </c>
      <c r="D5" s="6" t="str">
        <f>CONCATENATE("Schematic\TVS\",E5,".SchLib")</f>
        <v>Schematic\TVS\TVS_1_1dir.SchLib</v>
      </c>
      <c r="E5" s="6" t="s">
        <v>81</v>
      </c>
      <c r="F5" s="6" t="str">
        <f>CONCATENATE("Footprints\",G5,".PcbLib")</f>
        <v>Footprints\SMB_DO-214AA.PcbLib</v>
      </c>
      <c r="G5" s="6" t="s">
        <v>608</v>
      </c>
      <c r="H5" s="6">
        <v>18</v>
      </c>
      <c r="I5" s="6">
        <v>600</v>
      </c>
      <c r="J5" s="6" t="s">
        <v>609</v>
      </c>
      <c r="K5" s="6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0.441406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0"/>
  <sheetViews>
    <sheetView topLeftCell="A88" workbookViewId="0">
      <selection activeCell="G3" sqref="G3"/>
    </sheetView>
  </sheetViews>
  <sheetFormatPr defaultRowHeight="14.4" x14ac:dyDescent="0.3"/>
  <cols>
    <col min="1" max="1" width="25.2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21875" bestFit="1" customWidth="1"/>
    <col min="7" max="7" width="18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594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6" x14ac:dyDescent="0.3">
      <c r="A2" s="3" t="s">
        <v>136</v>
      </c>
      <c r="B2" s="3" t="s">
        <v>137</v>
      </c>
      <c r="C2" s="3" t="s">
        <v>26</v>
      </c>
      <c r="D2" s="3" t="s">
        <v>29</v>
      </c>
      <c r="E2" s="3" t="s">
        <v>26</v>
      </c>
      <c r="F2" s="3" t="s">
        <v>138</v>
      </c>
      <c r="G2" s="5" t="s">
        <v>139</v>
      </c>
      <c r="H2" s="3" t="s">
        <v>140</v>
      </c>
      <c r="I2" s="3" t="s">
        <v>32</v>
      </c>
    </row>
    <row r="3" spans="1:15" ht="15.6" x14ac:dyDescent="0.3">
      <c r="A3" s="3" t="s">
        <v>141</v>
      </c>
      <c r="B3" s="3" t="s">
        <v>142</v>
      </c>
      <c r="C3" s="3" t="s">
        <v>26</v>
      </c>
      <c r="D3" s="3" t="s">
        <v>29</v>
      </c>
      <c r="E3" s="3" t="s">
        <v>26</v>
      </c>
      <c r="F3" s="3" t="s">
        <v>143</v>
      </c>
      <c r="G3" s="4">
        <v>0.01</v>
      </c>
      <c r="H3" s="3" t="s">
        <v>140</v>
      </c>
      <c r="I3" s="3" t="s">
        <v>32</v>
      </c>
    </row>
    <row r="4" spans="1:15" ht="15.6" x14ac:dyDescent="0.3">
      <c r="A4" s="3" t="s">
        <v>144</v>
      </c>
      <c r="B4" s="3" t="s">
        <v>145</v>
      </c>
      <c r="C4" s="3" t="s">
        <v>26</v>
      </c>
      <c r="D4" s="3" t="s">
        <v>29</v>
      </c>
      <c r="E4" s="3" t="s">
        <v>26</v>
      </c>
      <c r="F4" s="3" t="s">
        <v>146</v>
      </c>
      <c r="G4" s="4">
        <v>0.01</v>
      </c>
      <c r="H4" s="3" t="s">
        <v>140</v>
      </c>
      <c r="I4" s="3" t="s">
        <v>32</v>
      </c>
    </row>
    <row r="5" spans="1:15" ht="15.6" x14ac:dyDescent="0.3">
      <c r="A5" s="3" t="s">
        <v>147</v>
      </c>
      <c r="B5" s="3" t="s">
        <v>148</v>
      </c>
      <c r="C5" s="3" t="s">
        <v>26</v>
      </c>
      <c r="D5" s="3" t="s">
        <v>29</v>
      </c>
      <c r="E5" s="3" t="s">
        <v>26</v>
      </c>
      <c r="F5" s="3" t="s">
        <v>149</v>
      </c>
      <c r="G5" s="4">
        <v>0.01</v>
      </c>
      <c r="H5" s="3" t="s">
        <v>140</v>
      </c>
      <c r="I5" s="3" t="s">
        <v>32</v>
      </c>
    </row>
    <row r="6" spans="1:15" ht="15.6" x14ac:dyDescent="0.3">
      <c r="A6" s="3" t="s">
        <v>150</v>
      </c>
      <c r="B6" s="3" t="s">
        <v>151</v>
      </c>
      <c r="C6" s="3" t="s">
        <v>26</v>
      </c>
      <c r="D6" s="3" t="s">
        <v>29</v>
      </c>
      <c r="E6" s="3" t="s">
        <v>26</v>
      </c>
      <c r="F6" s="3" t="s">
        <v>152</v>
      </c>
      <c r="G6" s="4">
        <v>0.01</v>
      </c>
      <c r="H6" s="3" t="s">
        <v>140</v>
      </c>
      <c r="I6" s="3" t="s">
        <v>32</v>
      </c>
    </row>
    <row r="7" spans="1:15" ht="15.6" x14ac:dyDescent="0.3">
      <c r="A7" s="3" t="s">
        <v>153</v>
      </c>
      <c r="B7" s="3" t="s">
        <v>154</v>
      </c>
      <c r="C7" s="3" t="s">
        <v>26</v>
      </c>
      <c r="D7" s="3" t="s">
        <v>29</v>
      </c>
      <c r="E7" s="3" t="s">
        <v>26</v>
      </c>
      <c r="F7" s="3" t="s">
        <v>155</v>
      </c>
      <c r="G7" s="4">
        <v>0.01</v>
      </c>
      <c r="H7" s="3" t="s">
        <v>140</v>
      </c>
      <c r="I7" s="3" t="s">
        <v>32</v>
      </c>
    </row>
    <row r="8" spans="1:15" ht="15.6" x14ac:dyDescent="0.3">
      <c r="A8" s="3" t="s">
        <v>156</v>
      </c>
      <c r="B8" s="3" t="s">
        <v>157</v>
      </c>
      <c r="C8" s="3" t="s">
        <v>26</v>
      </c>
      <c r="D8" s="3" t="s">
        <v>29</v>
      </c>
      <c r="E8" s="3" t="s">
        <v>26</v>
      </c>
      <c r="F8" s="3" t="s">
        <v>158</v>
      </c>
      <c r="G8" s="4">
        <v>0.01</v>
      </c>
      <c r="H8" s="3" t="s">
        <v>140</v>
      </c>
      <c r="I8" s="3" t="s">
        <v>32</v>
      </c>
    </row>
    <row r="9" spans="1:15" ht="15.6" x14ac:dyDescent="0.3">
      <c r="A9" s="3" t="s">
        <v>159</v>
      </c>
      <c r="B9" s="3" t="s">
        <v>160</v>
      </c>
      <c r="C9" s="3" t="s">
        <v>26</v>
      </c>
      <c r="D9" s="3" t="s">
        <v>29</v>
      </c>
      <c r="E9" s="3" t="s">
        <v>26</v>
      </c>
      <c r="F9" s="3" t="s">
        <v>161</v>
      </c>
      <c r="G9" s="4">
        <v>0.01</v>
      </c>
      <c r="H9" s="3" t="s">
        <v>140</v>
      </c>
      <c r="I9" s="3" t="s">
        <v>32</v>
      </c>
    </row>
    <row r="10" spans="1:15" ht="15.6" x14ac:dyDescent="0.3">
      <c r="A10" s="3" t="s">
        <v>162</v>
      </c>
      <c r="B10" s="3" t="s">
        <v>163</v>
      </c>
      <c r="C10" s="3" t="s">
        <v>26</v>
      </c>
      <c r="D10" s="3" t="s">
        <v>29</v>
      </c>
      <c r="E10" s="3" t="s">
        <v>26</v>
      </c>
      <c r="F10" s="3" t="s">
        <v>164</v>
      </c>
      <c r="G10" s="4">
        <v>0.01</v>
      </c>
      <c r="H10" s="3" t="s">
        <v>140</v>
      </c>
      <c r="I10" s="3" t="s">
        <v>32</v>
      </c>
    </row>
    <row r="11" spans="1:15" ht="15.6" x14ac:dyDescent="0.3">
      <c r="A11" s="3" t="s">
        <v>165</v>
      </c>
      <c r="B11" s="3" t="s">
        <v>166</v>
      </c>
      <c r="C11" s="3" t="s">
        <v>26</v>
      </c>
      <c r="D11" s="3" t="s">
        <v>29</v>
      </c>
      <c r="E11" s="3" t="s">
        <v>26</v>
      </c>
      <c r="F11" s="3" t="s">
        <v>167</v>
      </c>
      <c r="G11" s="4">
        <v>0.01</v>
      </c>
      <c r="H11" s="3" t="s">
        <v>140</v>
      </c>
      <c r="I11" s="3" t="s">
        <v>32</v>
      </c>
    </row>
    <row r="12" spans="1:15" ht="15.6" x14ac:dyDescent="0.3">
      <c r="A12" s="3" t="s">
        <v>168</v>
      </c>
      <c r="B12" s="3" t="s">
        <v>169</v>
      </c>
      <c r="C12" s="3" t="s">
        <v>26</v>
      </c>
      <c r="D12" s="3" t="s">
        <v>29</v>
      </c>
      <c r="E12" s="3" t="s">
        <v>26</v>
      </c>
      <c r="F12" s="3" t="s">
        <v>170</v>
      </c>
      <c r="G12" s="4">
        <v>0.01</v>
      </c>
      <c r="H12" s="3" t="s">
        <v>140</v>
      </c>
      <c r="I12" s="3" t="s">
        <v>32</v>
      </c>
    </row>
    <row r="13" spans="1:15" ht="15.6" x14ac:dyDescent="0.3">
      <c r="A13" s="3" t="s">
        <v>171</v>
      </c>
      <c r="B13" s="3" t="s">
        <v>172</v>
      </c>
      <c r="C13" s="3" t="s">
        <v>26</v>
      </c>
      <c r="D13" s="3" t="s">
        <v>29</v>
      </c>
      <c r="E13" s="3" t="s">
        <v>26</v>
      </c>
      <c r="F13" s="3" t="s">
        <v>173</v>
      </c>
      <c r="G13" s="4">
        <v>0.01</v>
      </c>
      <c r="H13" s="3" t="s">
        <v>140</v>
      </c>
      <c r="I13" s="3" t="s">
        <v>32</v>
      </c>
    </row>
    <row r="14" spans="1:15" ht="15.6" x14ac:dyDescent="0.3">
      <c r="A14" s="3" t="s">
        <v>174</v>
      </c>
      <c r="B14" s="3" t="s">
        <v>175</v>
      </c>
      <c r="C14" s="3" t="s">
        <v>26</v>
      </c>
      <c r="D14" s="3" t="s">
        <v>29</v>
      </c>
      <c r="E14" s="3" t="s">
        <v>26</v>
      </c>
      <c r="F14" s="3" t="s">
        <v>176</v>
      </c>
      <c r="G14" s="4">
        <v>0.01</v>
      </c>
      <c r="H14" s="3" t="s">
        <v>140</v>
      </c>
      <c r="I14" s="3" t="s">
        <v>32</v>
      </c>
    </row>
    <row r="15" spans="1:15" ht="15.6" x14ac:dyDescent="0.3">
      <c r="A15" s="3" t="s">
        <v>177</v>
      </c>
      <c r="B15" s="3" t="s">
        <v>178</v>
      </c>
      <c r="C15" s="3" t="s">
        <v>26</v>
      </c>
      <c r="D15" s="3" t="s">
        <v>29</v>
      </c>
      <c r="E15" s="3" t="s">
        <v>26</v>
      </c>
      <c r="F15" s="3" t="s">
        <v>179</v>
      </c>
      <c r="G15" s="4">
        <v>0.01</v>
      </c>
      <c r="H15" s="3" t="s">
        <v>140</v>
      </c>
      <c r="I15" s="3" t="s">
        <v>32</v>
      </c>
    </row>
    <row r="16" spans="1:15" ht="15.6" x14ac:dyDescent="0.3">
      <c r="A16" s="3" t="s">
        <v>180</v>
      </c>
      <c r="B16" s="3" t="s">
        <v>181</v>
      </c>
      <c r="C16" s="3" t="s">
        <v>26</v>
      </c>
      <c r="D16" s="3" t="s">
        <v>29</v>
      </c>
      <c r="E16" s="3" t="s">
        <v>26</v>
      </c>
      <c r="F16" s="3" t="s">
        <v>182</v>
      </c>
      <c r="G16" s="4">
        <v>0.01</v>
      </c>
      <c r="H16" s="3" t="s">
        <v>140</v>
      </c>
      <c r="I16" s="3" t="s">
        <v>32</v>
      </c>
    </row>
    <row r="17" spans="1:9" ht="15.6" x14ac:dyDescent="0.3">
      <c r="A17" s="3" t="s">
        <v>183</v>
      </c>
      <c r="B17" s="3" t="s">
        <v>184</v>
      </c>
      <c r="C17" s="3" t="s">
        <v>26</v>
      </c>
      <c r="D17" s="3" t="s">
        <v>29</v>
      </c>
      <c r="E17" s="3" t="s">
        <v>26</v>
      </c>
      <c r="F17" s="3" t="s">
        <v>185</v>
      </c>
      <c r="G17" s="4">
        <v>0.01</v>
      </c>
      <c r="H17" s="3" t="s">
        <v>140</v>
      </c>
      <c r="I17" s="3" t="s">
        <v>32</v>
      </c>
    </row>
    <row r="18" spans="1:9" ht="15.6" x14ac:dyDescent="0.3">
      <c r="A18" s="3" t="s">
        <v>186</v>
      </c>
      <c r="B18" s="3" t="s">
        <v>187</v>
      </c>
      <c r="C18" s="3" t="s">
        <v>26</v>
      </c>
      <c r="D18" s="3" t="s">
        <v>29</v>
      </c>
      <c r="E18" s="3" t="s">
        <v>26</v>
      </c>
      <c r="F18" s="3" t="s">
        <v>188</v>
      </c>
      <c r="G18" s="4">
        <v>0.01</v>
      </c>
      <c r="H18" s="3" t="s">
        <v>140</v>
      </c>
      <c r="I18" s="3" t="s">
        <v>32</v>
      </c>
    </row>
    <row r="19" spans="1:9" ht="15.6" x14ac:dyDescent="0.3">
      <c r="A19" s="3" t="s">
        <v>189</v>
      </c>
      <c r="B19" s="3" t="s">
        <v>190</v>
      </c>
      <c r="C19" s="3" t="s">
        <v>26</v>
      </c>
      <c r="D19" s="3" t="s">
        <v>29</v>
      </c>
      <c r="E19" s="3" t="s">
        <v>26</v>
      </c>
      <c r="F19" s="3" t="s">
        <v>191</v>
      </c>
      <c r="G19" s="4">
        <v>0.01</v>
      </c>
      <c r="H19" s="3" t="s">
        <v>140</v>
      </c>
      <c r="I19" s="3" t="s">
        <v>32</v>
      </c>
    </row>
    <row r="20" spans="1:9" ht="15.6" x14ac:dyDescent="0.3">
      <c r="A20" s="3" t="s">
        <v>192</v>
      </c>
      <c r="B20" s="3" t="s">
        <v>193</v>
      </c>
      <c r="C20" s="3" t="s">
        <v>26</v>
      </c>
      <c r="D20" s="3" t="s">
        <v>29</v>
      </c>
      <c r="E20" s="3" t="s">
        <v>26</v>
      </c>
      <c r="F20" s="3" t="s">
        <v>194</v>
      </c>
      <c r="G20" s="4">
        <v>0.01</v>
      </c>
      <c r="H20" s="3" t="s">
        <v>140</v>
      </c>
      <c r="I20" s="3" t="s">
        <v>32</v>
      </c>
    </row>
    <row r="21" spans="1:9" ht="15.6" x14ac:dyDescent="0.3">
      <c r="A21" s="3" t="s">
        <v>195</v>
      </c>
      <c r="B21" s="3" t="s">
        <v>196</v>
      </c>
      <c r="C21" s="3" t="s">
        <v>26</v>
      </c>
      <c r="D21" s="3" t="s">
        <v>29</v>
      </c>
      <c r="E21" s="3" t="s">
        <v>26</v>
      </c>
      <c r="F21" s="3" t="s">
        <v>197</v>
      </c>
      <c r="G21" s="4">
        <v>0.01</v>
      </c>
      <c r="H21" s="3" t="s">
        <v>140</v>
      </c>
      <c r="I21" s="3" t="s">
        <v>32</v>
      </c>
    </row>
    <row r="22" spans="1:9" ht="15.6" x14ac:dyDescent="0.3">
      <c r="A22" s="3" t="s">
        <v>198</v>
      </c>
      <c r="B22" s="3" t="s">
        <v>199</v>
      </c>
      <c r="C22" s="3" t="s">
        <v>26</v>
      </c>
      <c r="D22" s="3" t="s">
        <v>29</v>
      </c>
      <c r="E22" s="3" t="s">
        <v>26</v>
      </c>
      <c r="F22" s="3" t="s">
        <v>200</v>
      </c>
      <c r="G22" s="4">
        <v>0.01</v>
      </c>
      <c r="H22" s="3" t="s">
        <v>140</v>
      </c>
      <c r="I22" s="3" t="s">
        <v>32</v>
      </c>
    </row>
    <row r="23" spans="1:9" ht="15.6" x14ac:dyDescent="0.3">
      <c r="A23" s="3" t="s">
        <v>201</v>
      </c>
      <c r="B23" s="3" t="s">
        <v>202</v>
      </c>
      <c r="C23" s="3" t="s">
        <v>26</v>
      </c>
      <c r="D23" s="3" t="s">
        <v>29</v>
      </c>
      <c r="E23" s="3" t="s">
        <v>26</v>
      </c>
      <c r="F23" s="3" t="s">
        <v>203</v>
      </c>
      <c r="G23" s="4">
        <v>0.01</v>
      </c>
      <c r="H23" s="3" t="s">
        <v>140</v>
      </c>
      <c r="I23" s="3" t="s">
        <v>32</v>
      </c>
    </row>
    <row r="24" spans="1:9" ht="15.6" x14ac:dyDescent="0.3">
      <c r="A24" s="3" t="s">
        <v>204</v>
      </c>
      <c r="B24" s="3" t="s">
        <v>205</v>
      </c>
      <c r="C24" s="3" t="s">
        <v>26</v>
      </c>
      <c r="D24" s="3" t="s">
        <v>29</v>
      </c>
      <c r="E24" s="3" t="s">
        <v>26</v>
      </c>
      <c r="F24" s="3" t="s">
        <v>206</v>
      </c>
      <c r="G24" s="4">
        <v>0.01</v>
      </c>
      <c r="H24" s="3" t="s">
        <v>140</v>
      </c>
      <c r="I24" s="3" t="s">
        <v>32</v>
      </c>
    </row>
    <row r="25" spans="1:9" ht="15.6" x14ac:dyDescent="0.3">
      <c r="A25" s="3" t="s">
        <v>207</v>
      </c>
      <c r="B25" s="3" t="s">
        <v>208</v>
      </c>
      <c r="C25" s="3" t="s">
        <v>26</v>
      </c>
      <c r="D25" s="3" t="s">
        <v>29</v>
      </c>
      <c r="E25" s="3" t="s">
        <v>26</v>
      </c>
      <c r="F25" s="3" t="s">
        <v>209</v>
      </c>
      <c r="G25" s="4">
        <v>0.01</v>
      </c>
      <c r="H25" s="3" t="s">
        <v>140</v>
      </c>
      <c r="I25" s="3" t="s">
        <v>32</v>
      </c>
    </row>
    <row r="26" spans="1:9" ht="15.6" x14ac:dyDescent="0.3">
      <c r="A26" s="3" t="s">
        <v>210</v>
      </c>
      <c r="B26" s="3" t="s">
        <v>211</v>
      </c>
      <c r="C26" s="3" t="s">
        <v>26</v>
      </c>
      <c r="D26" s="3" t="s">
        <v>29</v>
      </c>
      <c r="E26" s="3" t="s">
        <v>26</v>
      </c>
      <c r="F26" s="3">
        <v>10</v>
      </c>
      <c r="G26" s="4">
        <v>0.01</v>
      </c>
      <c r="H26" s="3" t="s">
        <v>140</v>
      </c>
      <c r="I26" s="3" t="s">
        <v>32</v>
      </c>
    </row>
    <row r="27" spans="1:9" ht="15.6" x14ac:dyDescent="0.3">
      <c r="A27" s="3" t="s">
        <v>212</v>
      </c>
      <c r="B27" s="3" t="s">
        <v>213</v>
      </c>
      <c r="C27" s="3" t="s">
        <v>26</v>
      </c>
      <c r="D27" s="3" t="s">
        <v>29</v>
      </c>
      <c r="E27" s="3" t="s">
        <v>26</v>
      </c>
      <c r="F27" s="3">
        <v>11</v>
      </c>
      <c r="G27" s="4">
        <v>0.01</v>
      </c>
      <c r="H27" s="3" t="s">
        <v>140</v>
      </c>
      <c r="I27" s="3" t="s">
        <v>32</v>
      </c>
    </row>
    <row r="28" spans="1:9" ht="15.6" x14ac:dyDescent="0.3">
      <c r="A28" s="3" t="s">
        <v>214</v>
      </c>
      <c r="B28" s="3" t="s">
        <v>215</v>
      </c>
      <c r="C28" s="3" t="s">
        <v>26</v>
      </c>
      <c r="D28" s="3" t="s">
        <v>29</v>
      </c>
      <c r="E28" s="3" t="s">
        <v>26</v>
      </c>
      <c r="F28" s="3">
        <v>12</v>
      </c>
      <c r="G28" s="4">
        <v>0.01</v>
      </c>
      <c r="H28" s="3" t="s">
        <v>140</v>
      </c>
      <c r="I28" s="3" t="s">
        <v>32</v>
      </c>
    </row>
    <row r="29" spans="1:9" ht="15.6" x14ac:dyDescent="0.3">
      <c r="A29" s="3" t="s">
        <v>216</v>
      </c>
      <c r="B29" s="3" t="s">
        <v>217</v>
      </c>
      <c r="C29" s="3" t="s">
        <v>26</v>
      </c>
      <c r="D29" s="3" t="s">
        <v>29</v>
      </c>
      <c r="E29" s="3" t="s">
        <v>26</v>
      </c>
      <c r="F29" s="3">
        <v>13</v>
      </c>
      <c r="G29" s="4">
        <v>0.01</v>
      </c>
      <c r="H29" s="3" t="s">
        <v>140</v>
      </c>
      <c r="I29" s="3" t="s">
        <v>32</v>
      </c>
    </row>
    <row r="30" spans="1:9" ht="15.6" x14ac:dyDescent="0.3">
      <c r="A30" s="3" t="s">
        <v>218</v>
      </c>
      <c r="B30" s="3" t="s">
        <v>219</v>
      </c>
      <c r="C30" s="3" t="s">
        <v>26</v>
      </c>
      <c r="D30" s="3" t="s">
        <v>29</v>
      </c>
      <c r="E30" s="3" t="s">
        <v>26</v>
      </c>
      <c r="F30" s="3">
        <v>15</v>
      </c>
      <c r="G30" s="4">
        <v>0.01</v>
      </c>
      <c r="H30" s="3" t="s">
        <v>140</v>
      </c>
      <c r="I30" s="3" t="s">
        <v>32</v>
      </c>
    </row>
    <row r="31" spans="1:9" ht="15.6" x14ac:dyDescent="0.3">
      <c r="A31" s="3" t="s">
        <v>220</v>
      </c>
      <c r="B31" s="3" t="s">
        <v>221</v>
      </c>
      <c r="C31" s="3" t="s">
        <v>26</v>
      </c>
      <c r="D31" s="3" t="s">
        <v>29</v>
      </c>
      <c r="E31" s="3" t="s">
        <v>26</v>
      </c>
      <c r="F31" s="3">
        <v>16</v>
      </c>
      <c r="G31" s="4">
        <v>0.01</v>
      </c>
      <c r="H31" s="3" t="s">
        <v>140</v>
      </c>
      <c r="I31" s="3" t="s">
        <v>32</v>
      </c>
    </row>
    <row r="32" spans="1:9" ht="15.6" x14ac:dyDescent="0.3">
      <c r="A32" s="3" t="s">
        <v>222</v>
      </c>
      <c r="B32" s="3" t="s">
        <v>223</v>
      </c>
      <c r="C32" s="3" t="s">
        <v>26</v>
      </c>
      <c r="D32" s="3" t="s">
        <v>29</v>
      </c>
      <c r="E32" s="3" t="s">
        <v>26</v>
      </c>
      <c r="F32" s="3">
        <v>18</v>
      </c>
      <c r="G32" s="4">
        <v>0.01</v>
      </c>
      <c r="H32" s="3" t="s">
        <v>140</v>
      </c>
      <c r="I32" s="3" t="s">
        <v>32</v>
      </c>
    </row>
    <row r="33" spans="1:9" ht="15.6" x14ac:dyDescent="0.3">
      <c r="A33" s="3" t="s">
        <v>224</v>
      </c>
      <c r="B33" s="3" t="s">
        <v>225</v>
      </c>
      <c r="C33" s="3" t="s">
        <v>26</v>
      </c>
      <c r="D33" s="3" t="s">
        <v>29</v>
      </c>
      <c r="E33" s="3" t="s">
        <v>26</v>
      </c>
      <c r="F33" s="3">
        <v>20</v>
      </c>
      <c r="G33" s="4">
        <v>0.01</v>
      </c>
      <c r="H33" s="3" t="s">
        <v>140</v>
      </c>
      <c r="I33" s="3" t="s">
        <v>32</v>
      </c>
    </row>
    <row r="34" spans="1:9" ht="15.6" x14ac:dyDescent="0.3">
      <c r="A34" s="3" t="s">
        <v>226</v>
      </c>
      <c r="B34" s="3" t="s">
        <v>227</v>
      </c>
      <c r="C34" s="3" t="s">
        <v>26</v>
      </c>
      <c r="D34" s="3" t="s">
        <v>29</v>
      </c>
      <c r="E34" s="3" t="s">
        <v>26</v>
      </c>
      <c r="F34" s="3">
        <v>22</v>
      </c>
      <c r="G34" s="4">
        <v>0.01</v>
      </c>
      <c r="H34" s="3" t="s">
        <v>140</v>
      </c>
      <c r="I34" s="3" t="s">
        <v>32</v>
      </c>
    </row>
    <row r="35" spans="1:9" ht="15.6" x14ac:dyDescent="0.3">
      <c r="A35" s="3" t="s">
        <v>228</v>
      </c>
      <c r="B35" s="3" t="s">
        <v>229</v>
      </c>
      <c r="C35" s="3" t="s">
        <v>26</v>
      </c>
      <c r="D35" s="3" t="s">
        <v>29</v>
      </c>
      <c r="E35" s="3" t="s">
        <v>26</v>
      </c>
      <c r="F35" s="3">
        <v>24</v>
      </c>
      <c r="G35" s="4">
        <v>0.01</v>
      </c>
      <c r="H35" s="3" t="s">
        <v>140</v>
      </c>
      <c r="I35" s="3" t="s">
        <v>32</v>
      </c>
    </row>
    <row r="36" spans="1:9" ht="15.6" x14ac:dyDescent="0.3">
      <c r="A36" s="3" t="s">
        <v>230</v>
      </c>
      <c r="B36" s="3" t="s">
        <v>231</v>
      </c>
      <c r="C36" s="3" t="s">
        <v>26</v>
      </c>
      <c r="D36" s="3" t="s">
        <v>29</v>
      </c>
      <c r="E36" s="3" t="s">
        <v>26</v>
      </c>
      <c r="F36" s="3">
        <v>26</v>
      </c>
      <c r="G36" s="4">
        <v>0.01</v>
      </c>
      <c r="H36" s="3" t="s">
        <v>140</v>
      </c>
      <c r="I36" s="3" t="s">
        <v>32</v>
      </c>
    </row>
    <row r="37" spans="1:9" ht="15.6" x14ac:dyDescent="0.3">
      <c r="A37" s="3" t="s">
        <v>232</v>
      </c>
      <c r="B37" s="3" t="s">
        <v>233</v>
      </c>
      <c r="C37" s="3" t="s">
        <v>26</v>
      </c>
      <c r="D37" s="3" t="s">
        <v>29</v>
      </c>
      <c r="E37" s="3" t="s">
        <v>26</v>
      </c>
      <c r="F37" s="3">
        <v>29</v>
      </c>
      <c r="G37" s="4">
        <v>0.01</v>
      </c>
      <c r="H37" s="3" t="s">
        <v>140</v>
      </c>
      <c r="I37" s="3" t="s">
        <v>32</v>
      </c>
    </row>
    <row r="38" spans="1:9" ht="15.6" x14ac:dyDescent="0.3">
      <c r="A38" s="3" t="s">
        <v>234</v>
      </c>
      <c r="B38" s="3" t="s">
        <v>235</v>
      </c>
      <c r="C38" s="3" t="s">
        <v>26</v>
      </c>
      <c r="D38" s="3" t="s">
        <v>29</v>
      </c>
      <c r="E38" s="3" t="s">
        <v>26</v>
      </c>
      <c r="F38" s="3">
        <v>32</v>
      </c>
      <c r="G38" s="4">
        <v>0.01</v>
      </c>
      <c r="H38" s="3" t="s">
        <v>140</v>
      </c>
      <c r="I38" s="3" t="s">
        <v>32</v>
      </c>
    </row>
    <row r="39" spans="1:9" ht="15.6" x14ac:dyDescent="0.3">
      <c r="A39" s="3" t="s">
        <v>236</v>
      </c>
      <c r="B39" s="3" t="s">
        <v>237</v>
      </c>
      <c r="C39" s="3" t="s">
        <v>26</v>
      </c>
      <c r="D39" s="3" t="s">
        <v>29</v>
      </c>
      <c r="E39" s="3" t="s">
        <v>26</v>
      </c>
      <c r="F39" s="3">
        <v>35</v>
      </c>
      <c r="G39" s="4">
        <v>0.01</v>
      </c>
      <c r="H39" s="3" t="s">
        <v>140</v>
      </c>
      <c r="I39" s="3" t="s">
        <v>32</v>
      </c>
    </row>
    <row r="40" spans="1:9" ht="15.6" x14ac:dyDescent="0.3">
      <c r="A40" s="3" t="s">
        <v>238</v>
      </c>
      <c r="B40" s="3" t="s">
        <v>239</v>
      </c>
      <c r="C40" s="3" t="s">
        <v>26</v>
      </c>
      <c r="D40" s="3" t="s">
        <v>29</v>
      </c>
      <c r="E40" s="3" t="s">
        <v>26</v>
      </c>
      <c r="F40" s="3">
        <v>38</v>
      </c>
      <c r="G40" s="4">
        <v>0.01</v>
      </c>
      <c r="H40" s="3" t="s">
        <v>140</v>
      </c>
      <c r="I40" s="3" t="s">
        <v>32</v>
      </c>
    </row>
    <row r="41" spans="1:9" ht="15.6" x14ac:dyDescent="0.3">
      <c r="A41" s="3" t="s">
        <v>240</v>
      </c>
      <c r="B41" s="3" t="s">
        <v>241</v>
      </c>
      <c r="C41" s="3" t="s">
        <v>26</v>
      </c>
      <c r="D41" s="3" t="s">
        <v>29</v>
      </c>
      <c r="E41" s="3" t="s">
        <v>26</v>
      </c>
      <c r="F41" s="3">
        <v>42</v>
      </c>
      <c r="G41" s="4">
        <v>0.01</v>
      </c>
      <c r="H41" s="3" t="s">
        <v>140</v>
      </c>
      <c r="I41" s="3" t="s">
        <v>32</v>
      </c>
    </row>
    <row r="42" spans="1:9" ht="15.6" x14ac:dyDescent="0.3">
      <c r="A42" s="3" t="s">
        <v>242</v>
      </c>
      <c r="B42" s="3" t="s">
        <v>243</v>
      </c>
      <c r="C42" s="3" t="s">
        <v>26</v>
      </c>
      <c r="D42" s="3" t="s">
        <v>29</v>
      </c>
      <c r="E42" s="3" t="s">
        <v>26</v>
      </c>
      <c r="F42" s="3">
        <v>46</v>
      </c>
      <c r="G42" s="4">
        <v>0.01</v>
      </c>
      <c r="H42" s="3" t="s">
        <v>140</v>
      </c>
      <c r="I42" s="3" t="s">
        <v>32</v>
      </c>
    </row>
    <row r="43" spans="1:9" ht="15.6" x14ac:dyDescent="0.3">
      <c r="A43" s="3" t="s">
        <v>244</v>
      </c>
      <c r="B43" s="3" t="s">
        <v>245</v>
      </c>
      <c r="C43" s="3" t="s">
        <v>26</v>
      </c>
      <c r="D43" s="3" t="s">
        <v>29</v>
      </c>
      <c r="E43" s="3" t="s">
        <v>26</v>
      </c>
      <c r="F43" s="3">
        <v>51</v>
      </c>
      <c r="G43" s="4">
        <v>0.01</v>
      </c>
      <c r="H43" s="3" t="s">
        <v>140</v>
      </c>
      <c r="I43" s="3" t="s">
        <v>32</v>
      </c>
    </row>
    <row r="44" spans="1:9" ht="15.6" x14ac:dyDescent="0.3">
      <c r="A44" s="3" t="s">
        <v>246</v>
      </c>
      <c r="B44" s="3" t="s">
        <v>247</v>
      </c>
      <c r="C44" s="3" t="s">
        <v>26</v>
      </c>
      <c r="D44" s="3" t="s">
        <v>29</v>
      </c>
      <c r="E44" s="3" t="s">
        <v>26</v>
      </c>
      <c r="F44" s="3">
        <v>56</v>
      </c>
      <c r="G44" s="4">
        <v>0.01</v>
      </c>
      <c r="H44" s="3" t="s">
        <v>140</v>
      </c>
      <c r="I44" s="3" t="s">
        <v>32</v>
      </c>
    </row>
    <row r="45" spans="1:9" ht="15.6" x14ac:dyDescent="0.3">
      <c r="A45" s="3" t="s">
        <v>248</v>
      </c>
      <c r="B45" s="3" t="s">
        <v>249</v>
      </c>
      <c r="C45" s="3" t="s">
        <v>26</v>
      </c>
      <c r="D45" s="3" t="s">
        <v>29</v>
      </c>
      <c r="E45" s="3" t="s">
        <v>26</v>
      </c>
      <c r="F45" s="3">
        <v>62</v>
      </c>
      <c r="G45" s="4">
        <v>0.01</v>
      </c>
      <c r="H45" s="3" t="s">
        <v>140</v>
      </c>
      <c r="I45" s="3" t="s">
        <v>32</v>
      </c>
    </row>
    <row r="46" spans="1:9" ht="15.6" x14ac:dyDescent="0.3">
      <c r="A46" s="3" t="s">
        <v>250</v>
      </c>
      <c r="B46" s="3" t="s">
        <v>251</v>
      </c>
      <c r="C46" s="3" t="s">
        <v>26</v>
      </c>
      <c r="D46" s="3" t="s">
        <v>29</v>
      </c>
      <c r="E46" s="3" t="s">
        <v>26</v>
      </c>
      <c r="F46" s="3">
        <v>68</v>
      </c>
      <c r="G46" s="4">
        <v>0.01</v>
      </c>
      <c r="H46" s="3" t="s">
        <v>140</v>
      </c>
      <c r="I46" s="3" t="s">
        <v>32</v>
      </c>
    </row>
    <row r="47" spans="1:9" ht="15.6" x14ac:dyDescent="0.3">
      <c r="A47" s="3" t="s">
        <v>252</v>
      </c>
      <c r="B47" s="3" t="s">
        <v>253</v>
      </c>
      <c r="C47" s="3" t="s">
        <v>26</v>
      </c>
      <c r="D47" s="3" t="s">
        <v>29</v>
      </c>
      <c r="E47" s="3" t="s">
        <v>26</v>
      </c>
      <c r="F47" s="3">
        <v>75</v>
      </c>
      <c r="G47" s="4">
        <v>0.01</v>
      </c>
      <c r="H47" s="3" t="s">
        <v>140</v>
      </c>
      <c r="I47" s="3" t="s">
        <v>32</v>
      </c>
    </row>
    <row r="48" spans="1:9" ht="15.6" x14ac:dyDescent="0.3">
      <c r="A48" s="3" t="s">
        <v>254</v>
      </c>
      <c r="B48" s="3" t="s">
        <v>255</v>
      </c>
      <c r="C48" s="3" t="s">
        <v>26</v>
      </c>
      <c r="D48" s="3" t="s">
        <v>29</v>
      </c>
      <c r="E48" s="3" t="s">
        <v>26</v>
      </c>
      <c r="F48" s="3">
        <v>83</v>
      </c>
      <c r="G48" s="4">
        <v>0.01</v>
      </c>
      <c r="H48" s="3" t="s">
        <v>140</v>
      </c>
      <c r="I48" s="3" t="s">
        <v>32</v>
      </c>
    </row>
    <row r="49" spans="1:9" ht="15.6" x14ac:dyDescent="0.3">
      <c r="A49" s="3" t="s">
        <v>256</v>
      </c>
      <c r="B49" s="3" t="s">
        <v>257</v>
      </c>
      <c r="C49" s="3" t="s">
        <v>26</v>
      </c>
      <c r="D49" s="3" t="s">
        <v>29</v>
      </c>
      <c r="E49" s="3" t="s">
        <v>26</v>
      </c>
      <c r="F49" s="3">
        <v>91</v>
      </c>
      <c r="G49" s="4">
        <v>0.01</v>
      </c>
      <c r="H49" s="3" t="s">
        <v>140</v>
      </c>
      <c r="I49" s="3" t="s">
        <v>32</v>
      </c>
    </row>
    <row r="50" spans="1:9" ht="15.6" x14ac:dyDescent="0.3">
      <c r="A50" s="3" t="s">
        <v>258</v>
      </c>
      <c r="B50" s="3" t="s">
        <v>259</v>
      </c>
      <c r="C50" s="3" t="s">
        <v>26</v>
      </c>
      <c r="D50" s="3" t="s">
        <v>29</v>
      </c>
      <c r="E50" s="3" t="s">
        <v>26</v>
      </c>
      <c r="F50" s="3">
        <v>100</v>
      </c>
      <c r="G50" s="4">
        <v>0.01</v>
      </c>
      <c r="H50" s="3" t="s">
        <v>140</v>
      </c>
      <c r="I50" s="3" t="s">
        <v>32</v>
      </c>
    </row>
    <row r="51" spans="1:9" ht="15.6" x14ac:dyDescent="0.3">
      <c r="A51" s="3" t="s">
        <v>260</v>
      </c>
      <c r="B51" s="3" t="s">
        <v>261</v>
      </c>
      <c r="C51" s="3" t="s">
        <v>26</v>
      </c>
      <c r="D51" s="3" t="s">
        <v>29</v>
      </c>
      <c r="E51" s="3" t="s">
        <v>26</v>
      </c>
      <c r="F51" s="3">
        <v>110</v>
      </c>
      <c r="G51" s="4">
        <v>0.01</v>
      </c>
      <c r="H51" s="3" t="s">
        <v>140</v>
      </c>
      <c r="I51" s="3" t="s">
        <v>32</v>
      </c>
    </row>
    <row r="52" spans="1:9" ht="15.6" x14ac:dyDescent="0.3">
      <c r="A52" s="3" t="s">
        <v>262</v>
      </c>
      <c r="B52" s="3" t="s">
        <v>263</v>
      </c>
      <c r="C52" s="3" t="s">
        <v>26</v>
      </c>
      <c r="D52" s="3" t="s">
        <v>29</v>
      </c>
      <c r="E52" s="3" t="s">
        <v>26</v>
      </c>
      <c r="F52" s="3">
        <v>120</v>
      </c>
      <c r="G52" s="4">
        <v>0.01</v>
      </c>
      <c r="H52" s="3" t="s">
        <v>140</v>
      </c>
      <c r="I52" s="3" t="s">
        <v>32</v>
      </c>
    </row>
    <row r="53" spans="1:9" ht="15.6" x14ac:dyDescent="0.3">
      <c r="A53" s="3" t="s">
        <v>264</v>
      </c>
      <c r="B53" s="3" t="s">
        <v>265</v>
      </c>
      <c r="C53" s="3" t="s">
        <v>26</v>
      </c>
      <c r="D53" s="3" t="s">
        <v>29</v>
      </c>
      <c r="E53" s="3" t="s">
        <v>26</v>
      </c>
      <c r="F53" s="3">
        <v>130</v>
      </c>
      <c r="G53" s="4">
        <v>0.01</v>
      </c>
      <c r="H53" s="3" t="s">
        <v>140</v>
      </c>
      <c r="I53" s="3" t="s">
        <v>32</v>
      </c>
    </row>
    <row r="54" spans="1:9" ht="15.6" x14ac:dyDescent="0.3">
      <c r="A54" s="3" t="s">
        <v>266</v>
      </c>
      <c r="B54" s="3" t="s">
        <v>267</v>
      </c>
      <c r="C54" s="3" t="s">
        <v>26</v>
      </c>
      <c r="D54" s="3" t="s">
        <v>29</v>
      </c>
      <c r="E54" s="3" t="s">
        <v>26</v>
      </c>
      <c r="F54" s="3">
        <v>150</v>
      </c>
      <c r="G54" s="4">
        <v>0.01</v>
      </c>
      <c r="H54" s="3" t="s">
        <v>140</v>
      </c>
      <c r="I54" s="3" t="s">
        <v>32</v>
      </c>
    </row>
    <row r="55" spans="1:9" ht="15.6" x14ac:dyDescent="0.3">
      <c r="A55" s="3" t="s">
        <v>268</v>
      </c>
      <c r="B55" s="3" t="s">
        <v>269</v>
      </c>
      <c r="C55" s="3" t="s">
        <v>26</v>
      </c>
      <c r="D55" s="3" t="s">
        <v>29</v>
      </c>
      <c r="E55" s="3" t="s">
        <v>26</v>
      </c>
      <c r="F55" s="3">
        <v>160</v>
      </c>
      <c r="G55" s="4">
        <v>0.01</v>
      </c>
      <c r="H55" s="3" t="s">
        <v>140</v>
      </c>
      <c r="I55" s="3" t="s">
        <v>32</v>
      </c>
    </row>
    <row r="56" spans="1:9" ht="15.6" x14ac:dyDescent="0.3">
      <c r="A56" s="3" t="s">
        <v>270</v>
      </c>
      <c r="B56" s="3" t="s">
        <v>271</v>
      </c>
      <c r="C56" s="3" t="s">
        <v>26</v>
      </c>
      <c r="D56" s="3" t="s">
        <v>29</v>
      </c>
      <c r="E56" s="3" t="s">
        <v>26</v>
      </c>
      <c r="F56" s="3">
        <v>180</v>
      </c>
      <c r="G56" s="4">
        <v>0.01</v>
      </c>
      <c r="H56" s="3" t="s">
        <v>140</v>
      </c>
      <c r="I56" s="3" t="s">
        <v>32</v>
      </c>
    </row>
    <row r="57" spans="1:9" ht="15.6" x14ac:dyDescent="0.3">
      <c r="A57" s="3" t="s">
        <v>272</v>
      </c>
      <c r="B57" s="3" t="s">
        <v>273</v>
      </c>
      <c r="C57" s="3" t="s">
        <v>26</v>
      </c>
      <c r="D57" s="3" t="s">
        <v>29</v>
      </c>
      <c r="E57" s="3" t="s">
        <v>26</v>
      </c>
      <c r="F57" s="3">
        <v>200</v>
      </c>
      <c r="G57" s="4">
        <v>0.01</v>
      </c>
      <c r="H57" s="3" t="s">
        <v>140</v>
      </c>
      <c r="I57" s="3" t="s">
        <v>32</v>
      </c>
    </row>
    <row r="58" spans="1:9" ht="15.6" x14ac:dyDescent="0.3">
      <c r="A58" s="3" t="s">
        <v>274</v>
      </c>
      <c r="B58" s="3" t="s">
        <v>275</v>
      </c>
      <c r="C58" s="3" t="s">
        <v>26</v>
      </c>
      <c r="D58" s="3" t="s">
        <v>29</v>
      </c>
      <c r="E58" s="3" t="s">
        <v>26</v>
      </c>
      <c r="F58" s="3">
        <v>220</v>
      </c>
      <c r="G58" s="4">
        <v>0.01</v>
      </c>
      <c r="H58" s="3" t="s">
        <v>140</v>
      </c>
      <c r="I58" s="3" t="s">
        <v>32</v>
      </c>
    </row>
    <row r="59" spans="1:9" ht="15.6" x14ac:dyDescent="0.3">
      <c r="A59" s="3" t="s">
        <v>276</v>
      </c>
      <c r="B59" s="3" t="s">
        <v>277</v>
      </c>
      <c r="C59" s="3" t="s">
        <v>26</v>
      </c>
      <c r="D59" s="3" t="s">
        <v>29</v>
      </c>
      <c r="E59" s="3" t="s">
        <v>26</v>
      </c>
      <c r="F59" s="3">
        <v>240</v>
      </c>
      <c r="G59" s="4">
        <v>0.01</v>
      </c>
      <c r="H59" s="3" t="s">
        <v>140</v>
      </c>
      <c r="I59" s="3" t="s">
        <v>32</v>
      </c>
    </row>
    <row r="60" spans="1:9" ht="15.6" x14ac:dyDescent="0.3">
      <c r="A60" s="3" t="s">
        <v>278</v>
      </c>
      <c r="B60" s="3" t="s">
        <v>279</v>
      </c>
      <c r="C60" s="3" t="s">
        <v>26</v>
      </c>
      <c r="D60" s="3" t="s">
        <v>29</v>
      </c>
      <c r="E60" s="3" t="s">
        <v>26</v>
      </c>
      <c r="F60" s="3">
        <v>260</v>
      </c>
      <c r="G60" s="4">
        <v>0.01</v>
      </c>
      <c r="H60" s="3" t="s">
        <v>140</v>
      </c>
      <c r="I60" s="3" t="s">
        <v>32</v>
      </c>
    </row>
    <row r="61" spans="1:9" ht="15.6" x14ac:dyDescent="0.3">
      <c r="A61" s="3" t="s">
        <v>280</v>
      </c>
      <c r="B61" s="3" t="s">
        <v>281</v>
      </c>
      <c r="C61" s="3" t="s">
        <v>26</v>
      </c>
      <c r="D61" s="3" t="s">
        <v>29</v>
      </c>
      <c r="E61" s="3" t="s">
        <v>26</v>
      </c>
      <c r="F61" s="3">
        <v>290</v>
      </c>
      <c r="G61" s="4">
        <v>0.01</v>
      </c>
      <c r="H61" s="3" t="s">
        <v>140</v>
      </c>
      <c r="I61" s="3" t="s">
        <v>32</v>
      </c>
    </row>
    <row r="62" spans="1:9" ht="15.6" x14ac:dyDescent="0.3">
      <c r="A62" s="3" t="s">
        <v>282</v>
      </c>
      <c r="B62" s="3" t="s">
        <v>283</v>
      </c>
      <c r="C62" s="3" t="s">
        <v>26</v>
      </c>
      <c r="D62" s="3" t="s">
        <v>29</v>
      </c>
      <c r="E62" s="3" t="s">
        <v>26</v>
      </c>
      <c r="F62" s="3">
        <v>320</v>
      </c>
      <c r="G62" s="4">
        <v>0.01</v>
      </c>
      <c r="H62" s="3" t="s">
        <v>140</v>
      </c>
      <c r="I62" s="3" t="s">
        <v>32</v>
      </c>
    </row>
    <row r="63" spans="1:9" ht="15.6" x14ac:dyDescent="0.3">
      <c r="A63" s="3" t="s">
        <v>284</v>
      </c>
      <c r="B63" s="3" t="s">
        <v>285</v>
      </c>
      <c r="C63" s="3" t="s">
        <v>26</v>
      </c>
      <c r="D63" s="3" t="s">
        <v>29</v>
      </c>
      <c r="E63" s="3" t="s">
        <v>26</v>
      </c>
      <c r="F63" s="3">
        <v>350</v>
      </c>
      <c r="G63" s="4">
        <v>0.01</v>
      </c>
      <c r="H63" s="3" t="s">
        <v>140</v>
      </c>
      <c r="I63" s="3" t="s">
        <v>32</v>
      </c>
    </row>
    <row r="64" spans="1:9" ht="15.6" x14ac:dyDescent="0.3">
      <c r="A64" s="3" t="s">
        <v>286</v>
      </c>
      <c r="B64" s="3" t="s">
        <v>287</v>
      </c>
      <c r="C64" s="3" t="s">
        <v>26</v>
      </c>
      <c r="D64" s="3" t="s">
        <v>29</v>
      </c>
      <c r="E64" s="3" t="s">
        <v>26</v>
      </c>
      <c r="F64" s="3">
        <v>380</v>
      </c>
      <c r="G64" s="4">
        <v>0.01</v>
      </c>
      <c r="H64" s="3" t="s">
        <v>140</v>
      </c>
      <c r="I64" s="3" t="s">
        <v>32</v>
      </c>
    </row>
    <row r="65" spans="1:9" ht="15.6" x14ac:dyDescent="0.3">
      <c r="A65" s="3" t="s">
        <v>288</v>
      </c>
      <c r="B65" s="3" t="s">
        <v>289</v>
      </c>
      <c r="C65" s="3" t="s">
        <v>26</v>
      </c>
      <c r="D65" s="3" t="s">
        <v>29</v>
      </c>
      <c r="E65" s="3" t="s">
        <v>26</v>
      </c>
      <c r="F65" s="3">
        <v>420</v>
      </c>
      <c r="G65" s="4">
        <v>0.01</v>
      </c>
      <c r="H65" s="3" t="s">
        <v>140</v>
      </c>
      <c r="I65" s="3" t="s">
        <v>32</v>
      </c>
    </row>
    <row r="66" spans="1:9" ht="15.6" x14ac:dyDescent="0.3">
      <c r="A66" s="3" t="s">
        <v>290</v>
      </c>
      <c r="B66" s="3" t="s">
        <v>291</v>
      </c>
      <c r="C66" s="3" t="s">
        <v>26</v>
      </c>
      <c r="D66" s="3" t="s">
        <v>29</v>
      </c>
      <c r="E66" s="3" t="s">
        <v>26</v>
      </c>
      <c r="F66" s="3">
        <v>460</v>
      </c>
      <c r="G66" s="4">
        <v>0.01</v>
      </c>
      <c r="H66" s="3" t="s">
        <v>140</v>
      </c>
      <c r="I66" s="3" t="s">
        <v>32</v>
      </c>
    </row>
    <row r="67" spans="1:9" ht="15.6" x14ac:dyDescent="0.3">
      <c r="A67" s="3" t="s">
        <v>292</v>
      </c>
      <c r="B67" s="3" t="s">
        <v>293</v>
      </c>
      <c r="C67" s="3" t="s">
        <v>26</v>
      </c>
      <c r="D67" s="3" t="s">
        <v>29</v>
      </c>
      <c r="E67" s="3" t="s">
        <v>26</v>
      </c>
      <c r="F67" s="3">
        <v>510</v>
      </c>
      <c r="G67" s="4">
        <v>0.01</v>
      </c>
      <c r="H67" s="3" t="s">
        <v>140</v>
      </c>
      <c r="I67" s="3" t="s">
        <v>32</v>
      </c>
    </row>
    <row r="68" spans="1:9" ht="15.6" x14ac:dyDescent="0.3">
      <c r="A68" s="3" t="s">
        <v>294</v>
      </c>
      <c r="B68" s="3" t="s">
        <v>295</v>
      </c>
      <c r="C68" s="3" t="s">
        <v>26</v>
      </c>
      <c r="D68" s="3" t="s">
        <v>29</v>
      </c>
      <c r="E68" s="3" t="s">
        <v>26</v>
      </c>
      <c r="F68" s="3">
        <v>560</v>
      </c>
      <c r="G68" s="4">
        <v>0.01</v>
      </c>
      <c r="H68" s="3" t="s">
        <v>140</v>
      </c>
      <c r="I68" s="3" t="s">
        <v>32</v>
      </c>
    </row>
    <row r="69" spans="1:9" ht="15.6" x14ac:dyDescent="0.3">
      <c r="A69" s="3" t="s">
        <v>296</v>
      </c>
      <c r="B69" s="3" t="s">
        <v>297</v>
      </c>
      <c r="C69" s="3" t="s">
        <v>26</v>
      </c>
      <c r="D69" s="3" t="s">
        <v>29</v>
      </c>
      <c r="E69" s="3" t="s">
        <v>26</v>
      </c>
      <c r="F69" s="3">
        <v>620</v>
      </c>
      <c r="G69" s="4">
        <v>0.01</v>
      </c>
      <c r="H69" s="3" t="s">
        <v>140</v>
      </c>
      <c r="I69" s="3" t="s">
        <v>32</v>
      </c>
    </row>
    <row r="70" spans="1:9" ht="15.6" x14ac:dyDescent="0.3">
      <c r="A70" s="3" t="s">
        <v>298</v>
      </c>
      <c r="B70" s="3" t="s">
        <v>299</v>
      </c>
      <c r="C70" s="3" t="s">
        <v>26</v>
      </c>
      <c r="D70" s="3" t="s">
        <v>29</v>
      </c>
      <c r="E70" s="3" t="s">
        <v>26</v>
      </c>
      <c r="F70" s="3">
        <v>680</v>
      </c>
      <c r="G70" s="4">
        <v>0.01</v>
      </c>
      <c r="H70" s="3" t="s">
        <v>140</v>
      </c>
      <c r="I70" s="3" t="s">
        <v>32</v>
      </c>
    </row>
    <row r="71" spans="1:9" ht="15.6" x14ac:dyDescent="0.3">
      <c r="A71" s="3" t="s">
        <v>300</v>
      </c>
      <c r="B71" s="3" t="s">
        <v>301</v>
      </c>
      <c r="C71" s="3" t="s">
        <v>26</v>
      </c>
      <c r="D71" s="3" t="s">
        <v>29</v>
      </c>
      <c r="E71" s="3" t="s">
        <v>26</v>
      </c>
      <c r="F71" s="3">
        <v>750</v>
      </c>
      <c r="G71" s="4">
        <v>0.01</v>
      </c>
      <c r="H71" s="3" t="s">
        <v>140</v>
      </c>
      <c r="I71" s="3" t="s">
        <v>32</v>
      </c>
    </row>
    <row r="72" spans="1:9" ht="15.6" x14ac:dyDescent="0.3">
      <c r="A72" s="3" t="s">
        <v>302</v>
      </c>
      <c r="B72" s="3" t="s">
        <v>303</v>
      </c>
      <c r="C72" s="3" t="s">
        <v>26</v>
      </c>
      <c r="D72" s="3" t="s">
        <v>29</v>
      </c>
      <c r="E72" s="3" t="s">
        <v>26</v>
      </c>
      <c r="F72" s="3">
        <v>830</v>
      </c>
      <c r="G72" s="4">
        <v>0.01</v>
      </c>
      <c r="H72" s="3" t="s">
        <v>140</v>
      </c>
      <c r="I72" s="3" t="s">
        <v>32</v>
      </c>
    </row>
    <row r="73" spans="1:9" ht="15.6" x14ac:dyDescent="0.3">
      <c r="A73" s="3" t="s">
        <v>304</v>
      </c>
      <c r="B73" s="3" t="s">
        <v>305</v>
      </c>
      <c r="C73" s="3" t="s">
        <v>26</v>
      </c>
      <c r="D73" s="3" t="s">
        <v>29</v>
      </c>
      <c r="E73" s="3" t="s">
        <v>26</v>
      </c>
      <c r="F73" s="3">
        <v>910</v>
      </c>
      <c r="G73" s="4">
        <v>0.01</v>
      </c>
      <c r="H73" s="3" t="s">
        <v>140</v>
      </c>
      <c r="I73" s="3" t="s">
        <v>32</v>
      </c>
    </row>
    <row r="74" spans="1:9" ht="15.6" x14ac:dyDescent="0.3">
      <c r="A74" s="3" t="s">
        <v>306</v>
      </c>
      <c r="B74" s="3" t="s">
        <v>307</v>
      </c>
      <c r="C74" s="3" t="s">
        <v>26</v>
      </c>
      <c r="D74" s="3" t="s">
        <v>29</v>
      </c>
      <c r="E74" s="3" t="s">
        <v>26</v>
      </c>
      <c r="F74" s="3" t="s">
        <v>308</v>
      </c>
      <c r="G74" s="4">
        <v>0.01</v>
      </c>
      <c r="H74" s="3" t="s">
        <v>140</v>
      </c>
      <c r="I74" s="3" t="s">
        <v>32</v>
      </c>
    </row>
    <row r="75" spans="1:9" ht="15.6" x14ac:dyDescent="0.3">
      <c r="A75" s="3" t="s">
        <v>309</v>
      </c>
      <c r="B75" s="3" t="s">
        <v>310</v>
      </c>
      <c r="C75" s="3" t="s">
        <v>26</v>
      </c>
      <c r="D75" s="3" t="s">
        <v>29</v>
      </c>
      <c r="E75" s="3" t="s">
        <v>26</v>
      </c>
      <c r="F75" s="3" t="s">
        <v>311</v>
      </c>
      <c r="G75" s="4">
        <v>0.01</v>
      </c>
      <c r="H75" s="3" t="s">
        <v>140</v>
      </c>
      <c r="I75" s="3" t="s">
        <v>32</v>
      </c>
    </row>
    <row r="76" spans="1:9" ht="15.6" x14ac:dyDescent="0.3">
      <c r="A76" s="3" t="s">
        <v>312</v>
      </c>
      <c r="B76" s="3" t="s">
        <v>313</v>
      </c>
      <c r="C76" s="3" t="s">
        <v>26</v>
      </c>
      <c r="D76" s="3" t="s">
        <v>29</v>
      </c>
      <c r="E76" s="3" t="s">
        <v>26</v>
      </c>
      <c r="F76" s="3" t="s">
        <v>314</v>
      </c>
      <c r="G76" s="4">
        <v>0.01</v>
      </c>
      <c r="H76" s="3" t="s">
        <v>140</v>
      </c>
      <c r="I76" s="3" t="s">
        <v>32</v>
      </c>
    </row>
    <row r="77" spans="1:9" ht="15.6" x14ac:dyDescent="0.3">
      <c r="A77" s="3" t="s">
        <v>315</v>
      </c>
      <c r="B77" s="3" t="s">
        <v>316</v>
      </c>
      <c r="C77" s="3" t="s">
        <v>26</v>
      </c>
      <c r="D77" s="3" t="s">
        <v>29</v>
      </c>
      <c r="E77" s="3" t="s">
        <v>26</v>
      </c>
      <c r="F77" s="3" t="s">
        <v>317</v>
      </c>
      <c r="G77" s="4">
        <v>0.01</v>
      </c>
      <c r="H77" s="3" t="s">
        <v>140</v>
      </c>
      <c r="I77" s="3" t="s">
        <v>32</v>
      </c>
    </row>
    <row r="78" spans="1:9" ht="15.6" x14ac:dyDescent="0.3">
      <c r="A78" s="3" t="s">
        <v>318</v>
      </c>
      <c r="B78" s="3" t="s">
        <v>319</v>
      </c>
      <c r="C78" s="3" t="s">
        <v>26</v>
      </c>
      <c r="D78" s="3" t="s">
        <v>29</v>
      </c>
      <c r="E78" s="3" t="s">
        <v>26</v>
      </c>
      <c r="F78" s="3" t="s">
        <v>320</v>
      </c>
      <c r="G78" s="4">
        <v>0.01</v>
      </c>
      <c r="H78" s="3" t="s">
        <v>140</v>
      </c>
      <c r="I78" s="3" t="s">
        <v>32</v>
      </c>
    </row>
    <row r="79" spans="1:9" ht="15.6" x14ac:dyDescent="0.3">
      <c r="A79" s="3" t="s">
        <v>321</v>
      </c>
      <c r="B79" s="3" t="s">
        <v>322</v>
      </c>
      <c r="C79" s="3" t="s">
        <v>26</v>
      </c>
      <c r="D79" s="3" t="s">
        <v>29</v>
      </c>
      <c r="E79" s="3" t="s">
        <v>26</v>
      </c>
      <c r="F79" s="3" t="s">
        <v>323</v>
      </c>
      <c r="G79" s="4">
        <v>0.01</v>
      </c>
      <c r="H79" s="3" t="s">
        <v>140</v>
      </c>
      <c r="I79" s="3" t="s">
        <v>32</v>
      </c>
    </row>
    <row r="80" spans="1:9" ht="15.6" x14ac:dyDescent="0.3">
      <c r="A80" s="3" t="s">
        <v>324</v>
      </c>
      <c r="B80" s="3" t="s">
        <v>325</v>
      </c>
      <c r="C80" s="3" t="s">
        <v>26</v>
      </c>
      <c r="D80" s="3" t="s">
        <v>29</v>
      </c>
      <c r="E80" s="3" t="s">
        <v>26</v>
      </c>
      <c r="F80" s="3" t="s">
        <v>326</v>
      </c>
      <c r="G80" s="4">
        <v>0.01</v>
      </c>
      <c r="H80" s="3" t="s">
        <v>140</v>
      </c>
      <c r="I80" s="3" t="s">
        <v>32</v>
      </c>
    </row>
    <row r="81" spans="1:9" ht="15.6" x14ac:dyDescent="0.3">
      <c r="A81" s="3" t="s">
        <v>327</v>
      </c>
      <c r="B81" s="3" t="s">
        <v>328</v>
      </c>
      <c r="C81" s="3" t="s">
        <v>26</v>
      </c>
      <c r="D81" s="3" t="s">
        <v>29</v>
      </c>
      <c r="E81" s="3" t="s">
        <v>26</v>
      </c>
      <c r="F81" s="3" t="s">
        <v>329</v>
      </c>
      <c r="G81" s="4">
        <v>0.01</v>
      </c>
      <c r="H81" s="3" t="s">
        <v>140</v>
      </c>
      <c r="I81" s="3" t="s">
        <v>32</v>
      </c>
    </row>
    <row r="82" spans="1:9" ht="15.6" x14ac:dyDescent="0.3">
      <c r="A82" s="3" t="s">
        <v>330</v>
      </c>
      <c r="B82" s="3" t="s">
        <v>331</v>
      </c>
      <c r="C82" s="3" t="s">
        <v>26</v>
      </c>
      <c r="D82" s="3" t="s">
        <v>29</v>
      </c>
      <c r="E82" s="3" t="s">
        <v>26</v>
      </c>
      <c r="F82" s="3" t="s">
        <v>332</v>
      </c>
      <c r="G82" s="4">
        <v>0.01</v>
      </c>
      <c r="H82" s="3" t="s">
        <v>140</v>
      </c>
      <c r="I82" s="3" t="s">
        <v>32</v>
      </c>
    </row>
    <row r="83" spans="1:9" ht="15.6" x14ac:dyDescent="0.3">
      <c r="A83" s="3" t="s">
        <v>333</v>
      </c>
      <c r="B83" s="3" t="s">
        <v>334</v>
      </c>
      <c r="C83" s="3" t="s">
        <v>26</v>
      </c>
      <c r="D83" s="3" t="s">
        <v>29</v>
      </c>
      <c r="E83" s="3" t="s">
        <v>26</v>
      </c>
      <c r="F83" s="3" t="s">
        <v>335</v>
      </c>
      <c r="G83" s="4">
        <v>0.01</v>
      </c>
      <c r="H83" s="3" t="s">
        <v>140</v>
      </c>
      <c r="I83" s="3" t="s">
        <v>32</v>
      </c>
    </row>
    <row r="84" spans="1:9" ht="15.6" x14ac:dyDescent="0.3">
      <c r="A84" s="3" t="s">
        <v>336</v>
      </c>
      <c r="B84" s="3" t="s">
        <v>337</v>
      </c>
      <c r="C84" s="3" t="s">
        <v>26</v>
      </c>
      <c r="D84" s="3" t="s">
        <v>29</v>
      </c>
      <c r="E84" s="3" t="s">
        <v>26</v>
      </c>
      <c r="F84" s="3" t="s">
        <v>338</v>
      </c>
      <c r="G84" s="4">
        <v>0.01</v>
      </c>
      <c r="H84" s="3" t="s">
        <v>140</v>
      </c>
      <c r="I84" s="3" t="s">
        <v>32</v>
      </c>
    </row>
    <row r="85" spans="1:9" ht="15.6" x14ac:dyDescent="0.3">
      <c r="A85" s="3" t="s">
        <v>339</v>
      </c>
      <c r="B85" s="3" t="s">
        <v>340</v>
      </c>
      <c r="C85" s="3" t="s">
        <v>26</v>
      </c>
      <c r="D85" s="3" t="s">
        <v>29</v>
      </c>
      <c r="E85" s="3" t="s">
        <v>26</v>
      </c>
      <c r="F85" s="3" t="s">
        <v>341</v>
      </c>
      <c r="G85" s="4">
        <v>0.01</v>
      </c>
      <c r="H85" s="3" t="s">
        <v>140</v>
      </c>
      <c r="I85" s="3" t="s">
        <v>32</v>
      </c>
    </row>
    <row r="86" spans="1:9" ht="15.6" x14ac:dyDescent="0.3">
      <c r="A86" s="3" t="s">
        <v>342</v>
      </c>
      <c r="B86" s="3" t="s">
        <v>343</v>
      </c>
      <c r="C86" s="3" t="s">
        <v>26</v>
      </c>
      <c r="D86" s="3" t="s">
        <v>29</v>
      </c>
      <c r="E86" s="3" t="s">
        <v>26</v>
      </c>
      <c r="F86" s="3" t="s">
        <v>344</v>
      </c>
      <c r="G86" s="4">
        <v>0.01</v>
      </c>
      <c r="H86" s="3" t="s">
        <v>140</v>
      </c>
      <c r="I86" s="3" t="s">
        <v>32</v>
      </c>
    </row>
    <row r="87" spans="1:9" ht="15.6" x14ac:dyDescent="0.3">
      <c r="A87" s="3" t="s">
        <v>345</v>
      </c>
      <c r="B87" s="3" t="s">
        <v>346</v>
      </c>
      <c r="C87" s="3" t="s">
        <v>26</v>
      </c>
      <c r="D87" s="3" t="s">
        <v>29</v>
      </c>
      <c r="E87" s="3" t="s">
        <v>26</v>
      </c>
      <c r="F87" s="3" t="s">
        <v>347</v>
      </c>
      <c r="G87" s="4">
        <v>0.01</v>
      </c>
      <c r="H87" s="3" t="s">
        <v>140</v>
      </c>
      <c r="I87" s="3" t="s">
        <v>32</v>
      </c>
    </row>
    <row r="88" spans="1:9" ht="15.6" x14ac:dyDescent="0.3">
      <c r="A88" s="3" t="s">
        <v>348</v>
      </c>
      <c r="B88" s="3" t="s">
        <v>349</v>
      </c>
      <c r="C88" s="3" t="s">
        <v>26</v>
      </c>
      <c r="D88" s="3" t="s">
        <v>29</v>
      </c>
      <c r="E88" s="3" t="s">
        <v>26</v>
      </c>
      <c r="F88" s="3" t="s">
        <v>350</v>
      </c>
      <c r="G88" s="4">
        <v>0.01</v>
      </c>
      <c r="H88" s="3" t="s">
        <v>140</v>
      </c>
      <c r="I88" s="3" t="s">
        <v>32</v>
      </c>
    </row>
    <row r="89" spans="1:9" ht="15.6" x14ac:dyDescent="0.3">
      <c r="A89" s="3" t="s">
        <v>351</v>
      </c>
      <c r="B89" s="3" t="s">
        <v>352</v>
      </c>
      <c r="C89" s="3" t="s">
        <v>26</v>
      </c>
      <c r="D89" s="3" t="s">
        <v>29</v>
      </c>
      <c r="E89" s="3" t="s">
        <v>26</v>
      </c>
      <c r="F89" s="3" t="s">
        <v>353</v>
      </c>
      <c r="G89" s="4">
        <v>0.01</v>
      </c>
      <c r="H89" s="3" t="s">
        <v>140</v>
      </c>
      <c r="I89" s="3" t="s">
        <v>32</v>
      </c>
    </row>
    <row r="90" spans="1:9" ht="15.6" x14ac:dyDescent="0.3">
      <c r="A90" s="3" t="s">
        <v>354</v>
      </c>
      <c r="B90" s="3" t="s">
        <v>355</v>
      </c>
      <c r="C90" s="3" t="s">
        <v>26</v>
      </c>
      <c r="D90" s="3" t="s">
        <v>29</v>
      </c>
      <c r="E90" s="3" t="s">
        <v>26</v>
      </c>
      <c r="F90" s="3" t="s">
        <v>356</v>
      </c>
      <c r="G90" s="4">
        <v>0.01</v>
      </c>
      <c r="H90" s="3" t="s">
        <v>140</v>
      </c>
      <c r="I90" s="3" t="s">
        <v>32</v>
      </c>
    </row>
    <row r="91" spans="1:9" ht="15.6" x14ac:dyDescent="0.3">
      <c r="A91" s="3" t="s">
        <v>357</v>
      </c>
      <c r="B91" s="3" t="s">
        <v>358</v>
      </c>
      <c r="C91" s="3" t="s">
        <v>26</v>
      </c>
      <c r="D91" s="3" t="s">
        <v>29</v>
      </c>
      <c r="E91" s="3" t="s">
        <v>26</v>
      </c>
      <c r="F91" s="3" t="s">
        <v>359</v>
      </c>
      <c r="G91" s="4">
        <v>0.01</v>
      </c>
      <c r="H91" s="3" t="s">
        <v>140</v>
      </c>
      <c r="I91" s="3" t="s">
        <v>32</v>
      </c>
    </row>
    <row r="92" spans="1:9" ht="15.6" x14ac:dyDescent="0.3">
      <c r="A92" s="3" t="s">
        <v>360</v>
      </c>
      <c r="B92" s="3" t="s">
        <v>361</v>
      </c>
      <c r="C92" s="3" t="s">
        <v>26</v>
      </c>
      <c r="D92" s="3" t="s">
        <v>29</v>
      </c>
      <c r="E92" s="3" t="s">
        <v>26</v>
      </c>
      <c r="F92" s="3" t="s">
        <v>362</v>
      </c>
      <c r="G92" s="4">
        <v>0.01</v>
      </c>
      <c r="H92" s="3" t="s">
        <v>140</v>
      </c>
      <c r="I92" s="3" t="s">
        <v>32</v>
      </c>
    </row>
    <row r="93" spans="1:9" ht="15.6" x14ac:dyDescent="0.3">
      <c r="A93" s="3" t="s">
        <v>363</v>
      </c>
      <c r="B93" s="3" t="s">
        <v>364</v>
      </c>
      <c r="C93" s="3" t="s">
        <v>26</v>
      </c>
      <c r="D93" s="3" t="s">
        <v>29</v>
      </c>
      <c r="E93" s="3" t="s">
        <v>26</v>
      </c>
      <c r="F93" s="3" t="s">
        <v>365</v>
      </c>
      <c r="G93" s="4">
        <v>0.01</v>
      </c>
      <c r="H93" s="3" t="s">
        <v>140</v>
      </c>
      <c r="I93" s="3" t="s">
        <v>32</v>
      </c>
    </row>
    <row r="94" spans="1:9" ht="15.6" x14ac:dyDescent="0.3">
      <c r="A94" s="3" t="s">
        <v>366</v>
      </c>
      <c r="B94" s="3" t="s">
        <v>367</v>
      </c>
      <c r="C94" s="3" t="s">
        <v>26</v>
      </c>
      <c r="D94" s="3" t="s">
        <v>29</v>
      </c>
      <c r="E94" s="3" t="s">
        <v>26</v>
      </c>
      <c r="F94" s="3" t="s">
        <v>368</v>
      </c>
      <c r="G94" s="4">
        <v>0.01</v>
      </c>
      <c r="H94" s="3" t="s">
        <v>140</v>
      </c>
      <c r="I94" s="3" t="s">
        <v>32</v>
      </c>
    </row>
    <row r="95" spans="1:9" ht="15.6" x14ac:dyDescent="0.3">
      <c r="A95" s="3" t="s">
        <v>369</v>
      </c>
      <c r="B95" s="3" t="s">
        <v>370</v>
      </c>
      <c r="C95" s="3" t="s">
        <v>26</v>
      </c>
      <c r="D95" s="3" t="s">
        <v>29</v>
      </c>
      <c r="E95" s="3" t="s">
        <v>26</v>
      </c>
      <c r="F95" s="3" t="s">
        <v>371</v>
      </c>
      <c r="G95" s="4">
        <v>0.01</v>
      </c>
      <c r="H95" s="3" t="s">
        <v>140</v>
      </c>
      <c r="I95" s="3" t="s">
        <v>32</v>
      </c>
    </row>
    <row r="96" spans="1:9" ht="15.6" x14ac:dyDescent="0.3">
      <c r="A96" s="3" t="s">
        <v>372</v>
      </c>
      <c r="B96" s="3" t="s">
        <v>373</v>
      </c>
      <c r="C96" s="3" t="s">
        <v>26</v>
      </c>
      <c r="D96" s="3" t="s">
        <v>29</v>
      </c>
      <c r="E96" s="3" t="s">
        <v>26</v>
      </c>
      <c r="F96" s="3" t="s">
        <v>374</v>
      </c>
      <c r="G96" s="4">
        <v>0.01</v>
      </c>
      <c r="H96" s="3" t="s">
        <v>140</v>
      </c>
      <c r="I96" s="3" t="s">
        <v>32</v>
      </c>
    </row>
    <row r="97" spans="1:9" ht="15.6" x14ac:dyDescent="0.3">
      <c r="A97" s="3" t="s">
        <v>375</v>
      </c>
      <c r="B97" s="3" t="s">
        <v>376</v>
      </c>
      <c r="C97" s="3" t="s">
        <v>26</v>
      </c>
      <c r="D97" s="3" t="s">
        <v>29</v>
      </c>
      <c r="E97" s="3" t="s">
        <v>26</v>
      </c>
      <c r="F97" s="3" t="s">
        <v>377</v>
      </c>
      <c r="G97" s="4">
        <v>0.01</v>
      </c>
      <c r="H97" s="3" t="s">
        <v>140</v>
      </c>
      <c r="I97" s="3" t="s">
        <v>32</v>
      </c>
    </row>
    <row r="98" spans="1:9" ht="15.6" x14ac:dyDescent="0.3">
      <c r="A98" s="3" t="s">
        <v>378</v>
      </c>
      <c r="B98" s="3" t="s">
        <v>379</v>
      </c>
      <c r="C98" s="3" t="s">
        <v>26</v>
      </c>
      <c r="D98" s="3" t="s">
        <v>29</v>
      </c>
      <c r="E98" s="3" t="s">
        <v>26</v>
      </c>
      <c r="F98" s="3" t="s">
        <v>380</v>
      </c>
      <c r="G98" s="4">
        <v>0.01</v>
      </c>
      <c r="H98" s="3" t="s">
        <v>140</v>
      </c>
      <c r="I98" s="3" t="s">
        <v>32</v>
      </c>
    </row>
    <row r="99" spans="1:9" ht="15.6" x14ac:dyDescent="0.3">
      <c r="A99" s="3" t="s">
        <v>381</v>
      </c>
      <c r="B99" s="3" t="s">
        <v>382</v>
      </c>
      <c r="C99" s="3" t="s">
        <v>26</v>
      </c>
      <c r="D99" s="3" t="s">
        <v>29</v>
      </c>
      <c r="E99" s="3" t="s">
        <v>26</v>
      </c>
      <c r="F99" s="3" t="s">
        <v>383</v>
      </c>
      <c r="G99" s="4">
        <v>0.01</v>
      </c>
      <c r="H99" s="3" t="s">
        <v>140</v>
      </c>
      <c r="I99" s="3" t="s">
        <v>32</v>
      </c>
    </row>
    <row r="100" spans="1:9" ht="15.6" x14ac:dyDescent="0.3">
      <c r="A100" s="3" t="s">
        <v>306</v>
      </c>
      <c r="B100" s="3" t="s">
        <v>307</v>
      </c>
      <c r="C100" s="3" t="s">
        <v>26</v>
      </c>
      <c r="D100" s="3" t="s">
        <v>29</v>
      </c>
      <c r="E100" s="3" t="s">
        <v>26</v>
      </c>
      <c r="F100" s="3" t="s">
        <v>308</v>
      </c>
      <c r="G100" s="4">
        <v>0.01</v>
      </c>
      <c r="H100" s="3" t="s">
        <v>140</v>
      </c>
      <c r="I100" s="3" t="s">
        <v>32</v>
      </c>
    </row>
    <row r="101" spans="1:9" ht="15.6" x14ac:dyDescent="0.3">
      <c r="A101" s="3" t="s">
        <v>384</v>
      </c>
      <c r="B101" s="3" t="s">
        <v>385</v>
      </c>
      <c r="C101" s="3" t="s">
        <v>26</v>
      </c>
      <c r="D101" s="3" t="s">
        <v>29</v>
      </c>
      <c r="E101" s="3" t="s">
        <v>26</v>
      </c>
      <c r="F101" s="3" t="s">
        <v>386</v>
      </c>
      <c r="G101" s="4">
        <v>0.01</v>
      </c>
      <c r="H101" s="3" t="s">
        <v>140</v>
      </c>
      <c r="I101" s="3" t="s">
        <v>32</v>
      </c>
    </row>
    <row r="102" spans="1:9" ht="15.6" x14ac:dyDescent="0.3">
      <c r="A102" s="3" t="s">
        <v>387</v>
      </c>
      <c r="B102" s="3" t="s">
        <v>388</v>
      </c>
      <c r="C102" s="3" t="s">
        <v>26</v>
      </c>
      <c r="D102" s="3" t="s">
        <v>29</v>
      </c>
      <c r="E102" s="3" t="s">
        <v>26</v>
      </c>
      <c r="F102" s="3" t="s">
        <v>389</v>
      </c>
      <c r="G102" s="4">
        <v>0.01</v>
      </c>
      <c r="H102" s="3" t="s">
        <v>140</v>
      </c>
      <c r="I102" s="3" t="s">
        <v>32</v>
      </c>
    </row>
    <row r="103" spans="1:9" ht="15.6" x14ac:dyDescent="0.3">
      <c r="A103" s="3" t="s">
        <v>390</v>
      </c>
      <c r="B103" s="3" t="s">
        <v>391</v>
      </c>
      <c r="C103" s="3" t="s">
        <v>26</v>
      </c>
      <c r="D103" s="3" t="s">
        <v>29</v>
      </c>
      <c r="E103" s="3" t="s">
        <v>26</v>
      </c>
      <c r="F103" s="3" t="s">
        <v>392</v>
      </c>
      <c r="G103" s="4">
        <v>0.01</v>
      </c>
      <c r="H103" s="3" t="s">
        <v>140</v>
      </c>
      <c r="I103" s="3" t="s">
        <v>32</v>
      </c>
    </row>
    <row r="104" spans="1:9" ht="15.6" x14ac:dyDescent="0.3">
      <c r="A104" s="3" t="s">
        <v>393</v>
      </c>
      <c r="B104" s="3" t="s">
        <v>394</v>
      </c>
      <c r="C104" s="3" t="s">
        <v>26</v>
      </c>
      <c r="D104" s="3" t="s">
        <v>29</v>
      </c>
      <c r="E104" s="3" t="s">
        <v>26</v>
      </c>
      <c r="F104" s="3" t="s">
        <v>395</v>
      </c>
      <c r="G104" s="4">
        <v>0.01</v>
      </c>
      <c r="H104" s="3" t="s">
        <v>140</v>
      </c>
      <c r="I104" s="3" t="s">
        <v>32</v>
      </c>
    </row>
    <row r="105" spans="1:9" ht="15.6" x14ac:dyDescent="0.3">
      <c r="A105" s="3" t="s">
        <v>396</v>
      </c>
      <c r="B105" s="3" t="s">
        <v>397</v>
      </c>
      <c r="C105" s="3" t="s">
        <v>26</v>
      </c>
      <c r="D105" s="3" t="s">
        <v>29</v>
      </c>
      <c r="E105" s="3" t="s">
        <v>26</v>
      </c>
      <c r="F105" s="3" t="s">
        <v>398</v>
      </c>
      <c r="G105" s="4">
        <v>0.01</v>
      </c>
      <c r="H105" s="3" t="s">
        <v>140</v>
      </c>
      <c r="I105" s="3" t="s">
        <v>32</v>
      </c>
    </row>
    <row r="106" spans="1:9" ht="15.6" x14ac:dyDescent="0.3">
      <c r="A106" s="3" t="s">
        <v>399</v>
      </c>
      <c r="B106" s="3" t="s">
        <v>400</v>
      </c>
      <c r="C106" s="3" t="s">
        <v>26</v>
      </c>
      <c r="D106" s="3" t="s">
        <v>29</v>
      </c>
      <c r="E106" s="3" t="s">
        <v>26</v>
      </c>
      <c r="F106" s="3" t="s">
        <v>401</v>
      </c>
      <c r="G106" s="4">
        <v>0.01</v>
      </c>
      <c r="H106" s="3" t="s">
        <v>140</v>
      </c>
      <c r="I106" s="3" t="s">
        <v>32</v>
      </c>
    </row>
    <row r="107" spans="1:9" ht="15.6" x14ac:dyDescent="0.3">
      <c r="A107" s="3" t="s">
        <v>402</v>
      </c>
      <c r="B107" s="3" t="s">
        <v>403</v>
      </c>
      <c r="C107" s="3" t="s">
        <v>26</v>
      </c>
      <c r="D107" s="3" t="s">
        <v>29</v>
      </c>
      <c r="E107" s="3" t="s">
        <v>26</v>
      </c>
      <c r="F107" s="3" t="s">
        <v>404</v>
      </c>
      <c r="G107" s="4">
        <v>0.01</v>
      </c>
      <c r="H107" s="3" t="s">
        <v>140</v>
      </c>
      <c r="I107" s="3" t="s">
        <v>32</v>
      </c>
    </row>
    <row r="108" spans="1:9" ht="15.6" x14ac:dyDescent="0.3">
      <c r="A108" s="3" t="s">
        <v>405</v>
      </c>
      <c r="B108" s="3" t="s">
        <v>406</v>
      </c>
      <c r="C108" s="3" t="s">
        <v>26</v>
      </c>
      <c r="D108" s="3" t="s">
        <v>29</v>
      </c>
      <c r="E108" s="3" t="s">
        <v>26</v>
      </c>
      <c r="F108" s="3" t="s">
        <v>407</v>
      </c>
      <c r="G108" s="4">
        <v>0.01</v>
      </c>
      <c r="H108" s="3" t="s">
        <v>140</v>
      </c>
      <c r="I108" s="3" t="s">
        <v>32</v>
      </c>
    </row>
    <row r="109" spans="1:9" ht="15.6" x14ac:dyDescent="0.3">
      <c r="A109" s="3" t="s">
        <v>408</v>
      </c>
      <c r="B109" s="3" t="s">
        <v>409</v>
      </c>
      <c r="C109" s="3" t="s">
        <v>26</v>
      </c>
      <c r="D109" s="3" t="s">
        <v>29</v>
      </c>
      <c r="E109" s="3" t="s">
        <v>26</v>
      </c>
      <c r="F109" s="3" t="s">
        <v>410</v>
      </c>
      <c r="G109" s="4">
        <v>0.01</v>
      </c>
      <c r="H109" s="3" t="s">
        <v>140</v>
      </c>
      <c r="I109" s="3" t="s">
        <v>32</v>
      </c>
    </row>
    <row r="110" spans="1:9" ht="15.6" x14ac:dyDescent="0.3">
      <c r="A110" s="3" t="s">
        <v>411</v>
      </c>
      <c r="B110" s="3" t="s">
        <v>412</v>
      </c>
      <c r="C110" s="3" t="s">
        <v>26</v>
      </c>
      <c r="D110" s="3" t="s">
        <v>29</v>
      </c>
      <c r="E110" s="3" t="s">
        <v>26</v>
      </c>
      <c r="F110" s="3" t="s">
        <v>413</v>
      </c>
      <c r="G110" s="4">
        <v>0.01</v>
      </c>
      <c r="H110" s="3" t="s">
        <v>140</v>
      </c>
      <c r="I110" s="3" t="s">
        <v>32</v>
      </c>
    </row>
    <row r="111" spans="1:9" ht="15.6" x14ac:dyDescent="0.3">
      <c r="A111" s="3" t="s">
        <v>414</v>
      </c>
      <c r="B111" s="3" t="s">
        <v>415</v>
      </c>
      <c r="C111" s="3" t="s">
        <v>26</v>
      </c>
      <c r="D111" s="3" t="s">
        <v>29</v>
      </c>
      <c r="E111" s="3" t="s">
        <v>26</v>
      </c>
      <c r="F111" s="3" t="s">
        <v>416</v>
      </c>
      <c r="G111" s="4">
        <v>0.01</v>
      </c>
      <c r="H111" s="3" t="s">
        <v>140</v>
      </c>
      <c r="I111" s="3" t="s">
        <v>32</v>
      </c>
    </row>
    <row r="112" spans="1:9" ht="15.6" x14ac:dyDescent="0.3">
      <c r="A112" s="3" t="s">
        <v>417</v>
      </c>
      <c r="B112" s="3" t="s">
        <v>418</v>
      </c>
      <c r="C112" s="3" t="s">
        <v>26</v>
      </c>
      <c r="D112" s="3" t="s">
        <v>29</v>
      </c>
      <c r="E112" s="3" t="s">
        <v>26</v>
      </c>
      <c r="F112" s="3" t="s">
        <v>419</v>
      </c>
      <c r="G112" s="4">
        <v>0.01</v>
      </c>
      <c r="H112" s="3" t="s">
        <v>140</v>
      </c>
      <c r="I112" s="3" t="s">
        <v>32</v>
      </c>
    </row>
    <row r="113" spans="1:9" ht="15.6" x14ac:dyDescent="0.3">
      <c r="A113" s="3" t="s">
        <v>420</v>
      </c>
      <c r="B113" s="3" t="s">
        <v>421</v>
      </c>
      <c r="C113" s="3" t="s">
        <v>26</v>
      </c>
      <c r="D113" s="3" t="s">
        <v>29</v>
      </c>
      <c r="E113" s="3" t="s">
        <v>26</v>
      </c>
      <c r="F113" s="3" t="s">
        <v>422</v>
      </c>
      <c r="G113" s="4">
        <v>0.01</v>
      </c>
      <c r="H113" s="3" t="s">
        <v>140</v>
      </c>
      <c r="I113" s="3" t="s">
        <v>32</v>
      </c>
    </row>
    <row r="114" spans="1:9" ht="15.6" x14ac:dyDescent="0.3">
      <c r="A114" s="3" t="s">
        <v>423</v>
      </c>
      <c r="B114" s="3" t="s">
        <v>424</v>
      </c>
      <c r="C114" s="3" t="s">
        <v>26</v>
      </c>
      <c r="D114" s="3" t="s">
        <v>29</v>
      </c>
      <c r="E114" s="3" t="s">
        <v>26</v>
      </c>
      <c r="F114" s="3" t="s">
        <v>425</v>
      </c>
      <c r="G114" s="4">
        <v>0.01</v>
      </c>
      <c r="H114" s="3" t="s">
        <v>140</v>
      </c>
      <c r="I114" s="3" t="s">
        <v>32</v>
      </c>
    </row>
    <row r="115" spans="1:9" ht="15.6" x14ac:dyDescent="0.3">
      <c r="A115" s="3" t="s">
        <v>426</v>
      </c>
      <c r="B115" s="3" t="s">
        <v>427</v>
      </c>
      <c r="C115" s="3" t="s">
        <v>26</v>
      </c>
      <c r="D115" s="3" t="s">
        <v>29</v>
      </c>
      <c r="E115" s="3" t="s">
        <v>26</v>
      </c>
      <c r="F115" s="3" t="s">
        <v>428</v>
      </c>
      <c r="G115" s="4">
        <v>0.01</v>
      </c>
      <c r="H115" s="3" t="s">
        <v>140</v>
      </c>
      <c r="I115" s="3" t="s">
        <v>32</v>
      </c>
    </row>
    <row r="116" spans="1:9" ht="15.6" x14ac:dyDescent="0.3">
      <c r="A116" s="3" t="s">
        <v>429</v>
      </c>
      <c r="B116" s="3" t="s">
        <v>430</v>
      </c>
      <c r="C116" s="3" t="s">
        <v>26</v>
      </c>
      <c r="D116" s="3" t="s">
        <v>29</v>
      </c>
      <c r="E116" s="3" t="s">
        <v>26</v>
      </c>
      <c r="F116" s="3" t="s">
        <v>431</v>
      </c>
      <c r="G116" s="4">
        <v>0.01</v>
      </c>
      <c r="H116" s="3" t="s">
        <v>140</v>
      </c>
      <c r="I116" s="3" t="s">
        <v>32</v>
      </c>
    </row>
    <row r="117" spans="1:9" ht="15.6" x14ac:dyDescent="0.3">
      <c r="A117" s="3" t="s">
        <v>432</v>
      </c>
      <c r="B117" s="3" t="s">
        <v>433</v>
      </c>
      <c r="C117" s="3" t="s">
        <v>26</v>
      </c>
      <c r="D117" s="3" t="s">
        <v>29</v>
      </c>
      <c r="E117" s="3" t="s">
        <v>26</v>
      </c>
      <c r="F117" s="3" t="s">
        <v>434</v>
      </c>
      <c r="G117" s="4">
        <v>0.01</v>
      </c>
      <c r="H117" s="3" t="s">
        <v>140</v>
      </c>
      <c r="I117" s="3" t="s">
        <v>32</v>
      </c>
    </row>
    <row r="118" spans="1:9" ht="15.6" x14ac:dyDescent="0.3">
      <c r="A118" s="3" t="s">
        <v>435</v>
      </c>
      <c r="B118" s="3" t="s">
        <v>436</v>
      </c>
      <c r="C118" s="3" t="s">
        <v>26</v>
      </c>
      <c r="D118" s="3" t="s">
        <v>29</v>
      </c>
      <c r="E118" s="3" t="s">
        <v>26</v>
      </c>
      <c r="F118" s="3" t="s">
        <v>437</v>
      </c>
      <c r="G118" s="4">
        <v>0.01</v>
      </c>
      <c r="H118" s="3" t="s">
        <v>140</v>
      </c>
      <c r="I118" s="3" t="s">
        <v>32</v>
      </c>
    </row>
    <row r="119" spans="1:9" ht="15.6" x14ac:dyDescent="0.3">
      <c r="A119" s="3" t="s">
        <v>438</v>
      </c>
      <c r="B119" s="3" t="s">
        <v>439</v>
      </c>
      <c r="C119" s="3" t="s">
        <v>26</v>
      </c>
      <c r="D119" s="3" t="s">
        <v>29</v>
      </c>
      <c r="E119" s="3" t="s">
        <v>26</v>
      </c>
      <c r="F119" s="3" t="s">
        <v>440</v>
      </c>
      <c r="G119" s="4">
        <v>0.01</v>
      </c>
      <c r="H119" s="3" t="s">
        <v>140</v>
      </c>
      <c r="I119" s="3" t="s">
        <v>32</v>
      </c>
    </row>
    <row r="120" spans="1:9" ht="15.6" x14ac:dyDescent="0.3">
      <c r="A120" s="3" t="s">
        <v>441</v>
      </c>
      <c r="B120" s="3" t="s">
        <v>442</v>
      </c>
      <c r="C120" s="3" t="s">
        <v>26</v>
      </c>
      <c r="D120" s="3" t="s">
        <v>29</v>
      </c>
      <c r="E120" s="3" t="s">
        <v>26</v>
      </c>
      <c r="F120" s="3" t="s">
        <v>443</v>
      </c>
      <c r="G120" s="4">
        <v>0.01</v>
      </c>
      <c r="H120" s="3" t="s">
        <v>140</v>
      </c>
      <c r="I120" s="3" t="s">
        <v>32</v>
      </c>
    </row>
    <row r="121" spans="1:9" ht="15.6" x14ac:dyDescent="0.3">
      <c r="A121" s="3" t="s">
        <v>444</v>
      </c>
      <c r="B121" s="3" t="s">
        <v>445</v>
      </c>
      <c r="C121" s="3" t="s">
        <v>26</v>
      </c>
      <c r="D121" s="3" t="s">
        <v>29</v>
      </c>
      <c r="E121" s="3" t="s">
        <v>26</v>
      </c>
      <c r="F121" s="3" t="s">
        <v>446</v>
      </c>
      <c r="G121" s="4">
        <v>0.01</v>
      </c>
      <c r="H121" s="3" t="s">
        <v>140</v>
      </c>
      <c r="I121" s="3" t="s">
        <v>32</v>
      </c>
    </row>
    <row r="122" spans="1:9" ht="15.6" x14ac:dyDescent="0.3">
      <c r="A122" s="3" t="s">
        <v>447</v>
      </c>
      <c r="B122" s="3" t="s">
        <v>448</v>
      </c>
      <c r="C122" s="3" t="s">
        <v>26</v>
      </c>
      <c r="D122" s="3" t="s">
        <v>29</v>
      </c>
      <c r="E122" s="3" t="s">
        <v>26</v>
      </c>
      <c r="F122" s="3" t="s">
        <v>449</v>
      </c>
      <c r="G122" s="4">
        <v>0.01</v>
      </c>
      <c r="H122" s="3" t="s">
        <v>140</v>
      </c>
      <c r="I122" s="3" t="s">
        <v>32</v>
      </c>
    </row>
    <row r="123" spans="1:9" ht="15.6" x14ac:dyDescent="0.3">
      <c r="A123" s="3" t="s">
        <v>450</v>
      </c>
      <c r="B123" s="3" t="s">
        <v>451</v>
      </c>
      <c r="C123" s="3" t="s">
        <v>26</v>
      </c>
      <c r="D123" s="3" t="s">
        <v>29</v>
      </c>
      <c r="E123" s="3" t="s">
        <v>26</v>
      </c>
      <c r="F123" s="3" t="s">
        <v>452</v>
      </c>
      <c r="G123" s="4">
        <v>0.01</v>
      </c>
      <c r="H123" s="3" t="s">
        <v>140</v>
      </c>
      <c r="I123" s="3" t="s">
        <v>32</v>
      </c>
    </row>
    <row r="124" spans="1:9" ht="15.6" x14ac:dyDescent="0.3">
      <c r="A124" s="3" t="s">
        <v>453</v>
      </c>
      <c r="B124" s="3" t="s">
        <v>454</v>
      </c>
      <c r="C124" s="3" t="s">
        <v>26</v>
      </c>
      <c r="D124" s="3" t="s">
        <v>29</v>
      </c>
      <c r="E124" s="3" t="s">
        <v>26</v>
      </c>
      <c r="F124" s="3" t="s">
        <v>455</v>
      </c>
      <c r="G124" s="4">
        <v>0.01</v>
      </c>
      <c r="H124" s="3" t="s">
        <v>140</v>
      </c>
      <c r="I124" s="3" t="s">
        <v>32</v>
      </c>
    </row>
    <row r="125" spans="1:9" ht="15.6" x14ac:dyDescent="0.3">
      <c r="A125" s="3" t="s">
        <v>456</v>
      </c>
      <c r="B125" s="3" t="s">
        <v>457</v>
      </c>
      <c r="C125" s="3" t="s">
        <v>26</v>
      </c>
      <c r="D125" s="3" t="s">
        <v>29</v>
      </c>
      <c r="E125" s="3" t="s">
        <v>26</v>
      </c>
      <c r="F125" s="3" t="s">
        <v>458</v>
      </c>
      <c r="G125" s="4">
        <v>0.01</v>
      </c>
      <c r="H125" s="3" t="s">
        <v>140</v>
      </c>
      <c r="I125" s="3" t="s">
        <v>32</v>
      </c>
    </row>
    <row r="126" spans="1:9" ht="15.6" x14ac:dyDescent="0.3">
      <c r="A126" s="3" t="s">
        <v>459</v>
      </c>
      <c r="B126" s="3" t="s">
        <v>460</v>
      </c>
      <c r="C126" s="3" t="s">
        <v>26</v>
      </c>
      <c r="D126" s="3" t="s">
        <v>29</v>
      </c>
      <c r="E126" s="3" t="s">
        <v>26</v>
      </c>
      <c r="F126" s="3" t="s">
        <v>461</v>
      </c>
      <c r="G126" s="4">
        <v>0.01</v>
      </c>
      <c r="H126" s="3" t="s">
        <v>140</v>
      </c>
      <c r="I126" s="3" t="s">
        <v>32</v>
      </c>
    </row>
    <row r="127" spans="1:9" ht="15.6" x14ac:dyDescent="0.3">
      <c r="A127" s="3" t="s">
        <v>462</v>
      </c>
      <c r="B127" s="3" t="s">
        <v>463</v>
      </c>
      <c r="C127" s="3" t="s">
        <v>26</v>
      </c>
      <c r="D127" s="3" t="s">
        <v>29</v>
      </c>
      <c r="E127" s="3" t="s">
        <v>26</v>
      </c>
      <c r="F127" s="3" t="s">
        <v>464</v>
      </c>
      <c r="G127" s="4">
        <v>0.01</v>
      </c>
      <c r="H127" s="3" t="s">
        <v>140</v>
      </c>
      <c r="I127" s="3" t="s">
        <v>32</v>
      </c>
    </row>
    <row r="128" spans="1:9" ht="15.6" x14ac:dyDescent="0.3">
      <c r="A128" s="3" t="s">
        <v>465</v>
      </c>
      <c r="B128" s="3" t="s">
        <v>466</v>
      </c>
      <c r="C128" s="3" t="s">
        <v>26</v>
      </c>
      <c r="D128" s="3" t="s">
        <v>29</v>
      </c>
      <c r="E128" s="3" t="s">
        <v>26</v>
      </c>
      <c r="F128" s="3" t="s">
        <v>467</v>
      </c>
      <c r="G128" s="4">
        <v>0.01</v>
      </c>
      <c r="H128" s="3" t="s">
        <v>140</v>
      </c>
      <c r="I128" s="3" t="s">
        <v>32</v>
      </c>
    </row>
    <row r="129" spans="1:9" ht="15.6" x14ac:dyDescent="0.3">
      <c r="A129" s="3" t="s">
        <v>468</v>
      </c>
      <c r="B129" s="3" t="s">
        <v>469</v>
      </c>
      <c r="C129" s="3" t="s">
        <v>26</v>
      </c>
      <c r="D129" s="3" t="s">
        <v>29</v>
      </c>
      <c r="E129" s="3" t="s">
        <v>26</v>
      </c>
      <c r="F129" s="3" t="s">
        <v>470</v>
      </c>
      <c r="G129" s="4">
        <v>0.01</v>
      </c>
      <c r="H129" s="3" t="s">
        <v>140</v>
      </c>
      <c r="I129" s="3" t="s">
        <v>32</v>
      </c>
    </row>
    <row r="130" spans="1:9" ht="15.6" x14ac:dyDescent="0.3">
      <c r="A130" s="3" t="s">
        <v>471</v>
      </c>
      <c r="B130" s="3" t="s">
        <v>472</v>
      </c>
      <c r="C130" s="3" t="s">
        <v>26</v>
      </c>
      <c r="D130" s="3" t="s">
        <v>29</v>
      </c>
      <c r="E130" s="3" t="s">
        <v>26</v>
      </c>
      <c r="F130" s="3" t="s">
        <v>473</v>
      </c>
      <c r="G130" s="4">
        <v>0.01</v>
      </c>
      <c r="H130" s="3" t="s">
        <v>140</v>
      </c>
      <c r="I130" s="3" t="s">
        <v>32</v>
      </c>
    </row>
    <row r="131" spans="1:9" ht="15.6" x14ac:dyDescent="0.3">
      <c r="A131" s="3" t="s">
        <v>474</v>
      </c>
      <c r="B131" s="3" t="s">
        <v>475</v>
      </c>
      <c r="C131" s="3" t="s">
        <v>26</v>
      </c>
      <c r="D131" s="3" t="s">
        <v>29</v>
      </c>
      <c r="E131" s="3" t="s">
        <v>26</v>
      </c>
      <c r="F131" s="3" t="s">
        <v>476</v>
      </c>
      <c r="G131" s="4">
        <v>0.01</v>
      </c>
      <c r="H131" s="3" t="s">
        <v>140</v>
      </c>
      <c r="I131" s="3" t="s">
        <v>32</v>
      </c>
    </row>
    <row r="132" spans="1:9" ht="15.6" x14ac:dyDescent="0.3">
      <c r="A132" s="3" t="s">
        <v>477</v>
      </c>
      <c r="B132" s="3" t="s">
        <v>478</v>
      </c>
      <c r="C132" s="3" t="s">
        <v>26</v>
      </c>
      <c r="D132" s="3" t="s">
        <v>29</v>
      </c>
      <c r="E132" s="3" t="s">
        <v>26</v>
      </c>
      <c r="F132" s="3" t="s">
        <v>479</v>
      </c>
      <c r="G132" s="4">
        <v>0.01</v>
      </c>
      <c r="H132" s="3" t="s">
        <v>140</v>
      </c>
      <c r="I132" s="3" t="s">
        <v>32</v>
      </c>
    </row>
    <row r="133" spans="1:9" ht="15.6" x14ac:dyDescent="0.3">
      <c r="A133" s="3" t="s">
        <v>480</v>
      </c>
      <c r="B133" s="3" t="s">
        <v>481</v>
      </c>
      <c r="C133" s="3" t="s">
        <v>26</v>
      </c>
      <c r="D133" s="3" t="s">
        <v>29</v>
      </c>
      <c r="E133" s="3" t="s">
        <v>26</v>
      </c>
      <c r="F133" s="3" t="s">
        <v>482</v>
      </c>
      <c r="G133" s="4">
        <v>0.01</v>
      </c>
      <c r="H133" s="3" t="s">
        <v>140</v>
      </c>
      <c r="I133" s="3" t="s">
        <v>32</v>
      </c>
    </row>
    <row r="134" spans="1:9" ht="15.6" x14ac:dyDescent="0.3">
      <c r="A134" s="3" t="s">
        <v>483</v>
      </c>
      <c r="B134" s="3" t="s">
        <v>484</v>
      </c>
      <c r="C134" s="3" t="s">
        <v>26</v>
      </c>
      <c r="D134" s="3" t="s">
        <v>29</v>
      </c>
      <c r="E134" s="3" t="s">
        <v>26</v>
      </c>
      <c r="F134" s="3" t="s">
        <v>485</v>
      </c>
      <c r="G134" s="4">
        <v>0.01</v>
      </c>
      <c r="H134" s="3" t="s">
        <v>140</v>
      </c>
      <c r="I134" s="3" t="s">
        <v>32</v>
      </c>
    </row>
    <row r="135" spans="1:9" ht="15.6" x14ac:dyDescent="0.3">
      <c r="A135" s="3" t="s">
        <v>486</v>
      </c>
      <c r="B135" s="3" t="s">
        <v>487</v>
      </c>
      <c r="C135" s="3" t="s">
        <v>26</v>
      </c>
      <c r="D135" s="3" t="s">
        <v>29</v>
      </c>
      <c r="E135" s="3" t="s">
        <v>26</v>
      </c>
      <c r="F135" s="3" t="s">
        <v>488</v>
      </c>
      <c r="G135" s="4">
        <v>0.01</v>
      </c>
      <c r="H135" s="3" t="s">
        <v>140</v>
      </c>
      <c r="I135" s="3" t="s">
        <v>32</v>
      </c>
    </row>
    <row r="136" spans="1:9" ht="15.6" x14ac:dyDescent="0.3">
      <c r="A136" s="3" t="s">
        <v>489</v>
      </c>
      <c r="B136" s="3" t="s">
        <v>490</v>
      </c>
      <c r="C136" s="3" t="s">
        <v>26</v>
      </c>
      <c r="D136" s="3" t="s">
        <v>29</v>
      </c>
      <c r="E136" s="3" t="s">
        <v>26</v>
      </c>
      <c r="F136" s="3" t="s">
        <v>491</v>
      </c>
      <c r="G136" s="4">
        <v>0.01</v>
      </c>
      <c r="H136" s="3" t="s">
        <v>140</v>
      </c>
      <c r="I136" s="3" t="s">
        <v>32</v>
      </c>
    </row>
    <row r="137" spans="1:9" ht="15.6" x14ac:dyDescent="0.3">
      <c r="A137" s="3" t="s">
        <v>492</v>
      </c>
      <c r="B137" s="3" t="s">
        <v>493</v>
      </c>
      <c r="C137" s="3" t="s">
        <v>26</v>
      </c>
      <c r="D137" s="3" t="s">
        <v>29</v>
      </c>
      <c r="E137" s="3" t="s">
        <v>26</v>
      </c>
      <c r="F137" s="3" t="s">
        <v>494</v>
      </c>
      <c r="G137" s="4">
        <v>0.01</v>
      </c>
      <c r="H137" s="3" t="s">
        <v>140</v>
      </c>
      <c r="I137" s="3" t="s">
        <v>32</v>
      </c>
    </row>
    <row r="138" spans="1:9" ht="15.6" x14ac:dyDescent="0.3">
      <c r="A138" s="3" t="s">
        <v>495</v>
      </c>
      <c r="B138" s="3" t="s">
        <v>496</v>
      </c>
      <c r="C138" s="3" t="s">
        <v>26</v>
      </c>
      <c r="D138" s="3" t="s">
        <v>29</v>
      </c>
      <c r="E138" s="3" t="s">
        <v>26</v>
      </c>
      <c r="F138" s="3" t="s">
        <v>497</v>
      </c>
      <c r="G138" s="4">
        <v>0.01</v>
      </c>
      <c r="H138" s="3" t="s">
        <v>140</v>
      </c>
      <c r="I138" s="3" t="s">
        <v>32</v>
      </c>
    </row>
    <row r="139" spans="1:9" ht="15.6" x14ac:dyDescent="0.3">
      <c r="A139" s="3" t="s">
        <v>498</v>
      </c>
      <c r="B139" s="3" t="s">
        <v>499</v>
      </c>
      <c r="C139" s="3" t="s">
        <v>26</v>
      </c>
      <c r="D139" s="3" t="s">
        <v>29</v>
      </c>
      <c r="E139" s="3" t="s">
        <v>26</v>
      </c>
      <c r="F139" s="3" t="s">
        <v>500</v>
      </c>
      <c r="G139" s="4">
        <v>0.01</v>
      </c>
      <c r="H139" s="3" t="s">
        <v>140</v>
      </c>
      <c r="I139" s="3" t="s">
        <v>32</v>
      </c>
    </row>
    <row r="140" spans="1:9" ht="15.6" x14ac:dyDescent="0.3">
      <c r="A140" s="3" t="s">
        <v>501</v>
      </c>
      <c r="B140" s="3" t="s">
        <v>502</v>
      </c>
      <c r="C140" s="3" t="s">
        <v>26</v>
      </c>
      <c r="D140" s="3" t="s">
        <v>29</v>
      </c>
      <c r="E140" s="3" t="s">
        <v>26</v>
      </c>
      <c r="F140" s="3" t="s">
        <v>503</v>
      </c>
      <c r="G140" s="4">
        <v>0.01</v>
      </c>
      <c r="H140" s="3" t="s">
        <v>140</v>
      </c>
      <c r="I140" s="3" t="s">
        <v>32</v>
      </c>
    </row>
    <row r="141" spans="1:9" ht="15.6" x14ac:dyDescent="0.3">
      <c r="A141" s="3" t="s">
        <v>504</v>
      </c>
      <c r="B141" s="3" t="s">
        <v>505</v>
      </c>
      <c r="C141" s="3" t="s">
        <v>26</v>
      </c>
      <c r="D141" s="3" t="s">
        <v>29</v>
      </c>
      <c r="E141" s="3" t="s">
        <v>26</v>
      </c>
      <c r="F141" s="3" t="s">
        <v>506</v>
      </c>
      <c r="G141" s="4">
        <v>0.01</v>
      </c>
      <c r="H141" s="3" t="s">
        <v>140</v>
      </c>
      <c r="I141" s="3" t="s">
        <v>32</v>
      </c>
    </row>
    <row r="142" spans="1:9" ht="15.6" x14ac:dyDescent="0.3">
      <c r="A142" s="3" t="s">
        <v>507</v>
      </c>
      <c r="B142" s="3" t="s">
        <v>508</v>
      </c>
      <c r="C142" s="3" t="s">
        <v>26</v>
      </c>
      <c r="D142" s="3" t="s">
        <v>29</v>
      </c>
      <c r="E142" s="3" t="s">
        <v>26</v>
      </c>
      <c r="F142" s="3" t="s">
        <v>509</v>
      </c>
      <c r="G142" s="4">
        <v>0.01</v>
      </c>
      <c r="H142" s="3" t="s">
        <v>140</v>
      </c>
      <c r="I142" s="3" t="s">
        <v>32</v>
      </c>
    </row>
    <row r="143" spans="1:9" ht="15.6" x14ac:dyDescent="0.3">
      <c r="A143" s="3" t="s">
        <v>510</v>
      </c>
      <c r="B143" s="3" t="s">
        <v>511</v>
      </c>
      <c r="C143" s="3" t="s">
        <v>26</v>
      </c>
      <c r="D143" s="3" t="s">
        <v>29</v>
      </c>
      <c r="E143" s="3" t="s">
        <v>26</v>
      </c>
      <c r="F143" s="3" t="s">
        <v>512</v>
      </c>
      <c r="G143" s="4">
        <v>0.01</v>
      </c>
      <c r="H143" s="3" t="s">
        <v>140</v>
      </c>
      <c r="I143" s="3" t="s">
        <v>32</v>
      </c>
    </row>
    <row r="144" spans="1:9" ht="15.6" x14ac:dyDescent="0.3">
      <c r="A144" s="3" t="s">
        <v>513</v>
      </c>
      <c r="B144" s="3" t="s">
        <v>514</v>
      </c>
      <c r="C144" s="3" t="s">
        <v>26</v>
      </c>
      <c r="D144" s="3" t="s">
        <v>29</v>
      </c>
      <c r="E144" s="3" t="s">
        <v>26</v>
      </c>
      <c r="F144" s="3" t="s">
        <v>515</v>
      </c>
      <c r="G144" s="4">
        <v>0.01</v>
      </c>
      <c r="H144" s="3" t="s">
        <v>140</v>
      </c>
      <c r="I144" s="3" t="s">
        <v>32</v>
      </c>
    </row>
    <row r="145" spans="1:9" ht="15.6" x14ac:dyDescent="0.3">
      <c r="A145" s="3" t="s">
        <v>516</v>
      </c>
      <c r="B145" s="3" t="s">
        <v>517</v>
      </c>
      <c r="C145" s="3" t="s">
        <v>26</v>
      </c>
      <c r="D145" s="3" t="s">
        <v>29</v>
      </c>
      <c r="E145" s="3" t="s">
        <v>26</v>
      </c>
      <c r="F145" s="3" t="s">
        <v>518</v>
      </c>
      <c r="G145" s="4">
        <v>0.01</v>
      </c>
      <c r="H145" s="3" t="s">
        <v>140</v>
      </c>
      <c r="I145" s="3" t="s">
        <v>32</v>
      </c>
    </row>
    <row r="146" spans="1:9" ht="15.6" x14ac:dyDescent="0.3">
      <c r="A146" s="3" t="s">
        <v>519</v>
      </c>
      <c r="B146" s="3" t="s">
        <v>520</v>
      </c>
      <c r="C146" s="3" t="s">
        <v>26</v>
      </c>
      <c r="D146" s="3" t="s">
        <v>29</v>
      </c>
      <c r="E146" s="3" t="s">
        <v>26</v>
      </c>
      <c r="F146" s="3" t="s">
        <v>521</v>
      </c>
      <c r="G146" s="4">
        <v>0.01</v>
      </c>
      <c r="H146" s="3" t="s">
        <v>140</v>
      </c>
      <c r="I146" s="3" t="s">
        <v>32</v>
      </c>
    </row>
    <row r="147" spans="1:9" ht="15.6" x14ac:dyDescent="0.3">
      <c r="A147" s="3" t="s">
        <v>522</v>
      </c>
      <c r="B147" s="3" t="s">
        <v>523</v>
      </c>
      <c r="C147" s="3" t="s">
        <v>26</v>
      </c>
      <c r="D147" s="3" t="s">
        <v>29</v>
      </c>
      <c r="E147" s="3" t="s">
        <v>26</v>
      </c>
      <c r="F147" s="3" t="s">
        <v>524</v>
      </c>
      <c r="G147" s="4">
        <v>0.01</v>
      </c>
      <c r="H147" s="3" t="s">
        <v>140</v>
      </c>
      <c r="I147" s="3" t="s">
        <v>32</v>
      </c>
    </row>
    <row r="148" spans="1:9" ht="15.6" x14ac:dyDescent="0.3">
      <c r="A148" s="3" t="s">
        <v>525</v>
      </c>
      <c r="B148" s="3" t="s">
        <v>526</v>
      </c>
      <c r="C148" s="3" t="s">
        <v>26</v>
      </c>
      <c r="D148" s="3" t="s">
        <v>29</v>
      </c>
      <c r="E148" s="3" t="s">
        <v>26</v>
      </c>
      <c r="F148" s="3" t="s">
        <v>527</v>
      </c>
      <c r="G148" s="4">
        <v>0.01</v>
      </c>
      <c r="H148" s="3" t="s">
        <v>140</v>
      </c>
      <c r="I148" s="3" t="s">
        <v>32</v>
      </c>
    </row>
    <row r="149" spans="1:9" ht="15.6" x14ac:dyDescent="0.3">
      <c r="A149" s="3" t="s">
        <v>528</v>
      </c>
      <c r="B149" s="3" t="s">
        <v>529</v>
      </c>
      <c r="C149" s="3" t="s">
        <v>26</v>
      </c>
      <c r="D149" s="3" t="s">
        <v>29</v>
      </c>
      <c r="E149" s="3" t="s">
        <v>26</v>
      </c>
      <c r="F149" s="3" t="s">
        <v>530</v>
      </c>
      <c r="G149" s="4">
        <v>0.01</v>
      </c>
      <c r="H149" s="3" t="s">
        <v>140</v>
      </c>
      <c r="I149" s="3" t="s">
        <v>32</v>
      </c>
    </row>
    <row r="150" spans="1:9" ht="15.6" x14ac:dyDescent="0.3">
      <c r="A150" s="3" t="s">
        <v>531</v>
      </c>
      <c r="B150" s="3" t="s">
        <v>532</v>
      </c>
      <c r="C150" s="3" t="s">
        <v>26</v>
      </c>
      <c r="D150" s="3" t="s">
        <v>29</v>
      </c>
      <c r="E150" s="3" t="s">
        <v>26</v>
      </c>
      <c r="F150" s="3" t="s">
        <v>533</v>
      </c>
      <c r="G150" s="4">
        <v>0.01</v>
      </c>
      <c r="H150" s="3" t="s">
        <v>140</v>
      </c>
      <c r="I150" s="3" t="s">
        <v>32</v>
      </c>
    </row>
    <row r="151" spans="1:9" ht="15.6" x14ac:dyDescent="0.3">
      <c r="A151" s="3" t="s">
        <v>534</v>
      </c>
      <c r="B151" s="3" t="s">
        <v>535</v>
      </c>
      <c r="C151" s="3" t="s">
        <v>26</v>
      </c>
      <c r="D151" s="3" t="s">
        <v>29</v>
      </c>
      <c r="E151" s="3" t="s">
        <v>26</v>
      </c>
      <c r="F151" s="3" t="s">
        <v>536</v>
      </c>
      <c r="G151" s="4">
        <v>0.01</v>
      </c>
      <c r="H151" s="3" t="s">
        <v>140</v>
      </c>
      <c r="I151" s="3" t="s">
        <v>32</v>
      </c>
    </row>
    <row r="152" spans="1:9" ht="15.6" x14ac:dyDescent="0.3">
      <c r="A152" s="3" t="s">
        <v>537</v>
      </c>
      <c r="B152" s="3" t="s">
        <v>538</v>
      </c>
      <c r="C152" s="3" t="s">
        <v>26</v>
      </c>
      <c r="D152" s="3" t="s">
        <v>29</v>
      </c>
      <c r="E152" s="3" t="s">
        <v>26</v>
      </c>
      <c r="F152" s="3" t="s">
        <v>539</v>
      </c>
      <c r="G152" s="4">
        <v>0.01</v>
      </c>
      <c r="H152" s="3" t="s">
        <v>140</v>
      </c>
      <c r="I152" s="3" t="s">
        <v>32</v>
      </c>
    </row>
    <row r="153" spans="1:9" ht="15.6" x14ac:dyDescent="0.3">
      <c r="A153" s="3" t="s">
        <v>540</v>
      </c>
      <c r="B153" s="3" t="s">
        <v>541</v>
      </c>
      <c r="C153" s="3" t="s">
        <v>26</v>
      </c>
      <c r="D153" s="3" t="s">
        <v>29</v>
      </c>
      <c r="E153" s="3" t="s">
        <v>26</v>
      </c>
      <c r="F153" s="3" t="s">
        <v>542</v>
      </c>
      <c r="G153" s="4">
        <v>0.01</v>
      </c>
      <c r="H153" s="3" t="s">
        <v>140</v>
      </c>
      <c r="I153" s="3" t="s">
        <v>32</v>
      </c>
    </row>
    <row r="154" spans="1:9" ht="15.6" x14ac:dyDescent="0.3">
      <c r="A154" s="3" t="s">
        <v>543</v>
      </c>
      <c r="B154" s="3" t="s">
        <v>544</v>
      </c>
      <c r="C154" s="3" t="s">
        <v>26</v>
      </c>
      <c r="D154" s="3" t="s">
        <v>29</v>
      </c>
      <c r="E154" s="3" t="s">
        <v>26</v>
      </c>
      <c r="F154" s="3" t="s">
        <v>545</v>
      </c>
      <c r="G154" s="4">
        <v>0.01</v>
      </c>
      <c r="H154" s="3" t="s">
        <v>140</v>
      </c>
      <c r="I154" s="3" t="s">
        <v>32</v>
      </c>
    </row>
    <row r="155" spans="1:9" ht="15.6" x14ac:dyDescent="0.3">
      <c r="A155" s="3" t="s">
        <v>546</v>
      </c>
      <c r="B155" s="3" t="s">
        <v>547</v>
      </c>
      <c r="C155" s="3" t="s">
        <v>26</v>
      </c>
      <c r="D155" s="3" t="s">
        <v>29</v>
      </c>
      <c r="E155" s="3" t="s">
        <v>26</v>
      </c>
      <c r="F155" s="3" t="s">
        <v>548</v>
      </c>
      <c r="G155" s="4">
        <v>0.01</v>
      </c>
      <c r="H155" s="3" t="s">
        <v>140</v>
      </c>
      <c r="I155" s="3" t="s">
        <v>32</v>
      </c>
    </row>
    <row r="156" spans="1:9" ht="15.6" x14ac:dyDescent="0.3">
      <c r="A156" s="3" t="s">
        <v>549</v>
      </c>
      <c r="B156" s="3" t="s">
        <v>550</v>
      </c>
      <c r="C156" s="3" t="s">
        <v>26</v>
      </c>
      <c r="D156" s="3" t="s">
        <v>29</v>
      </c>
      <c r="E156" s="3" t="s">
        <v>26</v>
      </c>
      <c r="F156" s="3" t="s">
        <v>551</v>
      </c>
      <c r="G156" s="4">
        <v>0.01</v>
      </c>
      <c r="H156" s="3" t="s">
        <v>140</v>
      </c>
      <c r="I156" s="3" t="s">
        <v>32</v>
      </c>
    </row>
    <row r="157" spans="1:9" ht="15.6" x14ac:dyDescent="0.3">
      <c r="A157" s="3" t="s">
        <v>552</v>
      </c>
      <c r="B157" s="3" t="s">
        <v>553</v>
      </c>
      <c r="C157" s="3" t="s">
        <v>26</v>
      </c>
      <c r="D157" s="3" t="s">
        <v>29</v>
      </c>
      <c r="E157" s="3" t="s">
        <v>26</v>
      </c>
      <c r="F157" s="3" t="s">
        <v>554</v>
      </c>
      <c r="G157" s="4">
        <v>0.01</v>
      </c>
      <c r="H157" s="3" t="s">
        <v>140</v>
      </c>
      <c r="I157" s="3" t="s">
        <v>32</v>
      </c>
    </row>
    <row r="158" spans="1:9" ht="15.6" x14ac:dyDescent="0.3">
      <c r="A158" s="3" t="s">
        <v>555</v>
      </c>
      <c r="B158" s="3" t="s">
        <v>556</v>
      </c>
      <c r="C158" s="3" t="s">
        <v>26</v>
      </c>
      <c r="D158" s="3" t="s">
        <v>29</v>
      </c>
      <c r="E158" s="3" t="s">
        <v>26</v>
      </c>
      <c r="F158" s="3" t="s">
        <v>557</v>
      </c>
      <c r="G158" s="4">
        <v>0.01</v>
      </c>
      <c r="H158" s="3" t="s">
        <v>140</v>
      </c>
      <c r="I158" s="3" t="s">
        <v>32</v>
      </c>
    </row>
    <row r="159" spans="1:9" ht="15.6" x14ac:dyDescent="0.3">
      <c r="A159" s="3" t="s">
        <v>558</v>
      </c>
      <c r="B159" s="3" t="s">
        <v>559</v>
      </c>
      <c r="C159" s="3" t="s">
        <v>26</v>
      </c>
      <c r="D159" s="3" t="s">
        <v>29</v>
      </c>
      <c r="E159" s="3" t="s">
        <v>26</v>
      </c>
      <c r="F159" s="3" t="s">
        <v>560</v>
      </c>
      <c r="G159" s="4">
        <v>0.01</v>
      </c>
      <c r="H159" s="3" t="s">
        <v>140</v>
      </c>
      <c r="I159" s="3" t="s">
        <v>32</v>
      </c>
    </row>
    <row r="160" spans="1:9" ht="15.6" x14ac:dyDescent="0.3">
      <c r="A160" s="3" t="s">
        <v>561</v>
      </c>
      <c r="B160" s="3" t="s">
        <v>562</v>
      </c>
      <c r="C160" s="3" t="s">
        <v>26</v>
      </c>
      <c r="D160" s="3" t="s">
        <v>29</v>
      </c>
      <c r="E160" s="3" t="s">
        <v>26</v>
      </c>
      <c r="F160" s="3" t="s">
        <v>563</v>
      </c>
      <c r="G160" s="4">
        <v>0.01</v>
      </c>
      <c r="H160" s="3" t="s">
        <v>140</v>
      </c>
      <c r="I160" s="3" t="s">
        <v>32</v>
      </c>
    </row>
    <row r="161" spans="1:9" ht="15.6" x14ac:dyDescent="0.3">
      <c r="A161" s="3" t="s">
        <v>564</v>
      </c>
      <c r="B161" s="3" t="s">
        <v>565</v>
      </c>
      <c r="C161" s="3" t="s">
        <v>26</v>
      </c>
      <c r="D161" s="3" t="s">
        <v>29</v>
      </c>
      <c r="E161" s="3" t="s">
        <v>26</v>
      </c>
      <c r="F161" s="3" t="s">
        <v>566</v>
      </c>
      <c r="G161" s="4">
        <v>0.01</v>
      </c>
      <c r="H161" s="3" t="s">
        <v>140</v>
      </c>
      <c r="I161" s="3" t="s">
        <v>32</v>
      </c>
    </row>
    <row r="162" spans="1:9" ht="15.6" x14ac:dyDescent="0.3">
      <c r="A162" s="3" t="s">
        <v>567</v>
      </c>
      <c r="B162" s="3" t="s">
        <v>568</v>
      </c>
      <c r="C162" s="3" t="s">
        <v>26</v>
      </c>
      <c r="D162" s="3" t="s">
        <v>29</v>
      </c>
      <c r="E162" s="3" t="s">
        <v>26</v>
      </c>
      <c r="F162" s="3" t="s">
        <v>569</v>
      </c>
      <c r="G162" s="4">
        <v>0.01</v>
      </c>
      <c r="H162" s="3" t="s">
        <v>140</v>
      </c>
      <c r="I162" s="3" t="s">
        <v>32</v>
      </c>
    </row>
    <row r="163" spans="1:9" ht="15.6" x14ac:dyDescent="0.3">
      <c r="A163" s="3" t="s">
        <v>570</v>
      </c>
      <c r="B163" s="3" t="s">
        <v>571</v>
      </c>
      <c r="C163" s="3" t="s">
        <v>26</v>
      </c>
      <c r="D163" s="3" t="s">
        <v>29</v>
      </c>
      <c r="E163" s="3" t="s">
        <v>26</v>
      </c>
      <c r="F163" s="3" t="s">
        <v>572</v>
      </c>
      <c r="G163" s="4">
        <v>0.01</v>
      </c>
      <c r="H163" s="3" t="s">
        <v>140</v>
      </c>
      <c r="I163" s="3" t="s">
        <v>32</v>
      </c>
    </row>
    <row r="164" spans="1:9" ht="15.6" x14ac:dyDescent="0.3">
      <c r="A164" s="3" t="s">
        <v>573</v>
      </c>
      <c r="B164" s="3" t="s">
        <v>574</v>
      </c>
      <c r="C164" s="3" t="s">
        <v>26</v>
      </c>
      <c r="D164" s="3" t="s">
        <v>29</v>
      </c>
      <c r="E164" s="3" t="s">
        <v>26</v>
      </c>
      <c r="F164" s="3" t="s">
        <v>575</v>
      </c>
      <c r="G164" s="4">
        <v>0.01</v>
      </c>
      <c r="H164" s="3" t="s">
        <v>140</v>
      </c>
      <c r="I164" s="3" t="s">
        <v>32</v>
      </c>
    </row>
    <row r="165" spans="1:9" ht="15.6" x14ac:dyDescent="0.3">
      <c r="A165" s="3" t="s">
        <v>576</v>
      </c>
      <c r="B165" s="3" t="s">
        <v>577</v>
      </c>
      <c r="C165" s="3" t="s">
        <v>26</v>
      </c>
      <c r="D165" s="3" t="s">
        <v>29</v>
      </c>
      <c r="E165" s="3" t="s">
        <v>26</v>
      </c>
      <c r="F165" s="3" t="s">
        <v>578</v>
      </c>
      <c r="G165" s="4">
        <v>0.01</v>
      </c>
      <c r="H165" s="3" t="s">
        <v>140</v>
      </c>
      <c r="I165" s="3" t="s">
        <v>32</v>
      </c>
    </row>
    <row r="166" spans="1:9" ht="15.6" x14ac:dyDescent="0.3">
      <c r="A166" s="3" t="s">
        <v>579</v>
      </c>
      <c r="B166" s="3" t="s">
        <v>580</v>
      </c>
      <c r="C166" s="3" t="s">
        <v>26</v>
      </c>
      <c r="D166" s="3" t="s">
        <v>29</v>
      </c>
      <c r="E166" s="3" t="s">
        <v>26</v>
      </c>
      <c r="F166" s="3" t="s">
        <v>581</v>
      </c>
      <c r="G166" s="4">
        <v>0.01</v>
      </c>
      <c r="H166" s="3" t="s">
        <v>140</v>
      </c>
      <c r="I166" s="3" t="s">
        <v>32</v>
      </c>
    </row>
    <row r="167" spans="1:9" ht="15.6" x14ac:dyDescent="0.3">
      <c r="A167" s="3" t="s">
        <v>582</v>
      </c>
      <c r="B167" s="3" t="s">
        <v>583</v>
      </c>
      <c r="C167" s="3" t="s">
        <v>26</v>
      </c>
      <c r="D167" s="3" t="s">
        <v>29</v>
      </c>
      <c r="E167" s="3" t="s">
        <v>26</v>
      </c>
      <c r="F167" s="3" t="s">
        <v>584</v>
      </c>
      <c r="G167" s="4">
        <v>0.01</v>
      </c>
      <c r="H167" s="3" t="s">
        <v>140</v>
      </c>
      <c r="I167" s="3" t="s">
        <v>32</v>
      </c>
    </row>
    <row r="168" spans="1:9" ht="15.6" x14ac:dyDescent="0.3">
      <c r="A168" s="3" t="s">
        <v>585</v>
      </c>
      <c r="B168" s="3" t="s">
        <v>586</v>
      </c>
      <c r="C168" s="3" t="s">
        <v>26</v>
      </c>
      <c r="D168" s="3" t="s">
        <v>29</v>
      </c>
      <c r="E168" s="3" t="s">
        <v>26</v>
      </c>
      <c r="F168" s="3" t="s">
        <v>587</v>
      </c>
      <c r="G168" s="4">
        <v>0.01</v>
      </c>
      <c r="H168" s="3" t="s">
        <v>140</v>
      </c>
      <c r="I168" s="3" t="s">
        <v>32</v>
      </c>
    </row>
    <row r="169" spans="1:9" ht="15.6" x14ac:dyDescent="0.3">
      <c r="A169" s="3" t="s">
        <v>588</v>
      </c>
      <c r="B169" s="3" t="s">
        <v>589</v>
      </c>
      <c r="C169" s="3" t="s">
        <v>26</v>
      </c>
      <c r="D169" s="3" t="s">
        <v>29</v>
      </c>
      <c r="E169" s="3" t="s">
        <v>26</v>
      </c>
      <c r="F169" s="3" t="s">
        <v>590</v>
      </c>
      <c r="G169" s="4">
        <v>0.01</v>
      </c>
      <c r="H169" s="3" t="s">
        <v>140</v>
      </c>
      <c r="I169" s="3" t="s">
        <v>32</v>
      </c>
    </row>
    <row r="170" spans="1:9" ht="15.6" x14ac:dyDescent="0.3">
      <c r="A170" s="3" t="s">
        <v>591</v>
      </c>
      <c r="B170" s="3" t="s">
        <v>592</v>
      </c>
      <c r="C170" s="3" t="s">
        <v>26</v>
      </c>
      <c r="D170" s="3" t="s">
        <v>29</v>
      </c>
      <c r="E170" s="3" t="s">
        <v>26</v>
      </c>
      <c r="F170" s="3" t="s">
        <v>593</v>
      </c>
      <c r="G170" s="4">
        <v>0.01</v>
      </c>
      <c r="H170" s="3" t="s">
        <v>140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topLeftCell="J1" workbookViewId="0">
      <selection activeCell="T4" sqref="T4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9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  <col min="15" max="15" width="18.21875" customWidth="1"/>
    <col min="16" max="16" width="16.88671875" customWidth="1"/>
    <col min="17" max="17" width="18.21875" customWidth="1"/>
    <col min="18" max="18" width="16.88671875" customWidth="1"/>
    <col min="19" max="19" width="18.21875" customWidth="1"/>
    <col min="20" max="20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6" x14ac:dyDescent="0.3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6" x14ac:dyDescent="0.3">
      <c r="A3" s="1" t="s">
        <v>39</v>
      </c>
      <c r="B3" s="1" t="s">
        <v>40</v>
      </c>
      <c r="C3" s="1" t="s">
        <v>39</v>
      </c>
      <c r="D3" s="1" t="s">
        <v>30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126</v>
      </c>
      <c r="I3" s="1" t="str">
        <f>CONCATENATE("Footprints\Capacitors\",J3,".PcbLib")</f>
        <v>Footprints\Capacitors\TC_B.PcbLib</v>
      </c>
      <c r="J3" s="1" t="s">
        <v>127</v>
      </c>
      <c r="K3" s="1" t="str">
        <f t="shared" ref="K3" si="0">CONCATENATE("Footprints\Capacitors\",L3,".PcbLib")</f>
        <v>Footprints\Capacitors\TC_C.PcbLib</v>
      </c>
      <c r="L3" s="1" t="s">
        <v>128</v>
      </c>
      <c r="M3" s="1" t="str">
        <f t="shared" ref="M3" si="1">CONCATENATE("Footprints\Capacitors\",N3,".PcbLib")</f>
        <v>Footprints\Capacitors\TC_D.PcbLib</v>
      </c>
      <c r="N3" s="1" t="s">
        <v>129</v>
      </c>
      <c r="O3" s="1" t="str">
        <f t="shared" ref="O3" si="2">CONCATENATE("Footprints\Capacitors\",P3,".PcbLib")</f>
        <v>Footprints\Capacitors\TC_E.PcbLib</v>
      </c>
      <c r="P3" s="1" t="s">
        <v>130</v>
      </c>
      <c r="Q3" s="1" t="str">
        <f t="shared" ref="Q3" si="3">CONCATENATE("Footprints\Capacitors\",R3,".PcbLib")</f>
        <v>Footprints\Capacitors\RADIAL-2_8mm.PcbLib</v>
      </c>
      <c r="R3" t="s">
        <v>134</v>
      </c>
      <c r="S3" s="1" t="s">
        <v>48</v>
      </c>
      <c r="T3" t="s">
        <v>135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M2"/>
  <sheetViews>
    <sheetView workbookViewId="0">
      <selection activeCell="G10" sqref="G10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18.21875" customWidth="1"/>
    <col min="7" max="7" width="16.88671875" customWidth="1"/>
    <col min="8" max="8" width="18.21875" customWidth="1"/>
    <col min="9" max="9" width="16.88671875" customWidth="1"/>
    <col min="10" max="10" width="18.21875" customWidth="1"/>
    <col min="11" max="11" width="16.88671875" customWidth="1"/>
    <col min="12" max="12" width="18.21875" customWidth="1"/>
    <col min="13" max="13" width="16.88671875" customWidth="1"/>
    <col min="14" max="14" width="10.6640625" customWidth="1"/>
  </cols>
  <sheetData>
    <row r="1" spans="1:13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</row>
    <row r="2" spans="1:13" x14ac:dyDescent="0.3">
      <c r="A2" s="2" t="s">
        <v>104</v>
      </c>
      <c r="B2" s="2" t="s">
        <v>105</v>
      </c>
      <c r="C2" s="2" t="str">
        <f>A2</f>
        <v>Inductance</v>
      </c>
      <c r="D2" s="2" t="s">
        <v>106</v>
      </c>
      <c r="E2" s="2" t="s">
        <v>104</v>
      </c>
      <c r="F2" s="2" t="str">
        <f>CONCATENATE("Footprints\Inductance\",G2,".PcbLib")</f>
        <v>Footprints\Inductance\0603L.PcbLib</v>
      </c>
      <c r="G2" s="2" t="s">
        <v>107</v>
      </c>
      <c r="H2" s="2" t="str">
        <f>CONCATENATE("Footprints\Inductance\",I2,".PcbLib")</f>
        <v>Footprints\Inductance\1210L.PcbLib</v>
      </c>
      <c r="I2" s="2" t="s">
        <v>108</v>
      </c>
      <c r="J2" s="2" t="str">
        <f>CONCATENATE("Footprints\Inductance\",K2,".PcbLib")</f>
        <v>Footprints\Inductance\1212L.PcbLib</v>
      </c>
      <c r="K2" s="2" t="s">
        <v>109</v>
      </c>
      <c r="L2" s="2" t="str">
        <f>CONCATENATE("Footprints\Inductance\",M2,".PcbLib")</f>
        <v>Footprints\Inductance\12.8x12.8.PcbLib</v>
      </c>
      <c r="M2" s="2" t="s">
        <v>110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B10" sqref="B10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8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125</v>
      </c>
    </row>
    <row r="4" spans="1:20" x14ac:dyDescent="0.3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131</v>
      </c>
    </row>
    <row r="5" spans="1:20" x14ac:dyDescent="0.3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">
      <c r="A6" s="6" t="s">
        <v>610</v>
      </c>
      <c r="B6" s="6" t="s">
        <v>611</v>
      </c>
      <c r="C6" s="6" t="str">
        <f>A6</f>
        <v>net_tie</v>
      </c>
      <c r="D6" s="6" t="str">
        <f>CONCATENATE("Schematic\",A6,".SchLib")</f>
        <v>Schematic\net_tie.SchLib</v>
      </c>
      <c r="E6" s="6" t="str">
        <f>A6</f>
        <v>net_tie</v>
      </c>
      <c r="F6" s="6" t="str">
        <f>CONCATENATE("Footprints\",G6,".PcbLib")</f>
        <v>Footprints\0805net_tie.PcbLib</v>
      </c>
      <c r="G6" s="6" t="s">
        <v>612</v>
      </c>
      <c r="H6" s="6"/>
      <c r="I6" s="6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0"/>
  <sheetViews>
    <sheetView workbookViewId="0">
      <selection activeCell="D23" sqref="D23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39.77734375" customWidth="1"/>
    <col min="5" max="5" width="12.77734375" customWidth="1"/>
    <col min="6" max="6" width="22.88671875" customWidth="1"/>
    <col min="7" max="7" width="16.88671875" customWidth="1"/>
    <col min="8" max="8" width="12.21875" customWidth="1"/>
    <col min="9" max="9" width="13.4414062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115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116</v>
      </c>
      <c r="F3" t="str">
        <f t="shared" si="1"/>
        <v>Footprints\Connectors\D-SUB-26.PcbLib</v>
      </c>
      <c r="G3" s="2" t="str">
        <f>A3</f>
        <v>D-SUB-26</v>
      </c>
    </row>
    <row r="4" spans="1:9" x14ac:dyDescent="0.3">
      <c r="A4" t="s">
        <v>111</v>
      </c>
      <c r="B4" t="s">
        <v>112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117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">
      <c r="A5" t="s">
        <v>113</v>
      </c>
      <c r="B5" t="s">
        <v>114</v>
      </c>
      <c r="C5" s="2" t="str">
        <f t="shared" si="2"/>
        <v>CWF-5</v>
      </c>
      <c r="D5" t="str">
        <f t="shared" si="0"/>
        <v>Schematic\Connectors\Conn_5pin.SchLib</v>
      </c>
      <c r="E5" s="2" t="s">
        <v>118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">
      <c r="A6" t="s">
        <v>119</v>
      </c>
      <c r="B6" t="s">
        <v>120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121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">
      <c r="A7" t="s">
        <v>122</v>
      </c>
      <c r="B7" t="s">
        <v>123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124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  <row r="8" spans="1:9" x14ac:dyDescent="0.3">
      <c r="A8" t="s">
        <v>613</v>
      </c>
      <c r="B8" t="s">
        <v>614</v>
      </c>
      <c r="C8" s="2" t="str">
        <f>A8</f>
        <v>2_PADS</v>
      </c>
      <c r="D8" s="6" t="str">
        <f>CONCATENATE("Schematic\Connectors\","CONN-2.SchLib")</f>
        <v>Schematic\Connectors\CONN-2.SchLib</v>
      </c>
      <c r="E8" t="s">
        <v>615</v>
      </c>
      <c r="F8" s="6" t="str">
        <f>CONCATENATE("Footprints\Connectors\",IF(ISNUMBER(FIND("PLS",A8)),"PLS\",),IF(ISNUMBER(FIND("CWF",A8)),"CWF\",),G8,".PcbLib")</f>
        <v>Footprints\Connectors\2_PADS.PcbLib</v>
      </c>
      <c r="G8" t="str">
        <f>A8</f>
        <v>2_PADS</v>
      </c>
    </row>
    <row r="9" spans="1:9" x14ac:dyDescent="0.3">
      <c r="A9" t="s">
        <v>616</v>
      </c>
      <c r="B9" t="s">
        <v>617</v>
      </c>
      <c r="C9" s="2" t="str">
        <f>A9</f>
        <v>XT30PW-M</v>
      </c>
      <c r="D9" s="6" t="str">
        <f>CONCATENATE("Schematic\Connectors\",IF(ISNUMBER(FIND("PLS",A9)),"PLS\",),IF(ISNUMBER(FIND("CWF",A9)),"CWF\",),A9,".SchLib")</f>
        <v>Schematic\Connectors\XT30PW-M.SchLib</v>
      </c>
      <c r="E9" t="str">
        <f>A9</f>
        <v>XT30PW-M</v>
      </c>
      <c r="F9" s="6" t="str">
        <f>CONCATENATE("Footprints\Connectors\",IF(ISNUMBER(FIND("PLS",A9)),"PLS\",),IF(ISNUMBER(FIND("CWF",A9)),"CWF\",),G9,".PcbLib")</f>
        <v>Footprints\Connectors\XT30PW-M.PcbLib</v>
      </c>
      <c r="G9" t="s">
        <v>616</v>
      </c>
    </row>
    <row r="10" spans="1:9" x14ac:dyDescent="0.3">
      <c r="A10" t="s">
        <v>618</v>
      </c>
      <c r="B10" t="s">
        <v>114</v>
      </c>
      <c r="C10" s="2" t="str">
        <f>A10</f>
        <v>another_CWF-3</v>
      </c>
      <c r="D10" s="6" t="str">
        <f>CONCATENATE("Schematic\Connectors\","CONN-3.SchLib")</f>
        <v>Schematic\Connectors\CONN-3.SchLib</v>
      </c>
      <c r="E10" t="s">
        <v>619</v>
      </c>
      <c r="F10" s="6" t="str">
        <f>CONCATENATE("Footprints\Connectors\",IF(ISNUMBER(FIND("PLS",A10)),"PLS\",),IF(ISNUMBER(FIND("CWF",A10)),"CWF\",),G10,".PcbLib")</f>
        <v>Footprints\Connectors\CWF\anotherCWF-3.PcbLib</v>
      </c>
      <c r="G10" t="s">
        <v>620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2024-11-04T13:00:05Z</dcterms:modified>
</cp:coreProperties>
</file>