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1FC6B11E-8D65-44DB-A74E-A43D9F1FEFC7}" xr6:coauthVersionLast="47" xr6:coauthVersionMax="47" xr10:uidLastSave="{00000000-0000-0000-0000-000000000000}"/>
  <bookViews>
    <workbookView xWindow="-108" yWindow="-108" windowWidth="23256" windowHeight="12456" firstSheet="2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11" l="1"/>
  <c r="D18" i="5"/>
  <c r="C18" i="5"/>
  <c r="J18" i="5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<sst xmlns="http://schemas.openxmlformats.org/spreadsheetml/2006/main" count="3527" uniqueCount="1445">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</sst>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41">
      <xmlColumnPr mapId="30" xpath="/Schottky/Part/VoltageNominal_V" xmlDataType="string"/>
    </tableColumn>
    <tableColumn id="9" xr3:uid="{431126AD-34DC-40A1-9CB6-D627B7878BEA}" uniqueName="Current_A" name="Current (A)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1" tableType="xml" totalsRowShown="0" dataDxfId="139" connectionId="19">
  <autoFilter ref="A1:M11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nominal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5" connectionId="18">
  <autoFilter ref="A1:M15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2" tableType="xml" totalsRowShown="0" headerRowDxfId="118" dataDxfId="117" connectionId="14">
  <autoFilter ref="A1:O182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3">
      <xmlColumnPr mapId="84" xpath="/Rectifier_diodes/Part/RepetitivePeakReverseVoltage" xmlDataType="string"/>
    </tableColumn>
    <tableColumn id="9" xr3:uid="{EB5ACFA6-079B-4694-9B63-C1A08D4A6545}" uniqueName="Current" name="Current (A)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9" tableType="xml" totalsRowShown="0" headerRowDxfId="64" headerRowBorderDxfId="63" tableBorderDxfId="62" connectionId="2">
  <autoFilter ref="A1:N49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 (A)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Напряжение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18" tableType="xml" totalsRowShown="0" headerRowDxfId="19" dataDxfId="18" connectionId="11">
  <autoFilter ref="A1:N18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58" tableType="xml" totalsRowShown="0" headerRowDxfId="3" connectionId="7">
  <autoFilter ref="A1:L58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2" zoomScale="55" zoomScaleNormal="55" workbookViewId="0">
      <selection activeCell="M53" sqref="M53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  <c r="M8" t="s">
        <v>1439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  <c r="M11" t="s">
        <v>1439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  <c r="M12" t="s">
        <v>1439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  <c r="M13" t="s">
        <v>1439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  <c r="M14" t="s">
        <v>1439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  <c r="M15" t="s">
        <v>1439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  <c r="M16" t="s">
        <v>1439</v>
      </c>
    </row>
    <row r="17" spans="1:13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1439</v>
      </c>
    </row>
    <row r="18" spans="1:13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  <c r="M18" t="s">
        <v>1439</v>
      </c>
    </row>
    <row r="19" spans="1:13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  <c r="M19" t="s">
        <v>1439</v>
      </c>
    </row>
    <row r="20" spans="1:13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  <c r="M20" t="s">
        <v>1439</v>
      </c>
    </row>
    <row r="21" spans="1:13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  <c r="M21" t="s">
        <v>1439</v>
      </c>
    </row>
    <row r="22" spans="1:13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  <c r="M22" t="s">
        <v>1439</v>
      </c>
    </row>
    <row r="23" spans="1:13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  <c r="M23" t="s">
        <v>1439</v>
      </c>
    </row>
    <row r="24" spans="1:13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  <c r="M24" t="s">
        <v>1439</v>
      </c>
    </row>
    <row r="25" spans="1:13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  <c r="M25" t="s">
        <v>1439</v>
      </c>
    </row>
    <row r="26" spans="1:13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  <c r="M26" t="s">
        <v>1439</v>
      </c>
    </row>
    <row r="27" spans="1:13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1439</v>
      </c>
    </row>
    <row r="28" spans="1:13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  <c r="M28" t="s">
        <v>1439</v>
      </c>
    </row>
    <row r="29" spans="1:13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13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13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13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  <c r="M32" t="s">
        <v>1439</v>
      </c>
    </row>
    <row r="33" spans="1:13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  <c r="M33" t="s">
        <v>1439</v>
      </c>
    </row>
    <row r="34" spans="1:13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  <c r="M34" t="s">
        <v>1439</v>
      </c>
    </row>
    <row r="35" spans="1:13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  <c r="M35" t="s">
        <v>1439</v>
      </c>
    </row>
    <row r="36" spans="1:13" x14ac:dyDescent="0.3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  <c r="M36" t="s">
        <v>1439</v>
      </c>
    </row>
    <row r="37" spans="1:13" x14ac:dyDescent="0.3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3" x14ac:dyDescent="0.3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3" x14ac:dyDescent="0.3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3" x14ac:dyDescent="0.3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3" x14ac:dyDescent="0.3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3" x14ac:dyDescent="0.3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3" x14ac:dyDescent="0.3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3" x14ac:dyDescent="0.3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3" x14ac:dyDescent="0.3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3" x14ac:dyDescent="0.3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  <c r="M47" t="s">
        <v>1439</v>
      </c>
    </row>
    <row r="48" spans="1:13" x14ac:dyDescent="0.3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</row>
    <row r="49" spans="1:7" x14ac:dyDescent="0.3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7" x14ac:dyDescent="0.3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</row>
    <row r="51" spans="1:7" x14ac:dyDescent="0.3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workbookViewId="0">
      <selection activeCell="F16" sqref="F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  <c r="K1" t="s">
        <v>1438</v>
      </c>
    </row>
    <row r="2" spans="1:11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1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1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1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  <c r="K5" t="s">
        <v>1439</v>
      </c>
    </row>
    <row r="6" spans="1:11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  <c r="K6" t="s">
        <v>1439</v>
      </c>
    </row>
    <row r="7" spans="1:11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1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1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1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1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1" x14ac:dyDescent="0.3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7" sqref="B7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  <c r="N1" t="s">
        <v>1438</v>
      </c>
    </row>
    <row r="2" spans="1:14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4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  <c r="N3" t="s">
        <v>1439</v>
      </c>
    </row>
    <row r="4" spans="1:14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  <c r="N4" t="s">
        <v>1439</v>
      </c>
    </row>
    <row r="5" spans="1:14" x14ac:dyDescent="0.3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  <c r="N5" t="s">
        <v>1439</v>
      </c>
    </row>
    <row r="6" spans="1:14" x14ac:dyDescent="0.3">
      <c r="A6" t="s">
        <v>1435</v>
      </c>
      <c r="B6" t="s">
        <v>1441</v>
      </c>
      <c r="C6" t="s">
        <v>1435</v>
      </c>
      <c r="D6" s="2" t="s">
        <v>73</v>
      </c>
      <c r="E6" s="2" t="s">
        <v>74</v>
      </c>
      <c r="F6" s="2" t="s">
        <v>764</v>
      </c>
      <c r="G6" t="s">
        <v>765</v>
      </c>
      <c r="H6" s="2" t="s">
        <v>382</v>
      </c>
      <c r="I6" s="2" t="s">
        <v>606</v>
      </c>
      <c r="J6" s="2" t="s">
        <v>893</v>
      </c>
      <c r="K6" s="2" t="s">
        <v>1436</v>
      </c>
      <c r="L6" s="11">
        <v>0.02</v>
      </c>
      <c r="M6" t="s">
        <v>1437</v>
      </c>
      <c r="N6" t="s">
        <v>1439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1"/>
  <sheetViews>
    <sheetView zoomScale="85" zoomScaleNormal="85" workbookViewId="0">
      <selection activeCell="M11" sqref="M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  <c r="M1" t="s">
        <v>1438</v>
      </c>
    </row>
    <row r="2" spans="1:13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  <c r="M2" s="41"/>
    </row>
    <row r="3" spans="1:13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  <c r="M3" s="41"/>
    </row>
    <row r="4" spans="1:13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  <c r="M4" s="41"/>
    </row>
    <row r="5" spans="1:13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  <c r="M5" s="41"/>
    </row>
    <row r="6" spans="1:13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  <c r="M6" s="41"/>
    </row>
    <row r="7" spans="1:13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  <c r="M7" s="41"/>
    </row>
    <row r="8" spans="1:13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  <c r="M8" s="41"/>
    </row>
    <row r="9" spans="1:13" x14ac:dyDescent="0.3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  <c r="M9" s="41"/>
    </row>
    <row r="10" spans="1:13" x14ac:dyDescent="0.3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  <c r="M10" s="41"/>
    </row>
    <row r="11" spans="1:13" x14ac:dyDescent="0.3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  <c r="M11" s="41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70" zoomScaleNormal="70" workbookViewId="0">
      <selection activeCell="M9" sqref="M9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  <c r="M8" t="s">
        <v>1439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  <c r="M9" t="s">
        <v>1439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  <c r="M10" t="s">
        <v>1439</v>
      </c>
    </row>
    <row r="11" spans="1:19" ht="15.6" x14ac:dyDescent="0.3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6" x14ac:dyDescent="0.3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6" x14ac:dyDescent="0.3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6" x14ac:dyDescent="0.3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</row>
    <row r="15" spans="1:19" ht="15.6" x14ac:dyDescent="0.3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48" zoomScale="55" zoomScaleNormal="55" workbookViewId="0">
      <selection activeCell="O183" sqref="O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 t="s">
        <v>1438</v>
      </c>
    </row>
    <row r="2" spans="1:15" ht="15.6" x14ac:dyDescent="0.3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  <c r="O52" s="1"/>
    </row>
    <row r="53" spans="1:15" ht="15.6" x14ac:dyDescent="0.3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  <c r="O58" s="1"/>
    </row>
    <row r="59" spans="1:15" ht="15.6" x14ac:dyDescent="0.3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  <c r="O60" s="1"/>
    </row>
    <row r="61" spans="1:15" ht="15.6" x14ac:dyDescent="0.3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  <c r="O66" s="1"/>
    </row>
    <row r="67" spans="1:15" ht="15.6" x14ac:dyDescent="0.3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  <c r="O67" s="1"/>
    </row>
    <row r="68" spans="1:15" ht="15.6" x14ac:dyDescent="0.3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  <c r="O74" s="1"/>
    </row>
    <row r="75" spans="1:15" ht="15.6" x14ac:dyDescent="0.3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  <c r="O80" s="1"/>
    </row>
    <row r="81" spans="1:15" ht="15.6" x14ac:dyDescent="0.3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  <c r="O82" s="1"/>
    </row>
    <row r="83" spans="1:15" ht="15.6" x14ac:dyDescent="0.3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  <c r="O86" s="1"/>
    </row>
    <row r="87" spans="1:15" ht="15.6" x14ac:dyDescent="0.3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  <c r="O87" s="1"/>
    </row>
    <row r="88" spans="1:15" ht="15.6" x14ac:dyDescent="0.3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  <c r="O91" s="1"/>
    </row>
    <row r="92" spans="1:15" ht="15.6" x14ac:dyDescent="0.3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  <c r="O99" s="1"/>
    </row>
    <row r="100" spans="1:15" ht="15" customHeight="1" x14ac:dyDescent="0.3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  <c r="O108" s="1"/>
    </row>
    <row r="109" spans="1:15" ht="15.6" x14ac:dyDescent="0.3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  <c r="O109" s="1"/>
    </row>
    <row r="110" spans="1:15" ht="15.6" x14ac:dyDescent="0.3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  <c r="O126" s="1"/>
    </row>
    <row r="127" spans="1:15" ht="15.6" x14ac:dyDescent="0.3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  <c r="O175" s="1" t="s">
        <v>1439</v>
      </c>
    </row>
    <row r="176" spans="1:15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  <c r="O176" s="1" t="s">
        <v>1439</v>
      </c>
    </row>
    <row r="177" spans="1:15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  <c r="O177" s="1" t="s">
        <v>1439</v>
      </c>
    </row>
    <row r="178" spans="1:15" ht="15.6" x14ac:dyDescent="0.3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1432</v>
      </c>
      <c r="B182" s="1" t="s">
        <v>1433</v>
      </c>
      <c r="C182" s="1" t="s">
        <v>1432</v>
      </c>
      <c r="D182" s="1" t="s">
        <v>29</v>
      </c>
      <c r="E182" s="1" t="s">
        <v>26</v>
      </c>
      <c r="F182" s="1" t="s">
        <v>1434</v>
      </c>
      <c r="G182" s="4">
        <v>0.01</v>
      </c>
      <c r="H182" s="3" t="s">
        <v>136</v>
      </c>
      <c r="I182" s="3" t="s">
        <v>32</v>
      </c>
      <c r="J182" s="1"/>
      <c r="K182" s="1"/>
      <c r="L182" s="1"/>
      <c r="M182" s="1"/>
      <c r="N182" s="1"/>
      <c r="O182" s="1" t="s">
        <v>1439</v>
      </c>
    </row>
    <row r="183" spans="1:15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5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L1" sqref="L1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ht="15.6" x14ac:dyDescent="0.3">
      <c r="A1" s="46" t="s">
        <v>0</v>
      </c>
      <c r="B1" s="46" t="s">
        <v>1</v>
      </c>
      <c r="C1" s="46" t="s">
        <v>14</v>
      </c>
      <c r="D1" s="46" t="s">
        <v>2</v>
      </c>
      <c r="E1" s="46" t="s">
        <v>3</v>
      </c>
      <c r="F1" s="46" t="s">
        <v>12</v>
      </c>
      <c r="G1" s="46" t="s">
        <v>8</v>
      </c>
      <c r="H1" s="46" t="s">
        <v>923</v>
      </c>
      <c r="I1" s="46" t="s">
        <v>84</v>
      </c>
      <c r="J1" s="46" t="s">
        <v>71</v>
      </c>
      <c r="K1" s="46" t="s">
        <v>964</v>
      </c>
      <c r="L1" s="1" t="s">
        <v>1438</v>
      </c>
    </row>
    <row r="2" spans="1:12" x14ac:dyDescent="0.3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41" t="s">
        <v>1439</v>
      </c>
    </row>
    <row r="3" spans="1:12" x14ac:dyDescent="0.3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  <c r="L3" s="4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  <c r="V1" s="1" t="s">
        <v>1438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  <c r="V2" s="41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  <c r="V3" s="41"/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9"/>
  <sheetViews>
    <sheetView topLeftCell="A12" zoomScale="70" zoomScaleNormal="70" workbookViewId="0">
      <selection activeCell="N1" sqref="N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  <c r="N1" s="8" t="s">
        <v>1438</v>
      </c>
    </row>
    <row r="2" spans="1:14" x14ac:dyDescent="0.3">
      <c r="A2" s="27" t="s">
        <v>1112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  <c r="N2" s="2" t="s">
        <v>1439</v>
      </c>
    </row>
    <row r="3" spans="1:14" x14ac:dyDescent="0.3">
      <c r="A3" s="2" t="s">
        <v>1188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  <c r="N3" s="2"/>
    </row>
    <row r="4" spans="1:14" x14ac:dyDescent="0.3">
      <c r="A4" s="19" t="s">
        <v>1115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  <c r="N4" s="2"/>
    </row>
    <row r="5" spans="1:14" x14ac:dyDescent="0.3">
      <c r="A5" s="47" t="s">
        <v>1109</v>
      </c>
      <c r="B5" s="48" t="str">
        <f t="shared" si="0"/>
        <v>Конденсатор 0603C ёмкостью 0,75 н 10%, 50 В, X7R</v>
      </c>
      <c r="C5" s="49" t="s">
        <v>27</v>
      </c>
      <c r="D5" s="49" t="s">
        <v>30</v>
      </c>
      <c r="E5" s="49" t="s">
        <v>27</v>
      </c>
      <c r="F5" s="49" t="s">
        <v>1110</v>
      </c>
      <c r="G5" s="50" t="s">
        <v>1207</v>
      </c>
      <c r="H5" s="49">
        <v>50</v>
      </c>
      <c r="I5" s="49" t="s">
        <v>602</v>
      </c>
      <c r="J5" s="49" t="s">
        <v>603</v>
      </c>
      <c r="K5" s="49" t="s">
        <v>37</v>
      </c>
      <c r="L5" s="49" t="s">
        <v>1111</v>
      </c>
      <c r="M5" s="51"/>
      <c r="N5" s="52"/>
    </row>
    <row r="6" spans="1:14" x14ac:dyDescent="0.3">
      <c r="A6" s="2" t="s">
        <v>907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1121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">
      <c r="A47" s="2" t="s">
        <v>956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">
      <c r="A48" s="2" t="s">
        <v>1416</v>
      </c>
      <c r="B48" s="41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 t="s">
        <v>1439</v>
      </c>
    </row>
    <row r="49" spans="1:14" x14ac:dyDescent="0.3">
      <c r="A49" s="2" t="s">
        <v>1429</v>
      </c>
      <c r="B49" s="44" t="str">
        <f>CONCATENATE("Конденсатор ",K49," ёмкостью ",F49, " ", G49, ", ",H49," В, ",I49)</f>
        <v>Конденсатор 0603C ёмкостью 22п 5%, 50 В, NP0</v>
      </c>
      <c r="C49" s="2" t="s">
        <v>1429</v>
      </c>
      <c r="D49" s="2" t="s">
        <v>30</v>
      </c>
      <c r="E49" s="2" t="s">
        <v>27</v>
      </c>
      <c r="F49" s="43" t="s">
        <v>1425</v>
      </c>
      <c r="G49" s="37" t="s">
        <v>1426</v>
      </c>
      <c r="H49" s="43" t="s">
        <v>1427</v>
      </c>
      <c r="I49" s="43" t="s">
        <v>1428</v>
      </c>
      <c r="J49" s="2" t="s">
        <v>603</v>
      </c>
      <c r="K49" s="2" t="s">
        <v>37</v>
      </c>
      <c r="L49" s="43" t="s">
        <v>1430</v>
      </c>
      <c r="M49" s="43" t="s">
        <v>1431</v>
      </c>
      <c r="N49" s="2" t="s">
        <v>1439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tabSelected="1"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  <c r="P1" s="8" t="s">
        <v>1438</v>
      </c>
    </row>
    <row r="2" spans="1:16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6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6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6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6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6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6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6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6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6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6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6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6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6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6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6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6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6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6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6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6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  <c r="P22" t="s">
        <v>1439</v>
      </c>
    </row>
    <row r="23" spans="1:16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  <c r="P23" t="s">
        <v>1439</v>
      </c>
    </row>
    <row r="24" spans="1:16" x14ac:dyDescent="0.3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  <c r="P24" t="s">
        <v>1439</v>
      </c>
    </row>
    <row r="25" spans="1:16" x14ac:dyDescent="0.3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  <c r="P25" t="s">
        <v>1439</v>
      </c>
    </row>
    <row r="26" spans="1:16" x14ac:dyDescent="0.3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6" x14ac:dyDescent="0.3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  <row r="28" spans="1:16" x14ac:dyDescent="0.3">
      <c r="A28" t="s">
        <v>1442</v>
      </c>
      <c r="B28" t="s">
        <v>1443</v>
      </c>
      <c r="D28" t="s">
        <v>631</v>
      </c>
      <c r="E28" t="s">
        <v>39</v>
      </c>
      <c r="F28" t="s">
        <v>646</v>
      </c>
      <c r="G28">
        <v>20</v>
      </c>
      <c r="H28">
        <v>16</v>
      </c>
      <c r="I28" t="s">
        <v>905</v>
      </c>
      <c r="J28" t="s">
        <v>1149</v>
      </c>
      <c r="K28" t="s">
        <v>1150</v>
      </c>
      <c r="L28">
        <v>470</v>
      </c>
      <c r="O28" t="s">
        <v>1444</v>
      </c>
      <c r="P28" t="s">
        <v>1439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zoomScale="55" zoomScaleNormal="55" workbookViewId="0">
      <selection activeCell="R12" sqref="R12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  <c r="R1" s="53" t="s">
        <v>1438</v>
      </c>
    </row>
    <row r="2" spans="1:18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8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8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8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8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8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8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8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8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8" x14ac:dyDescent="0.3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  <c r="R11" t="s">
        <v>1439</v>
      </c>
    </row>
    <row r="12" spans="1:18" x14ac:dyDescent="0.3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8" x14ac:dyDescent="0.3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8" x14ac:dyDescent="0.3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  <c r="R14" t="s">
        <v>1439</v>
      </c>
    </row>
    <row r="15" spans="1:18" x14ac:dyDescent="0.3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8" x14ac:dyDescent="0.3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8" x14ac:dyDescent="0.3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8" x14ac:dyDescent="0.3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8" x14ac:dyDescent="0.3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  <c r="R19" t="s">
        <v>1439</v>
      </c>
    </row>
    <row r="20" spans="1:18" x14ac:dyDescent="0.3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  <c r="R20" t="s">
        <v>1439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2" sqref="M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53" t="s">
        <v>1438</v>
      </c>
      <c r="N1" s="17"/>
      <c r="O1" s="1"/>
      <c r="P1" s="1"/>
      <c r="Q1" s="1"/>
    </row>
    <row r="2" spans="1:17" ht="15.6" x14ac:dyDescent="0.3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 t="s">
        <v>1439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8"/>
  <sheetViews>
    <sheetView zoomScale="55" zoomScaleNormal="55" workbookViewId="0">
      <selection activeCell="C46" sqref="C46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6" t="s">
        <v>25</v>
      </c>
      <c r="M1" s="1" t="s">
        <v>964</v>
      </c>
      <c r="N1" s="53" t="s">
        <v>1438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  <c r="M2" s="41"/>
      <c r="N2" s="41"/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  <c r="M3" s="41"/>
      <c r="N3" s="41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M4" s="41"/>
      <c r="N4" s="41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1440</v>
      </c>
      <c r="G5" s="2" t="s">
        <v>64</v>
      </c>
      <c r="H5" s="2"/>
      <c r="I5" s="2"/>
      <c r="J5" s="2"/>
      <c r="K5" s="2"/>
      <c r="M5" s="41"/>
      <c r="N5" s="41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  <c r="M6" s="41"/>
      <c r="N6" s="41" t="s">
        <v>1439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M7" s="41"/>
      <c r="N7" s="41" t="s">
        <v>1439</v>
      </c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M8" s="41"/>
      <c r="N8" s="41" t="s">
        <v>1439</v>
      </c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  <c r="M9" s="41"/>
      <c r="N9" s="41" t="s">
        <v>1439</v>
      </c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  <c r="M10" s="41"/>
      <c r="N10" s="41" t="s">
        <v>1439</v>
      </c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  <c r="M11" s="41"/>
      <c r="N11" s="41" t="s">
        <v>1439</v>
      </c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  <c r="M12" s="41"/>
      <c r="N12" s="41" t="s">
        <v>1439</v>
      </c>
    </row>
    <row r="13" spans="1:20" x14ac:dyDescent="0.3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M13" s="23" t="s">
        <v>997</v>
      </c>
      <c r="N13" s="41" t="s">
        <v>1439</v>
      </c>
    </row>
    <row r="14" spans="1:20" x14ac:dyDescent="0.3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  <c r="M14" s="41"/>
      <c r="N14" s="41" t="s">
        <v>1439</v>
      </c>
    </row>
    <row r="15" spans="1:20" x14ac:dyDescent="0.3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  <c r="M15" s="41"/>
      <c r="N15" s="41" t="s">
        <v>1439</v>
      </c>
    </row>
    <row r="16" spans="1:20" x14ac:dyDescent="0.3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  <c r="M16" s="41"/>
      <c r="N16" s="41"/>
    </row>
    <row r="17" spans="1:14" x14ac:dyDescent="0.3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  <c r="M17" s="41"/>
      <c r="N17" s="41"/>
    </row>
    <row r="18" spans="1:14" x14ac:dyDescent="0.3">
      <c r="A18" s="41" t="s">
        <v>1422</v>
      </c>
      <c r="B18" s="41" t="s">
        <v>1423</v>
      </c>
      <c r="C18" s="41" t="str">
        <f>A18</f>
        <v>X322525MOB4SI</v>
      </c>
      <c r="D18" s="41" t="str">
        <f>CONCATENATE("Schematic\",E18,".SchLib")</f>
        <v>Schematic\XTAL_1-3_GND.SchLib</v>
      </c>
      <c r="E18" s="41" t="s">
        <v>1419</v>
      </c>
      <c r="F18" t="s">
        <v>1424</v>
      </c>
      <c r="G18" s="41" t="s">
        <v>1422</v>
      </c>
      <c r="H18" s="41"/>
      <c r="I18" s="41"/>
      <c r="J18" s="41" t="str">
        <f>CONCATENATE("Footprints\",K18,".PcbLib")</f>
        <v>Footprints\.PcbLib</v>
      </c>
      <c r="K18" s="41"/>
      <c r="L18" t="s">
        <v>1420</v>
      </c>
      <c r="M18" s="41" t="s">
        <v>1421</v>
      </c>
      <c r="N18" s="41" t="s">
        <v>1439</v>
      </c>
    </row>
  </sheetData>
  <hyperlinks>
    <hyperlink ref="M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58"/>
  <sheetViews>
    <sheetView topLeftCell="C1" zoomScale="70" zoomScaleNormal="70" workbookViewId="0">
      <selection activeCell="L9" sqref="L9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  <c r="L1" s="53" t="s">
        <v>1438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2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</row>
    <row r="5" spans="1:12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</row>
    <row r="6" spans="1:12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2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  <c r="L7" t="s">
        <v>1439</v>
      </c>
    </row>
    <row r="8" spans="1:12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2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  <c r="L9" t="s">
        <v>1439</v>
      </c>
    </row>
    <row r="10" spans="1:12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2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  <c r="L11" t="s">
        <v>1439</v>
      </c>
    </row>
    <row r="12" spans="1:12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  <c r="L12" t="s">
        <v>1439</v>
      </c>
    </row>
    <row r="13" spans="1:12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2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2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2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  <c r="L16" t="s">
        <v>1439</v>
      </c>
    </row>
    <row r="17" spans="1:12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  <c r="L17" t="s">
        <v>1439</v>
      </c>
    </row>
    <row r="18" spans="1:12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  <c r="L18" t="s">
        <v>1439</v>
      </c>
    </row>
    <row r="19" spans="1:12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  <c r="L19" t="s">
        <v>1439</v>
      </c>
    </row>
    <row r="20" spans="1:12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  <c r="L20" t="s">
        <v>1439</v>
      </c>
    </row>
    <row r="21" spans="1:12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  <c r="L21" t="s">
        <v>1439</v>
      </c>
    </row>
    <row r="22" spans="1:12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  <c r="L22" t="s">
        <v>1439</v>
      </c>
    </row>
    <row r="23" spans="1:12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  <c r="L23" t="s">
        <v>1439</v>
      </c>
    </row>
    <row r="24" spans="1:12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  <c r="L24" t="s">
        <v>1439</v>
      </c>
    </row>
    <row r="25" spans="1:12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  <c r="L25" t="s">
        <v>1439</v>
      </c>
    </row>
    <row r="26" spans="1:12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  <c r="L26" t="s">
        <v>1439</v>
      </c>
    </row>
    <row r="27" spans="1:12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  <c r="L27" t="s">
        <v>1439</v>
      </c>
    </row>
    <row r="28" spans="1:12" x14ac:dyDescent="0.3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  <c r="L28" t="s">
        <v>1439</v>
      </c>
    </row>
    <row r="29" spans="1:12" x14ac:dyDescent="0.3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  <c r="L29" t="s">
        <v>1439</v>
      </c>
    </row>
    <row r="30" spans="1:12" x14ac:dyDescent="0.3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  <c r="L30" t="s">
        <v>1439</v>
      </c>
    </row>
    <row r="31" spans="1:12" x14ac:dyDescent="0.3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  <c r="L31" t="s">
        <v>1439</v>
      </c>
    </row>
    <row r="32" spans="1:12" x14ac:dyDescent="0.3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  <c r="L32" t="s">
        <v>1439</v>
      </c>
    </row>
    <row r="33" spans="1:12" x14ac:dyDescent="0.3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  <c r="L33" t="s">
        <v>1439</v>
      </c>
    </row>
    <row r="34" spans="1:12" x14ac:dyDescent="0.3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  <c r="L34" t="s">
        <v>1439</v>
      </c>
    </row>
    <row r="35" spans="1:12" x14ac:dyDescent="0.3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  <c r="L35" t="s">
        <v>1439</v>
      </c>
    </row>
    <row r="36" spans="1:12" x14ac:dyDescent="0.3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  <c r="L36" t="s">
        <v>1439</v>
      </c>
    </row>
    <row r="37" spans="1:12" x14ac:dyDescent="0.3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  <c r="L37" t="s">
        <v>1439</v>
      </c>
    </row>
    <row r="38" spans="1:12" x14ac:dyDescent="0.3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2" x14ac:dyDescent="0.3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2" x14ac:dyDescent="0.3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2" x14ac:dyDescent="0.3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2" x14ac:dyDescent="0.3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</row>
    <row r="43" spans="1:12" x14ac:dyDescent="0.3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</row>
    <row r="44" spans="1:12" x14ac:dyDescent="0.3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</row>
    <row r="45" spans="1:12" x14ac:dyDescent="0.3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</row>
    <row r="46" spans="1:12" x14ac:dyDescent="0.3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</row>
    <row r="47" spans="1:12" x14ac:dyDescent="0.3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</row>
    <row r="48" spans="1:12" x14ac:dyDescent="0.3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</row>
    <row r="49" spans="1:12" x14ac:dyDescent="0.3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</row>
    <row r="50" spans="1:12" x14ac:dyDescent="0.3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</row>
    <row r="51" spans="1:12" x14ac:dyDescent="0.3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</row>
    <row r="52" spans="1:12" x14ac:dyDescent="0.3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</row>
    <row r="53" spans="1:12" x14ac:dyDescent="0.3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  <c r="L53" t="s">
        <v>1439</v>
      </c>
    </row>
    <row r="54" spans="1:12" x14ac:dyDescent="0.3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  <c r="L54" t="s">
        <v>1439</v>
      </c>
    </row>
    <row r="55" spans="1:12" x14ac:dyDescent="0.3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2" x14ac:dyDescent="0.3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  <c r="L56" t="s">
        <v>1439</v>
      </c>
    </row>
    <row r="57" spans="1:12" x14ac:dyDescent="0.3">
      <c r="A57" t="s">
        <v>1410</v>
      </c>
      <c r="B57" t="s">
        <v>1411</v>
      </c>
      <c r="C57" s="2" t="str">
        <f t="shared" ref="C57:C58" si="6">A57</f>
        <v>DIN41612_48_3row_straight_female</v>
      </c>
      <c r="D57" s="41" t="str">
        <f t="shared" ref="D57:D58" si="7">CONCATENATE("Schematic\Connectors\", E57, ".SchLib")</f>
        <v>Schematic\Connectors\Conn_48pin_3row.SchLib</v>
      </c>
      <c r="E57" t="s">
        <v>1412</v>
      </c>
      <c r="F57" s="41" t="str">
        <f t="shared" ref="F57:F58" si="8">CONCATENATE("Footprints\Connectors\", G57, ".PcbLib")</f>
        <v>Footprints\Connectors\DIN41612_48_3row_straight_female.PcbLib</v>
      </c>
      <c r="G57" t="s">
        <v>1410</v>
      </c>
      <c r="J57" t="s">
        <v>1413</v>
      </c>
      <c r="K57" s="40" t="s">
        <v>989</v>
      </c>
    </row>
    <row r="58" spans="1:12" x14ac:dyDescent="0.3">
      <c r="A58" s="42" t="s">
        <v>1414</v>
      </c>
      <c r="B58" s="42" t="s">
        <v>1415</v>
      </c>
      <c r="C58" s="43" t="str">
        <f t="shared" si="6"/>
        <v>DIN41612_48_3row_right_angle_male</v>
      </c>
      <c r="D58" s="44" t="str">
        <f t="shared" si="7"/>
        <v>Schematic\Connectors\Conn_48pin_3row.SchLib</v>
      </c>
      <c r="E58" s="42" t="s">
        <v>1412</v>
      </c>
      <c r="F58" s="44" t="str">
        <f t="shared" si="8"/>
        <v>Footprints\Connectors\DIN41612_48_3row_right_angle_male.PcbLib</v>
      </c>
      <c r="G58" s="42" t="s">
        <v>1414</v>
      </c>
      <c r="H58" s="42"/>
      <c r="I58" s="42"/>
      <c r="J58" s="42" t="s">
        <v>1413</v>
      </c>
      <c r="K58" s="45" t="s">
        <v>989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2025-10-02T20:45:50Z</dcterms:modified>
</cp:coreProperties>
</file>