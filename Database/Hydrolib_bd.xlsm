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filterPrivacy="1" codeName="ЭтаКнига"/>
  <xr:revisionPtr revIDLastSave="0" documentId="13_ncr:1_{72AD5809-4EFD-47CD-86C7-393D177CB1D3}" xr6:coauthVersionLast="47" xr6:coauthVersionMax="47" xr10:uidLastSave="{00000000-0000-0000-0000-000000000000}"/>
  <bookViews>
    <workbookView xWindow="20" yWindow="720" windowWidth="25580" windowHeight="14010" tabRatio="896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definedNames>
    <definedName name="_xlpm.raw" hidden="1" xlm="1">#NAME?</definedName>
    <definedName name="_xlpm.val" hidden="1" xlm="1">#NAME?</definedName>
    <definedName name="_xlpm.yCod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21" i="2" l="1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2" i="2"/>
  <c r="C17" i="8"/>
  <c r="D17" i="8"/>
  <c r="F17" i="8"/>
  <c r="J17" i="8"/>
  <c r="C70" i="1"/>
  <c r="D70" i="1"/>
  <c r="E70" i="1"/>
  <c r="F70" i="1"/>
  <c r="H69" i="6"/>
  <c r="C31" i="10"/>
  <c r="F31" i="10"/>
  <c r="H31" i="10"/>
  <c r="J31" i="10"/>
  <c r="L31" i="10"/>
  <c r="C4" i="8"/>
  <c r="D4" i="8" s="1"/>
  <c r="B4" i="8"/>
  <c r="F4" i="8"/>
  <c r="J4" i="8"/>
  <c r="C7" i="4"/>
  <c r="F7" i="4"/>
  <c r="C71" i="1"/>
  <c r="D71" i="1"/>
  <c r="F71" i="1"/>
  <c r="B16" i="8" l="1"/>
  <c r="C16" i="8"/>
  <c r="D16" i="8"/>
  <c r="F16" i="8"/>
  <c r="J16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5" i="8" l="1"/>
  <c r="F15" i="8"/>
  <c r="D15" i="8"/>
  <c r="C15" i="8"/>
  <c r="B15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1" i="4"/>
  <c r="F21" i="4"/>
  <c r="C20" i="4"/>
  <c r="F20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4" i="8"/>
  <c r="B5" i="8"/>
  <c r="J14" i="8"/>
  <c r="F14" i="8"/>
  <c r="C14" i="8"/>
  <c r="B14" i="8"/>
  <c r="C19" i="4"/>
  <c r="F19" i="4"/>
  <c r="F52" i="1"/>
  <c r="E52" i="1"/>
  <c r="D52" i="1"/>
  <c r="C52" i="1"/>
  <c r="C21" i="10"/>
  <c r="F21" i="10"/>
  <c r="H21" i="10"/>
  <c r="J21" i="10"/>
  <c r="L21" i="10"/>
  <c r="H17" i="4"/>
  <c r="C18" i="4"/>
  <c r="F18" i="4"/>
  <c r="C17" i="4"/>
  <c r="F17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3" i="8"/>
  <c r="F13" i="8"/>
  <c r="D13" i="8"/>
  <c r="C13" i="8"/>
  <c r="B13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6" i="4"/>
  <c r="F16" i="4"/>
  <c r="C15" i="4"/>
  <c r="F15" i="4"/>
  <c r="F52" i="6"/>
  <c r="D52" i="6"/>
  <c r="C52" i="6"/>
  <c r="F51" i="6"/>
  <c r="D51" i="6"/>
  <c r="C51" i="6"/>
  <c r="J12" i="8"/>
  <c r="F12" i="8"/>
  <c r="D12" i="8"/>
  <c r="C12" i="8"/>
  <c r="B12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4" i="4"/>
  <c r="C14" i="4"/>
  <c r="J11" i="8"/>
  <c r="F11" i="8"/>
  <c r="D11" i="8"/>
  <c r="C11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2" i="4" l="1"/>
  <c r="C13" i="4"/>
  <c r="F13" i="4"/>
  <c r="J15" i="10"/>
  <c r="C15" i="10"/>
  <c r="F15" i="10"/>
  <c r="H15" i="10"/>
  <c r="L15" i="10"/>
  <c r="C12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10" i="8"/>
  <c r="C10" i="8"/>
  <c r="D10" i="8"/>
  <c r="F10" i="8"/>
  <c r="J10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1" i="4"/>
  <c r="C11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10" i="4"/>
  <c r="F10" i="4"/>
  <c r="B9" i="8"/>
  <c r="C9" i="8"/>
  <c r="D9" i="8"/>
  <c r="F9" i="8"/>
  <c r="J9" i="8"/>
  <c r="C25" i="1"/>
  <c r="D25" i="1"/>
  <c r="E25" i="1"/>
  <c r="F25" i="1"/>
  <c r="C24" i="1"/>
  <c r="D24" i="1"/>
  <c r="E24" i="1"/>
  <c r="F24" i="1"/>
  <c r="B8" i="8"/>
  <c r="C8" i="8"/>
  <c r="D8" i="8"/>
  <c r="F8" i="8"/>
  <c r="J8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9" i="4"/>
  <c r="J7" i="8"/>
  <c r="F7" i="8"/>
  <c r="D7" i="8"/>
  <c r="C7" i="8"/>
  <c r="B7" i="8"/>
  <c r="F17" i="1"/>
  <c r="E17" i="1"/>
  <c r="D17" i="1"/>
  <c r="C17" i="1"/>
  <c r="E16" i="1"/>
  <c r="D16" i="1"/>
  <c r="C16" i="1"/>
  <c r="F15" i="1"/>
  <c r="E15" i="1"/>
  <c r="D15" i="1"/>
  <c r="C15" i="1"/>
  <c r="C9" i="4"/>
  <c r="C8" i="4"/>
  <c r="F8" i="4"/>
  <c r="P4" i="10"/>
  <c r="B4" i="10" s="1"/>
  <c r="P3" i="10"/>
  <c r="C4" i="10"/>
  <c r="F4" i="10"/>
  <c r="J6" i="8"/>
  <c r="F8" i="1"/>
  <c r="C5" i="9"/>
  <c r="F5" i="9"/>
  <c r="F4" i="9"/>
  <c r="C4" i="9"/>
  <c r="F3" i="10"/>
  <c r="C3" i="10"/>
  <c r="F6" i="8"/>
  <c r="D6" i="8"/>
  <c r="C6" i="8"/>
  <c r="B6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5" i="8"/>
  <c r="J2" i="8"/>
  <c r="C5" i="8"/>
  <c r="D5" i="8"/>
  <c r="F5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<sst xmlns="http://schemas.openxmlformats.org/spreadsheetml/2006/main" count="5357" uniqueCount="1399">
  <si>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</si>
  <si>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</si>
  <si>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</si>
  <si>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</si>
  <si>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</si>
  <si>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</si>
  <si>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</si>
  <si>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</si>
  <si>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</si>
  <si>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</si>
  <si>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</si>
  <si>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</si>
  <si>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</si>
  <si>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</si>
  <si>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</si>
  <si>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</si>
  <si>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</si>
  <si>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</si>
  <si>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</si>
  <si>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</si>
  <si>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</si>
  <si>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</si>
  <si>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</si>
  <si>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</si>
  <si>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</si>
  <si>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</si>
  <si>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</si>
  <si>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</si>
  <si>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</si>
  <si>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</si>
  <si>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</si>
  <si>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</si>
  <si>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</si>
  <si>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</si>
  <si>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</si>
  <si>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</si>
  <si>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</si>
  <si>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</si>
  <si>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</si>
  <si>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</si>
  <si>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</si>
  <si>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</si>
  <si>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</si>
  <si>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</si>
  <si>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</si>
  <si>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</si>
  <si>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</si>
  <si>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</si>
  <si>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</si>
  <si>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</si>
  <si>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</si>
  <si>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</si>
  <si>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</si>
  <si>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</si>
  <si>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</si>
  <si>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</si>
  <si>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</si>
  <si>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</si>
  <si>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</si>
  <si>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</si>
  <si>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</si>
  <si>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</si>
  <si>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</si>
  <si>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</si>
  <si>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</si>
  <si>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</si>
  <si>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</si>
  <si>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</si>
  <si>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</si>
  <si>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</si>
  <si>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</si>
  <si>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</si>
  <si>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</si>
  <si>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</si>
  <si>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</si>
  <si>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</si>
  <si>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</si>
  <si>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</si>
  <si>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</si>
  <si>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</si>
  <si>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</si>
  <si>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</si>
  <si>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</si>
  <si>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</si>
  <si>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</si>
  <si>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</si>
  <si>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</si>
  <si>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</si>
  <si>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</si>
  <si>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</si>
  <si>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</si>
  <si>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</si>
  <si>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</si>
  <si>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</si>
  <si>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</si>
  <si>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</si>
  <si>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</si>
  <si>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</si>
  <si>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</si>
  <si>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</si>
  <si>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</si>
  <si>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</si>
  <si>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</si>
  <si>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</si>
  <si>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</si>
  <si>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</si>
  <si>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</si>
  <si>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</si>
  <si>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</si>
  <si>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</si>
  <si>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</si>
  <si>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</si>
  <si>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</si>
  <si>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</si>
  <si>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</si>
  <si>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</si>
  <si>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</si>
  <si>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</si>
  <si>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</si>
  <si>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</si>
  <si>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</si>
  <si>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</si>
  <si>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</si>
  <si>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</si>
  <si>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</si>
  <si>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</si>
  <si>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</si>
  <si>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</si>
  <si>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</si>
  <si>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</si>
  <si>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</si>
  <si>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</si>
  <si>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1%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</si>
  <si>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</si>
  <si>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</si>
  <si>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</si>
  <si>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</si>
  <si>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</si>
  <si>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</si>
  <si>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</si>
  <si>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</si>
  <si>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</si>
  <si>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</si>
  <si>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</si>
  <si>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</si>
  <si>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</si>
  <si>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</si>
  <si>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</si>
  <si>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</si>
  <si>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1,1 к</t>
  </si>
  <si>
    <t>1,2 к</t>
  </si>
  <si>
    <t>1,3 к</t>
  </si>
  <si>
    <t>1,5 к</t>
  </si>
  <si>
    <t>1,6 к</t>
  </si>
  <si>
    <t>1,8 к</t>
  </si>
  <si>
    <t>2,2 к</t>
  </si>
  <si>
    <t>2,4 к</t>
  </si>
  <si>
    <t>5,1 к</t>
  </si>
  <si>
    <t>5,6 к</t>
  </si>
  <si>
    <t>6,2 к</t>
  </si>
  <si>
    <t>6,8 к</t>
  </si>
  <si>
    <t>7,5 к</t>
  </si>
  <si>
    <t>9,1 к</t>
  </si>
  <si>
    <t>10 к</t>
  </si>
  <si>
    <t>11 к</t>
  </si>
  <si>
    <t>13 к</t>
  </si>
  <si>
    <t>15 к</t>
  </si>
  <si>
    <t>16 к</t>
  </si>
  <si>
    <t>18 к</t>
  </si>
  <si>
    <t>20 к</t>
  </si>
  <si>
    <t>22 к</t>
  </si>
  <si>
    <t>24 к</t>
  </si>
  <si>
    <t>51 к</t>
  </si>
  <si>
    <t>56 к</t>
  </si>
  <si>
    <t>62 к</t>
  </si>
  <si>
    <t>68 к</t>
  </si>
  <si>
    <t>75 к</t>
  </si>
  <si>
    <t>91 к</t>
  </si>
  <si>
    <t>100 к</t>
  </si>
  <si>
    <t>110 к</t>
  </si>
  <si>
    <t>120 к</t>
  </si>
  <si>
    <t>130 к</t>
  </si>
  <si>
    <t>150 к</t>
  </si>
  <si>
    <t>160 к</t>
  </si>
  <si>
    <t>180 к</t>
  </si>
  <si>
    <t>200 к</t>
  </si>
  <si>
    <t>220 к</t>
  </si>
  <si>
    <t>240 к</t>
  </si>
  <si>
    <t>510 к</t>
  </si>
  <si>
    <t>560 к</t>
  </si>
  <si>
    <t>620 к</t>
  </si>
  <si>
    <t>680 к</t>
  </si>
  <si>
    <t>750 к</t>
  </si>
  <si>
    <t>910 к</t>
  </si>
  <si>
    <t>1,0 М</t>
  </si>
  <si>
    <t>1,1 М</t>
  </si>
  <si>
    <t>1,2 М</t>
  </si>
  <si>
    <t>1,3 М</t>
  </si>
  <si>
    <t>1,5 М</t>
  </si>
  <si>
    <t>1,6 М</t>
  </si>
  <si>
    <t>1,8 М</t>
  </si>
  <si>
    <t>2,2 М</t>
  </si>
  <si>
    <t>2,4 М</t>
  </si>
  <si>
    <t>5,1 М</t>
  </si>
  <si>
    <t>5,6 М</t>
  </si>
  <si>
    <t>6,2 М</t>
  </si>
  <si>
    <t>6,8 М</t>
  </si>
  <si>
    <t>7,5 М</t>
  </si>
  <si>
    <t>9,1 М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</si>
  <si>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</si>
  <si>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</si>
  <si>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</si>
  <si>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</si>
  <si>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</si>
  <si>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</si>
  <si>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</si>
  <si>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</si>
  <si>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</si>
  <si>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</si>
  <si>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</si>
  <si>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</si>
  <si>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</si>
  <si>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</si>
  <si>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</si>
  <si>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</si>
  <si>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</si>
  <si>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</si>
  <si>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</si>
  <si>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</si>
  <si>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</si>
  <si>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</si>
  <si>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</si>
  <si>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</si>
  <si>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</si>
  <si>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</si>
  <si>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</si>
  <si>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</si>
  <si>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</si>
  <si>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</si>
  <si>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</si>
  <si>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</si>
  <si>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</si>
  <si>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</si>
  <si>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</si>
  <si>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</si>
  <si>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</si>
  <si>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</si>
  <si>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</si>
  <si>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</si>
  <si>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</si>
  <si>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</si>
  <si>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</si>
  <si>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</si>
  <si>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</si>
  <si>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</si>
  <si>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</si>
  <si>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</si>
  <si>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</si>
  <si>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</si>
  <si>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</si>
  <si>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</si>
  <si>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</si>
  <si>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</si>
  <si>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</si>
  <si>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</si>
  <si>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</si>
  <si>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</si>
  <si>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</si>
  <si>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</si>
  <si>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</si>
  <si>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</si>
  <si>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</si>
  <si>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</si>
  <si>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</si>
  <si>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</si>
  <si>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</si>
  <si>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</si>
  <si>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</si>
  <si>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</si>
  <si>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</si>
  <si>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</si>
  <si>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</si>
  <si>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</si>
  <si>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</si>
  <si>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</si>
  <si>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</si>
  <si>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</si>
  <si>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</si>
  <si>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</si>
  <si>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</si>
  <si>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</si>
  <si>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</si>
  <si>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</si>
  <si>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</si>
  <si>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</si>
  <si>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</si>
  <si>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</si>
  <si>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</si>
  <si>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</si>
  <si>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</si>
  <si>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</si>
  <si>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</si>
  <si>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</si>
  <si>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</si>
  <si>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</si>
  <si>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</si>
  <si>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</si>
  <si>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</si>
  <si>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</si>
  <si>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</si>
  <si>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</si>
  <si>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</si>
  <si>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</si>
  <si>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</si>
  <si>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</si>
  <si>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</si>
  <si>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</si>
  <si>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</si>
  <si>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</si>
  <si>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</si>
  <si>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</si>
  <si>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</si>
  <si>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</si>
  <si>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</si>
  <si>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</si>
  <si>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</si>
  <si>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</si>
  <si>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</si>
  <si>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</si>
  <si>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</si>
  <si>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</si>
  <si>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</si>
  <si>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</si>
  <si>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</si>
  <si>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</si>
  <si>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</si>
  <si>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</si>
  <si>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</si>
  <si>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</si>
  <si>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</si>
  <si>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</si>
  <si>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</si>
  <si>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</si>
  <si>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</si>
  <si>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</si>
  <si>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</si>
  <si>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</si>
  <si>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</si>
  <si>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</si>
  <si>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</si>
  <si>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</si>
  <si>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</si>
  <si>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</si>
  <si>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</si>
  <si>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</si>
  <si>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</si>
  <si>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</si>
  <si>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</si>
  <si>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</si>
  <si>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</si>
  <si>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</si>
  <si>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</si>
  <si>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</si>
  <si>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</si>
  <si>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</si>
  <si>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</si>
  <si>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</si>
  <si>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</si>
  <si>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</si>
  <si>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</si>
  <si>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</si>
  <si>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</si>
  <si>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</si>
  <si>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</si>
  <si>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</si>
  <si>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</si>
  <si>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</si>
  <si>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</si>
  <si>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</si>
  <si>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</si>
  <si>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</si>
  <si>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</si>
  <si>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</si>
  <si>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</si>
  <si>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</si>
  <si>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</si>
  <si>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</si>
  <si>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</si>
  <si>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</si>
  <si>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</si>
  <si>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</si>
  <si>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</si>
  <si>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</si>
  <si>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</si>
  <si>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</si>
  <si>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</si>
  <si>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</si>
  <si>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</si>
  <si>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</si>
  <si>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</si>
  <si>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</si>
  <si>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</si>
  <si>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</si>
  <si>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</si>
  <si>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</si>
  <si>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</si>
  <si>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</si>
  <si>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</si>
  <si>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</si>
  <si>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</si>
  <si>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</si>
  <si>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</si>
  <si>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</si>
  <si>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</si>
  <si>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</si>
  <si>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</si>
  <si>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</si>
  <si>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</si>
  <si>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</si>
  <si>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</si>
  <si>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</si>
  <si>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</si>
  <si>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</si>
  <si>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</si>
  <si>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</si>
  <si>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</si>
  <si>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</si>
  <si>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</si>
  <si>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</si>
  <si>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</si>
  <si>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</si>
  <si>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</si>
  <si>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</si>
  <si>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</si>
  <si>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</si>
  <si>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</si>
  <si>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</si>
  <si>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</si>
  <si>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</si>
  <si>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</si>
  <si>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</si>
  <si>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</si>
  <si>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</si>
  <si>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</si>
  <si>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</si>
  <si>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</si>
  <si>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</si>
  <si>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</si>
  <si>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</si>
  <si>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</si>
  <si>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</si>
  <si>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</si>
  <si>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</si>
  <si>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</si>
  <si>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</si>
  <si>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</si>
  <si>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</si>
  <si>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</si>
  <si>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</si>
  <si>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</si>
  <si>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</si>
  <si>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</si>
  <si>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</si>
  <si>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</si>
  <si>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</si>
  <si>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</si>
  <si>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</si>
  <si>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</si>
  <si>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</si>
  <si>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</si>
  <si>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</si>
  <si>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</si>
  <si>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</si>
  <si>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</si>
  <si>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</si>
  <si>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</si>
  <si>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</si>
  <si>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</si>
  <si>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</si>
  <si>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</si>
  <si>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</si>
  <si>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</si>
  <si>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</si>
  <si>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</si>
  <si>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</si>
  <si>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</si>
  <si>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</si>
  <si>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</si>
  <si>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</si>
  <si>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</si>
  <si>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</si>
  <si>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</si>
  <si>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</si>
  <si>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</si>
  <si>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</si>
  <si>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</si>
  <si>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</si>
  <si>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</si>
  <si>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</si>
  <si>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</si>
  <si>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</si>
  <si>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</si>
  <si>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</si>
  <si>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</si>
  <si>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</si>
  <si>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</si>
  <si>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</si>
  <si>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</si>
  <si>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</si>
  <si>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</si>
  <si>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</si>
  <si>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</si>
  <si>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</si>
  <si>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</si>
  <si>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</si>
  <si>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</si>
  <si>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</si>
  <si>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</si>
  <si>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</si>
  <si>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</si>
  <si>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</si>
  <si>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</si>
  <si>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</si>
  <si>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</si>
  <si>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</si>
  <si>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</si>
  <si>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</si>
  <si>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</si>
  <si>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</si>
  <si>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</si>
  <si>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</si>
  <si>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</si>
  <si>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</si>
  <si>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</si>
  <si>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</si>
  <si>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</si>
  <si>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</si>
  <si>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</si>
  <si>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</si>
  <si>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</si>
  <si>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</si>
  <si>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</si>
  <si>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</si>
  <si>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</si>
  <si>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</si>
  <si>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</si>
  <si>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</si>
  <si>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</si>
  <si>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</si>
  <si>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</si>
  <si>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</si>
  <si>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</si>
  <si>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</si>
  <si>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</si>
  <si>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</si>
  <si>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</si>
  <si>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</si>
  <si>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</si>
  <si>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</si>
  <si>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</si>
  <si>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</si>
  <si>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</si>
  <si>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</si>
  <si>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</si>
  <si>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</si>
  <si>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</si>
  <si>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</si>
  <si>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</si>
  <si>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</si>
  <si>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</si>
  <si>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</si>
  <si>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</si>
  <si>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</si>
  <si>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</si>
  <si>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</si>
  <si>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</si>
  <si>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</si>
  <si>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</si>
  <si>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</si>
  <si>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</si>
  <si>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</si>
  <si>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</si>
  <si>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</si>
  <si>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</si>
  <si>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</si>
  <si>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</si>
  <si>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</si>
  <si>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</si>
  <si>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</si>
  <si>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</si>
  <si>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</si>
  <si>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</si>
  <si>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</si>
  <si>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</si>
  <si>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</si>
  <si>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</si>
  <si>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</si>
  <si>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</si>
  <si>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</si>
  <si>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</si>
  <si>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</si>
  <si>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</si>
  <si>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</si>
  <si>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</si>
  <si>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</si>
  <si>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</si>
  <si>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</si>
  <si>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</si>
  <si>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</si>
  <si>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</si>
  <si>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</si>
  <si>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</si>
  <si>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</si>
  <si>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</si>
  <si>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</si>
  <si>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</si>
  <si>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</si>
  <si>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</si>
  <si>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</si>
  <si>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</si>
  <si>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</si>
  <si>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</si>
  <si>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</si>
  <si>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</si>
  <si>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</si>
  <si>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</si>
  <si>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</si>
  <si>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</si>
  <si>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</si>
  <si>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</si>
  <si>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</si>
  <si>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</si>
  <si>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</si>
  <si>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</si>
  <si>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</si>
  <si>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</si>
  <si>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</si>
  <si>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</si>
  <si>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</si>
  <si>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</si>
  <si>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</si>
  <si>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</si>
  <si>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</si>
  <si>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</si>
  <si>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</si>
  <si>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</si>
  <si>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</si>
  <si>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</si>
  <si>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</si>
  <si>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</si>
  <si>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</si>
  <si>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</si>
  <si>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</si>
  <si>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</si>
  <si>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</si>
  <si>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</si>
  <si>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</si>
  <si>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</si>
  <si>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</si>
  <si>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</si>
  <si>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</si>
  <si>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</si>
  <si>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</si>
  <si>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</si>
  <si>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</si>
  <si>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</si>
  <si>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</si>
  <si>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</si>
  <si>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</si>
  <si>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</si>
  <si>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</si>
  <si>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</si>
  <si>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</si>
  <si>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</si>
  <si>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</si>
  <si>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</si>
  <si>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</si>
  <si>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</si>
  <si>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</si>
  <si>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</si>
  <si>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</si>
  <si>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</si>
  <si>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</si>
  <si>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</si>
  <si>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</si>
  <si>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</si>
  <si>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</si>
  <si>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</si>
  <si>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</si>
  <si>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</si>
  <si>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</si>
  <si>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</si>
  <si>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</si>
  <si>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</si>
  <si>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</si>
  <si>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</si>
  <si>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</si>
  <si>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</si>
  <si>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</si>
  <si>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</si>
  <si>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</si>
  <si>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</si>
  <si>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</si>
  <si>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</si>
  <si>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</si>
  <si>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</si>
  <si>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</si>
  <si>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</si>
  <si>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</si>
  <si>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</si>
  <si>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</si>
  <si>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</si>
  <si>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</si>
  <si>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</si>
  <si>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</si>
  <si>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</si>
  <si>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</si>
  <si>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</si>
  <si>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</si>
  <si>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</si>
  <si>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</si>
  <si>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</si>
  <si>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</si>
  <si>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</si>
  <si>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</si>
  <si>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</si>
  <si>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</si>
  <si>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</si>
  <si>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</si>
  <si>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</si>
  <si>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</si>
  <si>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</si>
  <si>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</si>
  <si>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</si>
  <si>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</si>
  <si>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</si>
  <si>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</si>
  <si>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</si>
  <si>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</si>
  <si>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</si>
  <si>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</si>
  <si>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</si>
  <si>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</si>
  <si>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</si>
  <si>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</si>
  <si>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</si>
  <si>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</si>
  <si>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</si>
  <si>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</si>
  <si>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</si>
  <si>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</si>
  <si>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</si>
  <si>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</si>
  <si>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</si>
  <si>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</si>
  <si>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</si>
  <si>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</si>
  <si>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</si>
  <si>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</si>
  <si>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</si>
  <si>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</si>
  <si>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</si>
  <si>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</si>
  <si>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</si>
  <si>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</si>
  <si>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</si>
  <si>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</si>
  <si>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</si>
  <si>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</si>
  <si>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</si>
  <si>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</si>
  <si>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</si>
  <si>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</si>
  <si>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</si>
  <si>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</si>
  <si>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</si>
  <si>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</si>
  <si>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</si>
  <si>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</si>
  <si>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</si>
  <si>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</si>
  <si>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</si>
  <si>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</si>
  <si>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</si>
  <si>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</si>
  <si>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</si>
  <si>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</si>
  <si>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</si>
  <si>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</si>
  <si>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</si>
  <si>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</si>
  <si>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</si>
  <si>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</si>
  <si>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</si>
  <si>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</si>
  <si>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</si>
  <si>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</si>
  <si>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</si>
  <si>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</si>
  <si>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</si>
  <si>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</si>
  <si>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</si>
  <si>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</si>
  <si>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</si>
  <si>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</si>
  <si>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</si>
  <si>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</si>
  <si>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</si>
  <si>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</si>
  <si>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</si>
  <si>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</si>
  <si>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</si>
  <si>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</si>
  <si>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</si>
  <si>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</si>
  <si>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</si>
  <si>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</si>
  <si>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</si>
  <si>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</si>
  <si>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</si>
  <si>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</si>
  <si>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</si>
  <si>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</si>
  <si>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</si>
  <si>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</si>
  <si>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</si>
  <si>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</si>
  <si>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</si>
  <si>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</si>
  <si>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</si>
  <si>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</si>
  <si>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</si>
  <si>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</si>
  <si>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</si>
  <si>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</si>
  <si>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</si>
  <si>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</si>
  <si>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</si>
  <si>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</si>
  <si>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</si>
  <si>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</si>
  <si>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</si>
  <si>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</si>
  <si>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</si>
  <si>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</si>
  <si>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</si>
  <si>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</si>
  <si>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</si>
  <si>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</si>
  <si>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</si>
  <si>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</si>
  <si>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</si>
  <si>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</si>
  <si>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</si>
  <si>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</si>
  <si>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</si>
  <si>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</si>
  <si>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</si>
  <si>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</si>
  <si>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</si>
  <si>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</si>
  <si>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</si>
  <si>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</si>
  <si>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</si>
  <si>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</si>
  <si>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</si>
  <si>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</si>
  <si>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</si>
  <si>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</si>
  <si>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</si>
  <si>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</si>
  <si>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</si>
  <si>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</si>
  <si>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</si>
  <si>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</si>
  <si>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</si>
  <si>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</si>
  <si>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</si>
  <si>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</si>
  <si>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</si>
  <si>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</si>
  <si>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</si>
  <si>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</si>
  <si>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</si>
  <si>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</si>
  <si>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</si>
  <si>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</si>
  <si>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</si>
  <si>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</si>
  <si>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</si>
  <si>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</si>
  <si>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</si>
  <si>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</si>
  <si>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</si>
  <si>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</si>
  <si>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</si>
  <si>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</si>
  <si>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</si>
  <si>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</si>
  <si>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</si>
  <si>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</si>
  <si>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</si>
  <si>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</si>
  <si>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</si>
  <si>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</si>
  <si>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</si>
  <si>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</si>
  <si>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</si>
  <si>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</si>
  <si>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</si>
  <si>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</si>
  <si>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</si>
  <si>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</si>
  <si>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</si>
  <si>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</si>
  <si>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10,7 к</t>
  </si>
  <si>
    <t>1,21 к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</si>
  <si>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</si>
  <si>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</si>
  <si>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</si>
  <si>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</si>
  <si>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</si>
  <si>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</si>
  <si>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</si>
  <si>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</si>
  <si>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</si>
  <si>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</si>
  <si>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</si>
  <si>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</si>
  <si>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</si>
  <si>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</si>
  <si>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</si>
  <si>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</si>
  <si>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</si>
  <si>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</si>
  <si>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</si>
  <si>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</si>
  <si>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</si>
  <si>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</si>
  <si>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</si>
  <si>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</si>
  <si>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</si>
  <si>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</si>
  <si>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</si>
  <si>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</si>
  <si>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</si>
  <si>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</si>
  <si>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</si>
  <si>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</si>
  <si>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</si>
  <si>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</si>
  <si>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</si>
  <si>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</si>
  <si>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</si>
  <si>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</si>
  <si>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</si>
  <si>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</si>
  <si>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</si>
  <si>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</si>
  <si>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</si>
  <si>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</si>
  <si>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</si>
  <si>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</si>
  <si>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</si>
  <si>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</si>
  <si>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</si>
  <si>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</si>
  <si>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</si>
  <si>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</si>
  <si>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</si>
  <si>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</si>
  <si>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</si>
  <si>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</si>
  <si>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</si>
  <si>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</si>
  <si>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</si>
  <si>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</si>
  <si>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</si>
  <si>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</si>
  <si>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</si>
  <si>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</si>
  <si>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</si>
  <si>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</si>
  <si>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</si>
  <si>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</si>
  <si>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</si>
  <si>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</si>
  <si>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</si>
  <si>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</si>
  <si>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</si>
  <si>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</si>
  <si>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</si>
  <si>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</si>
  <si>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</si>
  <si>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</si>
  <si>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</si>
  <si>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</si>
  <si>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</si>
  <si>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</si>
  <si>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</si>
  <si>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</si>
  <si>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</si>
  <si>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</si>
  <si>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</si>
  <si>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</si>
  <si>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</si>
  <si>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</si>
  <si>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</si>
  <si>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</si>
  <si>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</si>
  <si>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</si>
  <si>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</si>
  <si>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</si>
  <si>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</si>
  <si>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</si>
  <si>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</si>
  <si>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</si>
  <si>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</si>
  <si>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</si>
  <si>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</si>
  <si>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</si>
  <si>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</si>
  <si>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</si>
  <si>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</si>
  <si>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</si>
  <si>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</si>
  <si>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</si>
  <si>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</si>
  <si>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</si>
  <si>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</si>
  <si>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</si>
  <si>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</si>
  <si>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</si>
  <si>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</si>
  <si>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</si>
  <si>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</si>
  <si>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</si>
  <si>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</si>
  <si>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</si>
  <si>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</si>
  <si>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</si>
  <si>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</si>
  <si>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</si>
  <si>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</si>
  <si>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</si>
  <si>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</si>
  <si>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</si>
  <si>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</si>
  <si>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</si>
  <si>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</si>
  <si>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</si>
  <si>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</si>
  <si>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</si>
  <si>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</si>
  <si>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</si>
  <si>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</si>
  <si>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</si>
  <si>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</si>
  <si>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</si>
  <si>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</si>
  <si>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</si>
  <si>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</si>
  <si>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</si>
  <si>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</si>
  <si>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</si>
  <si>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</si>
  <si>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</si>
  <si>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</si>
  <si>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</si>
  <si>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</si>
  <si>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</si>
  <si>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</si>
  <si>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</si>
  <si>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</si>
  <si>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</si>
  <si>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</si>
  <si>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</si>
  <si>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</si>
  <si>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</si>
  <si>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</si>
  <si>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</si>
  <si>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</si>
  <si>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</si>
  <si>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</si>
  <si>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</si>
  <si>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Footprints/Resistors/0402R.PcbLib</t>
  </si>
  <si>
    <t>0402R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</si>
  <si>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</si>
  <si>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</si>
  <si>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</si>
  <si>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</si>
  <si>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</si>
  <si>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</si>
  <si>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</si>
  <si>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</si>
  <si>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</si>
  <si>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</si>
  <si>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</si>
  <si>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</si>
  <si>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</si>
  <si>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</si>
  <si>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</si>
  <si>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</si>
  <si>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</si>
  <si>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</si>
  <si>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</si>
  <si>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</si>
  <si>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</si>
  <si>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</si>
  <si>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</si>
  <si>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</si>
  <si>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</si>
  <si>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</si>
  <si>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</si>
  <si>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</si>
  <si>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</si>
  <si>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</si>
  <si>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</si>
  <si>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</si>
  <si>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</si>
  <si>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</si>
  <si>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</si>
  <si>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</si>
  <si>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</si>
  <si>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</si>
  <si>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</si>
  <si>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</si>
  <si>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</si>
  <si>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</si>
  <si>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</si>
  <si>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</si>
  <si>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</si>
  <si>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</si>
  <si>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</si>
  <si>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</si>
  <si>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</si>
  <si>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</si>
  <si>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</si>
  <si>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</si>
  <si>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</si>
  <si>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</si>
  <si>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</si>
  <si>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</si>
  <si>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</si>
  <si>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</si>
  <si>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</si>
  <si>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</si>
  <si>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</si>
  <si>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</si>
  <si>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</si>
  <si>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</si>
  <si>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</si>
  <si>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</si>
  <si>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</si>
  <si>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</si>
  <si>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</si>
  <si>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</si>
  <si>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</si>
  <si>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</si>
  <si>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</si>
  <si>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</si>
  <si>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</si>
  <si>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</si>
  <si>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</si>
  <si>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</si>
  <si>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</si>
  <si>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</si>
  <si>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</si>
  <si>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</si>
  <si>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</si>
  <si>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</si>
  <si>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</si>
  <si>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</si>
  <si>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</si>
  <si>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</si>
  <si>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</si>
  <si>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</si>
  <si>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</si>
  <si>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</si>
  <si>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</si>
  <si>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</si>
  <si>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</si>
  <si>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</si>
  <si>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</si>
  <si>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</si>
  <si>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</si>
  <si>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</si>
  <si>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</si>
  <si>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</si>
  <si>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</si>
  <si>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</si>
  <si>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</si>
  <si>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</si>
  <si>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</si>
  <si>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</si>
  <si>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</si>
  <si>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</si>
  <si>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</si>
  <si>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</si>
  <si>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</si>
  <si>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</si>
  <si>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</si>
  <si>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</si>
  <si>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</si>
  <si>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</si>
  <si>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</si>
  <si>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</si>
  <si>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</si>
  <si>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</si>
  <si>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</si>
  <si>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</si>
  <si>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</si>
  <si>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</si>
  <si>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</si>
  <si>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</si>
  <si>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</si>
  <si>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</si>
  <si>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</si>
  <si>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</si>
  <si>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</si>
  <si>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</si>
  <si>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</si>
  <si>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</si>
  <si>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</si>
  <si>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</si>
  <si>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</si>
  <si>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</si>
  <si>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</si>
  <si>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</si>
  <si>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</si>
  <si>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</si>
  <si>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</si>
  <si>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</si>
  <si>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</si>
  <si>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</si>
  <si>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</si>
  <si>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</si>
  <si>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</si>
  <si>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</si>
  <si>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</si>
  <si>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</si>
  <si>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</si>
  <si>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</si>
  <si>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</si>
  <si>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</si>
  <si>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</si>
  <si>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</si>
  <si>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</si>
  <si>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</si>
  <si>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</si>
  <si>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</si>
  <si>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</si>
  <si>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</si>
  <si>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</si>
  <si>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</si>
  <si>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</si>
  <si>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</si>
  <si>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</si>
  <si>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</si>
  <si>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</si>
  <si>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</si>
  <si>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</si>
  <si>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</si>
  <si>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</si>
  <si>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</si>
  <si>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</si>
  <si>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</si>
  <si>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</si>
  <si>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</si>
  <si>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</si>
  <si>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</si>
  <si>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</si>
  <si>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</si>
  <si>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</si>
  <si>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</si>
  <si>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</si>
  <si>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</si>
  <si>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</si>
  <si>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</si>
  <si>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</si>
  <si>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</si>
  <si>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</si>
  <si>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</si>
  <si>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</si>
  <si>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SMA4007</t>
  </si>
  <si>
    <t>https://static.chipdip.ru/lib/867/DOC050867185.pdf</t>
  </si>
  <si>
    <t>Capacitor_1u_10_25V_X7R_0603C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</si>
  <si>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</si>
  <si>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</si>
  <si>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</si>
  <si>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</si>
  <si>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</si>
  <si>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</si>
  <si>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</si>
  <si>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</si>
  <si>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</si>
  <si>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</si>
  <si>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</si>
  <si>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</si>
  <si>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</si>
  <si>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</si>
  <si>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</si>
  <si>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</si>
  <si>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</si>
  <si>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</si>
  <si>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</si>
  <si>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</si>
  <si>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</si>
  <si>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</si>
  <si>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</si>
  <si>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</si>
  <si>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</si>
  <si>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</si>
  <si>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</si>
  <si>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</si>
  <si>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</si>
  <si>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</si>
  <si>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</si>
  <si>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</si>
  <si>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</si>
  <si>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</si>
  <si>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</si>
  <si>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</si>
  <si>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</si>
  <si>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</si>
  <si>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</si>
  <si>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</si>
  <si>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</si>
  <si>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</si>
  <si>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</si>
  <si>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</si>
  <si>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</si>
  <si>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</si>
  <si>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</si>
  <si>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</si>
  <si>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</si>
  <si>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</si>
  <si>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</si>
  <si>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</si>
  <si>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</si>
  <si>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</si>
  <si>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</si>
  <si>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</si>
  <si>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</si>
  <si>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</si>
  <si>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</si>
  <si>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</si>
  <si>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</si>
  <si>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</si>
  <si>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</si>
  <si>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</si>
  <si>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</si>
  <si>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</si>
  <si>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</si>
  <si>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</si>
  <si>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</si>
  <si>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</si>
  <si>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</si>
  <si>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</si>
  <si>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</si>
  <si>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</si>
  <si>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</si>
  <si>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</si>
  <si>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</si>
  <si>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</si>
  <si>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</si>
  <si>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</si>
  <si>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</si>
  <si>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</si>
  <si>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</si>
  <si>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</si>
  <si>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</si>
  <si>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</si>
  <si>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</si>
  <si>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</si>
  <si>
    <t>FedorPOU</t>
  </si>
  <si>
    <t>UMW AO4485</t>
  </si>
  <si>
    <t>SMBJ26CA</t>
  </si>
  <si>
    <t>B82464A4103M000</t>
  </si>
  <si>
    <t>Индуктивность на 10 мкГн, номинальный ток 2,5 А</t>
  </si>
  <si>
    <t>PCIexpress_x4_full</t>
  </si>
  <si>
    <t>rreali/FedorPOU</t>
  </si>
  <si>
    <t>ICM-42688-P</t>
  </si>
  <si>
    <t xml:space="preserve">Датчик положения ICM-42688-P </t>
  </si>
  <si>
    <t>SP721</t>
  </si>
  <si>
    <t>SP721ABG, ESD Protection Diodes / TVS Diodes 6 CH DIODE ARRAY, SP721ABG, 8004597169</t>
  </si>
  <si>
    <t>1.2 к</t>
  </si>
  <si>
    <t>1.5 к</t>
  </si>
  <si>
    <t>1.8 к</t>
  </si>
  <si>
    <t>2.2 к</t>
  </si>
  <si>
    <t>2.7 к</t>
  </si>
  <si>
    <t>3.3 к</t>
  </si>
  <si>
    <t>3.9 к</t>
  </si>
  <si>
    <t>4.7 к</t>
  </si>
  <si>
    <t>5.6 к</t>
  </si>
  <si>
    <t>6.8 к</t>
  </si>
  <si>
    <t>8.2 к</t>
  </si>
  <si>
    <t>1 М</t>
  </si>
  <si>
    <t>AO4485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</si>
</sst>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0" fontId="4" fillId="0" borderId="0" xfId="0" applyFont="1" applyAlignment="1">
      <alignment horizontal="right"/>
    </xf>
    <xf numFmtId="0" fontId="13" fillId="0" borderId="0" xfId="0" applyFont="1"/>
    <xf numFmtId="49" fontId="13" fillId="0" borderId="0" xfId="0" applyNumberFormat="1" applyFont="1"/>
    <xf numFmtId="0" fontId="13" fillId="0" borderId="4" xfId="0" applyFont="1" applyBorder="1"/>
    <xf numFmtId="0" fontId="13" fillId="0" borderId="6" xfId="0" applyFont="1" applyBorder="1"/>
    <xf numFmtId="0" fontId="4" fillId="0" borderId="6" xfId="0" applyFont="1" applyBorder="1"/>
    <xf numFmtId="4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1" tableType="xml" totalsRowShown="0" headerRowDxfId="146" connectionId="6">
  <autoFilter ref="A1:M7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7" tableType="xml" totalsRowShown="0" dataDxfId="141" connectionId="19">
  <autoFilter ref="A1:M17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1" tableType="xml" totalsRowShown="0" headerRowDxfId="127" connectionId="18">
  <autoFilter ref="A1:M21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402" tableType="xml" totalsRowShown="0" headerRowDxfId="120" dataDxfId="119" connectionId="14">
  <autoFilter ref="A1:O402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3" xr3:uid="{EB6CB4D4-35E1-4CE3-A4E3-74A449E2B85B}" uniqueName="13" name="Footprint Ref 3" dataDxfId="107"/>
    <tableColumn id="17" xr3:uid="{27A9C3EB-680C-467A-AE30-AE7615E72611}" uniqueName="17" name="Footprint Ref 4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1" tableType="xml" totalsRowShown="0" headerRowDxfId="46" connectionId="9">
  <autoFilter ref="A1:R31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9" tableType="xml" totalsRowShown="0" headerRowDxfId="3" connectionId="7">
  <autoFilter ref="A1:L69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1"/>
  <sheetViews>
    <sheetView topLeftCell="A49" zoomScale="85" zoomScaleNormal="85" workbookViewId="0">
      <selection activeCell="F75" sqref="F75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782</v>
      </c>
      <c r="M1" s="1" t="s">
        <v>1064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262</v>
      </c>
      <c r="H8" t="s">
        <v>626</v>
      </c>
      <c r="I8" t="s">
        <v>625</v>
      </c>
      <c r="J8" t="s">
        <v>626</v>
      </c>
      <c r="K8" t="s">
        <v>692</v>
      </c>
      <c r="M8" t="s">
        <v>1065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211</v>
      </c>
      <c r="B11" t="s">
        <v>212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213</v>
      </c>
      <c r="M11" t="s">
        <v>1065</v>
      </c>
    </row>
    <row r="12" spans="1:20" x14ac:dyDescent="0.35">
      <c r="A12" t="s">
        <v>214</v>
      </c>
      <c r="B12" t="s">
        <v>215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765</v>
      </c>
      <c r="M12" t="s">
        <v>1065</v>
      </c>
    </row>
    <row r="13" spans="1:20" x14ac:dyDescent="0.35">
      <c r="A13" t="s">
        <v>216</v>
      </c>
      <c r="B13" t="s">
        <v>217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1011</v>
      </c>
      <c r="M13" t="s">
        <v>1065</v>
      </c>
    </row>
    <row r="14" spans="1:20" x14ac:dyDescent="0.35">
      <c r="A14" t="s">
        <v>218</v>
      </c>
      <c r="B14" t="s">
        <v>1157</v>
      </c>
      <c r="C14" s="2" t="s">
        <v>218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219</v>
      </c>
      <c r="M14" t="s">
        <v>1065</v>
      </c>
    </row>
    <row r="15" spans="1:20" x14ac:dyDescent="0.35">
      <c r="A15" t="s">
        <v>499</v>
      </c>
      <c r="B15" t="s">
        <v>500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219</v>
      </c>
      <c r="M15" t="s">
        <v>1065</v>
      </c>
    </row>
    <row r="16" spans="1:20" x14ac:dyDescent="0.35">
      <c r="A16" t="s">
        <v>501</v>
      </c>
      <c r="B16" t="s">
        <v>502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503</v>
      </c>
      <c r="M16" t="s">
        <v>1065</v>
      </c>
    </row>
    <row r="17" spans="1:13" x14ac:dyDescent="0.35">
      <c r="A17" t="s">
        <v>504</v>
      </c>
      <c r="B17" t="s">
        <v>505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1065</v>
      </c>
    </row>
    <row r="18" spans="1:13" x14ac:dyDescent="0.35">
      <c r="A18" t="s">
        <v>524</v>
      </c>
      <c r="B18" t="s">
        <v>525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524</v>
      </c>
      <c r="M18" t="s">
        <v>1065</v>
      </c>
    </row>
    <row r="19" spans="1:13" x14ac:dyDescent="0.35">
      <c r="A19" t="s">
        <v>526</v>
      </c>
      <c r="B19" t="s">
        <v>527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528</v>
      </c>
      <c r="M19" t="s">
        <v>1065</v>
      </c>
    </row>
    <row r="20" spans="1:13" x14ac:dyDescent="0.35">
      <c r="A20" s="10" t="s">
        <v>529</v>
      </c>
      <c r="B20" t="s">
        <v>530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531</v>
      </c>
      <c r="M20" t="s">
        <v>1065</v>
      </c>
    </row>
    <row r="21" spans="1:13" x14ac:dyDescent="0.35">
      <c r="A21" t="s">
        <v>539</v>
      </c>
      <c r="B21" t="s">
        <v>540</v>
      </c>
      <c r="C21" s="2" t="s">
        <v>539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518</v>
      </c>
      <c r="M21" t="s">
        <v>1065</v>
      </c>
    </row>
    <row r="22" spans="1:13" x14ac:dyDescent="0.35">
      <c r="A22" t="s">
        <v>553</v>
      </c>
      <c r="B22" t="s">
        <v>554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552</v>
      </c>
      <c r="M22" t="s">
        <v>1065</v>
      </c>
    </row>
    <row r="23" spans="1:13" x14ac:dyDescent="0.35">
      <c r="A23" t="s">
        <v>557</v>
      </c>
      <c r="B23" t="s">
        <v>558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557</v>
      </c>
      <c r="M23" t="s">
        <v>1065</v>
      </c>
    </row>
    <row r="24" spans="1:13" x14ac:dyDescent="0.35">
      <c r="A24" t="s">
        <v>574</v>
      </c>
      <c r="B24" t="s">
        <v>576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262</v>
      </c>
      <c r="M24" t="s">
        <v>1065</v>
      </c>
    </row>
    <row r="25" spans="1:13" x14ac:dyDescent="0.35">
      <c r="A25" t="s">
        <v>575</v>
      </c>
      <c r="B25" t="s">
        <v>577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262</v>
      </c>
      <c r="M25" t="s">
        <v>1065</v>
      </c>
    </row>
    <row r="26" spans="1:13" x14ac:dyDescent="0.35">
      <c r="A26" t="s">
        <v>578</v>
      </c>
      <c r="B26" t="s">
        <v>579</v>
      </c>
      <c r="C26" s="2" t="s">
        <v>578</v>
      </c>
      <c r="D26" t="s">
        <v>580</v>
      </c>
      <c r="E26" t="s">
        <v>578</v>
      </c>
      <c r="F26" t="s">
        <v>581</v>
      </c>
      <c r="G26" t="s">
        <v>262</v>
      </c>
      <c r="M26" t="s">
        <v>1065</v>
      </c>
    </row>
    <row r="27" spans="1:13" x14ac:dyDescent="0.35">
      <c r="A27" t="s">
        <v>603</v>
      </c>
      <c r="B27" t="s">
        <v>604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1065</v>
      </c>
    </row>
    <row r="28" spans="1:13" x14ac:dyDescent="0.35">
      <c r="A28" t="s">
        <v>621</v>
      </c>
      <c r="B28" t="s">
        <v>622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624</v>
      </c>
      <c r="G28" t="s">
        <v>623</v>
      </c>
      <c r="H28" t="s">
        <v>624</v>
      </c>
      <c r="I28" t="s">
        <v>691</v>
      </c>
      <c r="M28" t="s">
        <v>1065</v>
      </c>
    </row>
    <row r="29" spans="1:13" x14ac:dyDescent="0.35">
      <c r="A29" t="s">
        <v>677</v>
      </c>
      <c r="B29" t="s">
        <v>678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677</v>
      </c>
    </row>
    <row r="30" spans="1:13" x14ac:dyDescent="0.35">
      <c r="A30" t="s">
        <v>679</v>
      </c>
      <c r="B30" t="s">
        <v>706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679</v>
      </c>
    </row>
    <row r="31" spans="1:13" x14ac:dyDescent="0.35">
      <c r="A31" t="s">
        <v>680</v>
      </c>
      <c r="B31" t="s">
        <v>705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681</v>
      </c>
    </row>
    <row r="32" spans="1:13" x14ac:dyDescent="0.35">
      <c r="A32" t="s">
        <v>701</v>
      </c>
      <c r="B32" t="s">
        <v>702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1065</v>
      </c>
    </row>
    <row r="33" spans="1:13" x14ac:dyDescent="0.35">
      <c r="A33" t="s">
        <v>703</v>
      </c>
      <c r="B33" t="s">
        <v>704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1065</v>
      </c>
    </row>
    <row r="34" spans="1:13" x14ac:dyDescent="0.35">
      <c r="A34" t="s">
        <v>720</v>
      </c>
      <c r="B34" t="s">
        <v>721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518</v>
      </c>
      <c r="M34" t="s">
        <v>1065</v>
      </c>
    </row>
    <row r="35" spans="1:13" x14ac:dyDescent="0.35">
      <c r="A35" t="s">
        <v>724</v>
      </c>
      <c r="B35" t="s">
        <v>722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723</v>
      </c>
      <c r="M35" t="s">
        <v>1065</v>
      </c>
    </row>
    <row r="36" spans="1:13" x14ac:dyDescent="0.35">
      <c r="A36" t="s">
        <v>731</v>
      </c>
      <c r="B36" t="s">
        <v>732</v>
      </c>
      <c r="C36" s="2" t="str">
        <f>A36</f>
        <v>LTV354T</v>
      </c>
      <c r="D36" t="str">
        <f>CONCATENATE("Schematic\",E36,".SchLib")</f>
        <v>Schematic\LTV354.SchLib</v>
      </c>
      <c r="E36" t="s">
        <v>730</v>
      </c>
      <c r="F36" t="str">
        <f>CONCATENATE("Footprints\",G36,".PcbLib")</f>
        <v>Footprints\SOP4-2_54.PcbLib</v>
      </c>
      <c r="G36" t="s">
        <v>733</v>
      </c>
      <c r="M36" t="s">
        <v>1065</v>
      </c>
    </row>
    <row r="37" spans="1:13" x14ac:dyDescent="0.35">
      <c r="A37" t="s">
        <v>764</v>
      </c>
      <c r="B37" t="s">
        <v>763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765</v>
      </c>
    </row>
    <row r="38" spans="1:13" x14ac:dyDescent="0.35">
      <c r="A38" t="s">
        <v>854</v>
      </c>
      <c r="B38" t="s">
        <v>855</v>
      </c>
      <c r="C38" s="2" t="str">
        <f t="shared" ref="C38" si="15">A38</f>
        <v>USB2514BM2</v>
      </c>
      <c r="D38" t="s">
        <v>937</v>
      </c>
      <c r="E38" s="2" t="s">
        <v>854</v>
      </c>
      <c r="F38" t="str">
        <f>CONCATENATE("Footprints\",G38,".PcbLib")</f>
        <v>Footprints\VFQFN-36.PcbLib</v>
      </c>
      <c r="G38" t="s">
        <v>856</v>
      </c>
    </row>
    <row r="39" spans="1:13" x14ac:dyDescent="0.35">
      <c r="A39" t="s">
        <v>857</v>
      </c>
      <c r="B39" t="s">
        <v>858</v>
      </c>
      <c r="C39" s="2" t="s">
        <v>857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859</v>
      </c>
    </row>
    <row r="40" spans="1:13" x14ac:dyDescent="0.35">
      <c r="A40" t="s">
        <v>860</v>
      </c>
      <c r="B40" t="s">
        <v>1005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861</v>
      </c>
    </row>
    <row r="41" spans="1:13" x14ac:dyDescent="0.35">
      <c r="A41" t="s">
        <v>862</v>
      </c>
      <c r="B41" t="s">
        <v>1004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1002</v>
      </c>
      <c r="L41" t="s">
        <v>1006</v>
      </c>
    </row>
    <row r="42" spans="1:13" x14ac:dyDescent="0.35">
      <c r="A42" t="s">
        <v>863</v>
      </c>
      <c r="B42" t="s">
        <v>864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865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904</v>
      </c>
      <c r="B43" t="s">
        <v>905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938</v>
      </c>
    </row>
    <row r="44" spans="1:13" x14ac:dyDescent="0.35">
      <c r="A44" s="31" t="s">
        <v>939</v>
      </c>
      <c r="B44" s="32" t="s">
        <v>940</v>
      </c>
      <c r="C44" s="26" t="str">
        <f t="shared" ref="C44:C49" si="18">A44</f>
        <v>IXDN602</v>
      </c>
      <c r="D44" s="32" t="str">
        <f>CONCATENATE("Schematic\",A44,".SchLib")</f>
        <v>Schematic\IXDN602.SchLib</v>
      </c>
      <c r="E44" s="32" t="str">
        <f>A44</f>
        <v>IXDN602</v>
      </c>
      <c r="F44" s="32" t="str">
        <f t="shared" si="17"/>
        <v>Footprints\SOIC-8.PcbLib</v>
      </c>
      <c r="G44" s="32" t="s">
        <v>76</v>
      </c>
    </row>
    <row r="45" spans="1:13" x14ac:dyDescent="0.35">
      <c r="A45" t="s">
        <v>941</v>
      </c>
      <c r="B45" t="s">
        <v>942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3" t="s">
        <v>943</v>
      </c>
      <c r="B46" s="34" t="s">
        <v>944</v>
      </c>
      <c r="C46" s="35" t="str">
        <f t="shared" si="18"/>
        <v>MC3306A</v>
      </c>
      <c r="D46" s="34" t="str">
        <f>CONCATENATE("Schematic\",A46,".SchLib")</f>
        <v>Schematic\MC3306A.SchLib</v>
      </c>
      <c r="E46" s="34" t="str">
        <f>A46</f>
        <v>MC3306A</v>
      </c>
      <c r="F46" s="34" t="str">
        <f t="shared" si="17"/>
        <v>Footprints\SOIC-8.PcbLib</v>
      </c>
      <c r="G46" s="34" t="s">
        <v>76</v>
      </c>
    </row>
    <row r="47" spans="1:13" x14ac:dyDescent="0.35">
      <c r="A47" t="s">
        <v>1003</v>
      </c>
      <c r="B47" t="s">
        <v>982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1252</v>
      </c>
      <c r="F47" t="str">
        <f t="shared" si="17"/>
        <v>Footprints\LQFP128_14x14_exposed_pad.PcbLib</v>
      </c>
      <c r="G47" t="s">
        <v>983</v>
      </c>
      <c r="L47" t="s">
        <v>984</v>
      </c>
      <c r="M47" t="s">
        <v>1065</v>
      </c>
    </row>
    <row r="48" spans="1:13" x14ac:dyDescent="0.35">
      <c r="A48" s="33" t="s">
        <v>985</v>
      </c>
      <c r="B48" s="34" t="s">
        <v>986</v>
      </c>
      <c r="C48" s="35" t="str">
        <f t="shared" si="18"/>
        <v>TS951ILT</v>
      </c>
      <c r="D48" s="34" t="str">
        <f t="shared" ref="D48:D53" si="19">CONCATENATE("Schematic\",A48,".SchLib")</f>
        <v>Schematic\TS951ILT.SchLib</v>
      </c>
      <c r="E48" s="34" t="str">
        <f t="shared" ref="E48:E53" si="20">A48</f>
        <v>TS951ILT</v>
      </c>
      <c r="F48" s="34" t="str">
        <f t="shared" si="17"/>
        <v>Footprints\SOT23-5.PcbLib</v>
      </c>
      <c r="G48" s="34" t="s">
        <v>1019</v>
      </c>
      <c r="M48" t="s">
        <v>1088</v>
      </c>
    </row>
    <row r="49" spans="1:13" x14ac:dyDescent="0.35">
      <c r="A49" t="s">
        <v>987</v>
      </c>
      <c r="B49" t="s">
        <v>988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989</v>
      </c>
    </row>
    <row r="50" spans="1:13" x14ac:dyDescent="0.35">
      <c r="A50" t="s">
        <v>1017</v>
      </c>
      <c r="B50" t="s">
        <v>622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1018</v>
      </c>
      <c r="M50" t="s">
        <v>1088</v>
      </c>
    </row>
    <row r="51" spans="1:13" x14ac:dyDescent="0.35">
      <c r="A51" t="s">
        <v>1020</v>
      </c>
      <c r="B51" t="s">
        <v>1021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989</v>
      </c>
    </row>
    <row r="52" spans="1:13" x14ac:dyDescent="0.35">
      <c r="A52" s="33" t="s">
        <v>1142</v>
      </c>
      <c r="B52" s="34" t="s">
        <v>1143</v>
      </c>
      <c r="C52" s="35" t="str">
        <f t="shared" si="21"/>
        <v>IRS21867</v>
      </c>
      <c r="D52" s="34" t="str">
        <f t="shared" si="19"/>
        <v>Schematic\IRS21867.SchLib</v>
      </c>
      <c r="E52" s="34" t="str">
        <f t="shared" si="20"/>
        <v>IRS21867</v>
      </c>
      <c r="F52" s="34" t="str">
        <f t="shared" ref="F52" si="22">CONCATENATE("Footprints\",G52,".PcbLib")</f>
        <v>Footprints\SOIC-8.PcbLib</v>
      </c>
      <c r="G52" s="34" t="s">
        <v>76</v>
      </c>
      <c r="L52" s="48" t="s">
        <v>1144</v>
      </c>
      <c r="M52" t="s">
        <v>1088</v>
      </c>
    </row>
    <row r="53" spans="1:13" x14ac:dyDescent="0.35">
      <c r="A53" t="s">
        <v>1150</v>
      </c>
      <c r="B53" t="s">
        <v>1151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1150</v>
      </c>
      <c r="L53" t="s">
        <v>1152</v>
      </c>
      <c r="M53" t="s">
        <v>1065</v>
      </c>
    </row>
    <row r="54" spans="1:13" x14ac:dyDescent="0.35">
      <c r="A54" t="s">
        <v>1158</v>
      </c>
      <c r="B54" t="s">
        <v>1161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1159</v>
      </c>
      <c r="L54" s="36" t="s">
        <v>1160</v>
      </c>
      <c r="M54" t="s">
        <v>1065</v>
      </c>
    </row>
    <row r="55" spans="1:13" x14ac:dyDescent="0.35">
      <c r="A55" t="s">
        <v>1215</v>
      </c>
      <c r="B55" t="s">
        <v>1216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1019</v>
      </c>
      <c r="L55" t="s">
        <v>1214</v>
      </c>
      <c r="M55" t="s">
        <v>1065</v>
      </c>
    </row>
    <row r="56" spans="1:13" x14ac:dyDescent="0.35">
      <c r="A56" t="s">
        <v>1224</v>
      </c>
      <c r="B56" t="s">
        <v>1221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6" t="s">
        <v>1222</v>
      </c>
      <c r="M56" t="s">
        <v>1223</v>
      </c>
    </row>
    <row r="57" spans="1:13" x14ac:dyDescent="0.35">
      <c r="A57" s="33" t="s">
        <v>1266</v>
      </c>
      <c r="B57" t="s">
        <v>1267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6" t="s">
        <v>1268</v>
      </c>
      <c r="M57" t="s">
        <v>1088</v>
      </c>
    </row>
    <row r="58" spans="1:13" x14ac:dyDescent="0.35">
      <c r="A58" t="s">
        <v>1269</v>
      </c>
      <c r="B58" t="s">
        <v>1270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1271</v>
      </c>
      <c r="L58" s="36" t="s">
        <v>1272</v>
      </c>
      <c r="M58" t="s">
        <v>1088</v>
      </c>
    </row>
    <row r="59" spans="1:13" x14ac:dyDescent="0.35">
      <c r="A59" t="s">
        <v>1273</v>
      </c>
      <c r="B59" s="2" t="s">
        <v>1274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6" t="s">
        <v>1275</v>
      </c>
      <c r="M59" t="s">
        <v>1088</v>
      </c>
    </row>
    <row r="60" spans="1:13" x14ac:dyDescent="0.35">
      <c r="A60" t="s">
        <v>1291</v>
      </c>
      <c r="B60" t="s">
        <v>1292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1019</v>
      </c>
      <c r="L60" s="36" t="s">
        <v>1293</v>
      </c>
      <c r="M60" t="s">
        <v>1088</v>
      </c>
    </row>
    <row r="61" spans="1:13" x14ac:dyDescent="0.35">
      <c r="A61" t="s">
        <v>1304</v>
      </c>
      <c r="B61" t="s">
        <v>1305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1304</v>
      </c>
      <c r="F61" t="str">
        <f>CONCATENATE("Footprints\",G61,".PcbLib")</f>
        <v>Footprints\TSOT26.PcbLib</v>
      </c>
      <c r="G61" t="s">
        <v>989</v>
      </c>
      <c r="L61" s="36" t="s">
        <v>1306</v>
      </c>
      <c r="M61" s="51" t="s">
        <v>1088</v>
      </c>
    </row>
    <row r="62" spans="1:13" x14ac:dyDescent="0.35">
      <c r="A62" t="s">
        <v>1312</v>
      </c>
      <c r="B62" t="s">
        <v>1307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2" t="str">
        <f>A62</f>
        <v>ADP150AUJZ-3.3</v>
      </c>
      <c r="F62" s="52" t="str">
        <f>CONCATENATE("Footprints\",G62,".PcbLib")</f>
        <v>Footprints\SOT23-5.PcbLib</v>
      </c>
      <c r="G62" s="52" t="s">
        <v>1019</v>
      </c>
      <c r="L62" s="48" t="s">
        <v>1308</v>
      </c>
      <c r="M62" s="53" t="s">
        <v>1088</v>
      </c>
    </row>
    <row r="63" spans="1:13" x14ac:dyDescent="0.35">
      <c r="A63" t="s">
        <v>1309</v>
      </c>
      <c r="B63" t="s">
        <v>1310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6" t="s">
        <v>1311</v>
      </c>
      <c r="M63" s="53" t="s">
        <v>1088</v>
      </c>
    </row>
    <row r="64" spans="1:13" x14ac:dyDescent="0.35">
      <c r="A64" t="s">
        <v>1324</v>
      </c>
      <c r="B64" t="s">
        <v>1325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1326</v>
      </c>
      <c r="L64" s="36" t="s">
        <v>1327</v>
      </c>
      <c r="M64" s="53" t="s">
        <v>1088</v>
      </c>
    </row>
    <row r="65" spans="1:13" x14ac:dyDescent="0.35">
      <c r="A65" t="s">
        <v>1340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4" t="s">
        <v>76</v>
      </c>
      <c r="L65" t="s">
        <v>1341</v>
      </c>
      <c r="M65" t="s">
        <v>1342</v>
      </c>
    </row>
    <row r="66" spans="1:13" x14ac:dyDescent="0.35">
      <c r="A66" t="s">
        <v>1343</v>
      </c>
      <c r="B66" t="s">
        <v>1344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518</v>
      </c>
      <c r="L66" s="36" t="s">
        <v>1345</v>
      </c>
      <c r="M66" t="s">
        <v>1342</v>
      </c>
    </row>
    <row r="67" spans="1:13" x14ac:dyDescent="0.35">
      <c r="A67" t="s">
        <v>1346</v>
      </c>
      <c r="B67" t="s">
        <v>1347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1348</v>
      </c>
      <c r="M67" t="s">
        <v>1342</v>
      </c>
    </row>
    <row r="68" spans="1:13" x14ac:dyDescent="0.35">
      <c r="A68" t="s">
        <v>1349</v>
      </c>
      <c r="B68" t="s">
        <v>1350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4" t="s">
        <v>1019</v>
      </c>
      <c r="L68" s="36" t="s">
        <v>1351</v>
      </c>
      <c r="M68" t="s">
        <v>1342</v>
      </c>
    </row>
    <row r="69" spans="1:13" x14ac:dyDescent="0.35">
      <c r="A69" t="s">
        <v>1352</v>
      </c>
      <c r="B69" t="s">
        <v>1353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1354</v>
      </c>
      <c r="L69" t="s">
        <v>1355</v>
      </c>
      <c r="M69" t="s">
        <v>1342</v>
      </c>
    </row>
    <row r="70" spans="1:13" x14ac:dyDescent="0.35">
      <c r="A70" t="s">
        <v>1382</v>
      </c>
      <c r="B70" t="s">
        <v>1383</v>
      </c>
      <c r="C70" s="2" t="str">
        <f>A70</f>
        <v>ICM-42688-P</v>
      </c>
      <c r="D70" t="str">
        <f>CONCATENATE("Schematic\",A70,".SchLib")</f>
        <v>Schematic\ICM-42688-P.SchLib</v>
      </c>
      <c r="E70" t="str">
        <f>A70</f>
        <v>ICM-42688-P</v>
      </c>
      <c r="F70" t="str">
        <f>CONCATENATE("Footprints\",G70,".PcbLib")</f>
        <v>Footprints\ICM-42688-P.PcbLib</v>
      </c>
      <c r="G70" t="s">
        <v>1382</v>
      </c>
    </row>
    <row r="71" spans="1:13" x14ac:dyDescent="0.35">
      <c r="A71" t="s">
        <v>1372</v>
      </c>
      <c r="B71" t="s">
        <v>1373</v>
      </c>
      <c r="C71" s="2" t="str">
        <f>A71</f>
        <v>URB2405YMD-15WR3</v>
      </c>
      <c r="D71" t="str">
        <f>CONCATENATE("Schematic\",A71,".SchLib")</f>
        <v>Schematic\URB2405YMD-15WR3.SchLib</v>
      </c>
      <c r="E71" t="s">
        <v>1372</v>
      </c>
      <c r="F71" t="str">
        <f>CONCATENATE("Footprints\",G71,".PcbLib")</f>
        <v>Footprints\URB2405YMD-15WR3.PcbLib</v>
      </c>
      <c r="G71" t="s">
        <v>1372</v>
      </c>
      <c r="L71" t="s">
        <v>1374</v>
      </c>
      <c r="M71" t="s">
        <v>1323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6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356</v>
      </c>
      <c r="I1" s="16" t="s">
        <v>1096</v>
      </c>
      <c r="J1" t="s">
        <v>782</v>
      </c>
      <c r="K1" t="s">
        <v>1064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3">
        <v>30</v>
      </c>
      <c r="I2" s="16" t="s">
        <v>1098</v>
      </c>
      <c r="K2" t="s">
        <v>1088</v>
      </c>
    </row>
    <row r="3" spans="1:11" x14ac:dyDescent="0.35">
      <c r="A3" s="2" t="s">
        <v>520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4" t="s">
        <v>277</v>
      </c>
      <c r="I3" s="16" t="s">
        <v>1098</v>
      </c>
      <c r="K3" t="s">
        <v>1088</v>
      </c>
    </row>
    <row r="4" spans="1:11" x14ac:dyDescent="0.35">
      <c r="A4" t="s">
        <v>229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3">
        <v>30</v>
      </c>
      <c r="I4" s="16" t="s">
        <v>1103</v>
      </c>
    </row>
    <row r="5" spans="1:11" x14ac:dyDescent="0.35">
      <c r="A5" t="s">
        <v>230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231</v>
      </c>
      <c r="H5" s="13">
        <v>45</v>
      </c>
      <c r="I5" s="16" t="s">
        <v>1102</v>
      </c>
      <c r="K5" t="s">
        <v>1065</v>
      </c>
    </row>
    <row r="6" spans="1:11" x14ac:dyDescent="0.35">
      <c r="A6" t="s">
        <v>535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3">
        <v>100</v>
      </c>
      <c r="I6" s="16" t="s">
        <v>762</v>
      </c>
      <c r="K6" t="s">
        <v>1065</v>
      </c>
    </row>
    <row r="7" spans="1:11" x14ac:dyDescent="0.35">
      <c r="A7" t="s">
        <v>607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3">
        <v>40</v>
      </c>
      <c r="I7" s="16" t="s">
        <v>1101</v>
      </c>
    </row>
    <row r="8" spans="1:11" x14ac:dyDescent="0.35">
      <c r="A8" t="s">
        <v>682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684</v>
      </c>
      <c r="E8" t="s">
        <v>682</v>
      </c>
      <c r="F8" t="str">
        <f>CONCATENATE("Footprints\",G8,".PcbLib")</f>
        <v>Footprints\SOT23.PcbLib</v>
      </c>
      <c r="G8" t="s">
        <v>683</v>
      </c>
      <c r="H8" s="13">
        <v>70</v>
      </c>
      <c r="I8" s="16" t="s">
        <v>1100</v>
      </c>
    </row>
    <row r="9" spans="1:11" x14ac:dyDescent="0.35">
      <c r="A9" t="s">
        <v>693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3">
        <v>60</v>
      </c>
      <c r="I9" s="16" t="s">
        <v>1099</v>
      </c>
      <c r="K9" t="s">
        <v>1088</v>
      </c>
    </row>
    <row r="10" spans="1:11" x14ac:dyDescent="0.35">
      <c r="A10" t="s">
        <v>694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3">
        <v>40</v>
      </c>
      <c r="I10" s="16" t="s">
        <v>1099</v>
      </c>
      <c r="K10" t="s">
        <v>1088</v>
      </c>
    </row>
    <row r="11" spans="1:11" x14ac:dyDescent="0.35">
      <c r="A11" t="s">
        <v>697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3">
        <v>50</v>
      </c>
      <c r="I11" s="16" t="s">
        <v>1099</v>
      </c>
    </row>
    <row r="12" spans="1:11" x14ac:dyDescent="0.35">
      <c r="A12" t="s">
        <v>945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3">
        <v>100</v>
      </c>
      <c r="I12" s="16" t="s">
        <v>1104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356</v>
      </c>
      <c r="I1" t="s">
        <v>1096</v>
      </c>
      <c r="J1" t="s">
        <v>69</v>
      </c>
      <c r="K1" t="s">
        <v>25</v>
      </c>
      <c r="L1" t="s">
        <v>718</v>
      </c>
      <c r="M1" t="s">
        <v>782</v>
      </c>
      <c r="N1" t="s">
        <v>1064</v>
      </c>
    </row>
    <row r="2" spans="1:14" ht="13.25" customHeight="1" x14ac:dyDescent="0.35">
      <c r="A2" s="2" t="s">
        <v>68</v>
      </c>
      <c r="B2" s="2" t="s">
        <v>431</v>
      </c>
      <c r="C2" s="2" t="s">
        <v>68</v>
      </c>
      <c r="D2" s="2" t="s">
        <v>71</v>
      </c>
      <c r="E2" s="2" t="s">
        <v>72</v>
      </c>
      <c r="F2" s="2" t="s">
        <v>432</v>
      </c>
      <c r="G2" s="2" t="s">
        <v>70</v>
      </c>
      <c r="H2" s="2" t="s">
        <v>272</v>
      </c>
      <c r="I2" s="2" t="s">
        <v>1097</v>
      </c>
      <c r="J2" s="2" t="s">
        <v>433</v>
      </c>
      <c r="K2" s="2" t="s">
        <v>434</v>
      </c>
      <c r="L2" s="9">
        <v>0.05</v>
      </c>
    </row>
    <row r="3" spans="1:14" x14ac:dyDescent="0.35">
      <c r="A3" t="s">
        <v>587</v>
      </c>
      <c r="B3" s="2" t="s">
        <v>588</v>
      </c>
      <c r="C3" t="s">
        <v>587</v>
      </c>
      <c r="D3" s="2" t="s">
        <v>71</v>
      </c>
      <c r="E3" s="2" t="s">
        <v>72</v>
      </c>
      <c r="F3" s="2" t="s">
        <v>589</v>
      </c>
      <c r="G3" t="s">
        <v>590</v>
      </c>
      <c r="H3" s="2" t="s">
        <v>591</v>
      </c>
      <c r="I3" s="2" t="s">
        <v>1097</v>
      </c>
      <c r="J3" s="2" t="s">
        <v>715</v>
      </c>
      <c r="K3" s="2" t="s">
        <v>592</v>
      </c>
      <c r="L3" s="9">
        <v>0.02</v>
      </c>
      <c r="N3" t="s">
        <v>1065</v>
      </c>
    </row>
    <row r="4" spans="1:14" x14ac:dyDescent="0.35">
      <c r="A4" t="s">
        <v>711</v>
      </c>
      <c r="B4" s="2" t="s">
        <v>712</v>
      </c>
      <c r="C4" t="s">
        <v>711</v>
      </c>
      <c r="D4" s="2" t="s">
        <v>713</v>
      </c>
      <c r="E4" t="s">
        <v>714</v>
      </c>
      <c r="F4" s="2" t="s">
        <v>719</v>
      </c>
      <c r="G4" t="s">
        <v>18</v>
      </c>
      <c r="H4" s="2" t="s">
        <v>271</v>
      </c>
      <c r="I4" s="2" t="s">
        <v>1097</v>
      </c>
      <c r="J4" s="2" t="s">
        <v>716</v>
      </c>
      <c r="K4" s="2" t="s">
        <v>717</v>
      </c>
      <c r="L4" s="9">
        <v>0.02</v>
      </c>
      <c r="N4" t="s">
        <v>1065</v>
      </c>
    </row>
    <row r="5" spans="1:14" x14ac:dyDescent="0.35">
      <c r="A5" t="s">
        <v>767</v>
      </c>
      <c r="B5" t="s">
        <v>766</v>
      </c>
      <c r="C5" t="s">
        <v>767</v>
      </c>
      <c r="D5" s="2" t="s">
        <v>71</v>
      </c>
      <c r="E5" s="2" t="s">
        <v>72</v>
      </c>
      <c r="F5" s="2" t="s">
        <v>589</v>
      </c>
      <c r="G5" t="s">
        <v>590</v>
      </c>
      <c r="H5" s="2" t="s">
        <v>272</v>
      </c>
      <c r="I5" s="2" t="s">
        <v>1097</v>
      </c>
      <c r="J5" s="2" t="s">
        <v>715</v>
      </c>
      <c r="K5" s="2" t="s">
        <v>434</v>
      </c>
      <c r="L5" s="9">
        <v>0.02</v>
      </c>
      <c r="N5" t="s">
        <v>1065</v>
      </c>
    </row>
    <row r="6" spans="1:14" x14ac:dyDescent="0.35">
      <c r="A6" t="s">
        <v>1061</v>
      </c>
      <c r="B6" t="s">
        <v>1067</v>
      </c>
      <c r="C6" t="s">
        <v>1061</v>
      </c>
      <c r="D6" s="2" t="s">
        <v>71</v>
      </c>
      <c r="E6" s="2" t="s">
        <v>72</v>
      </c>
      <c r="F6" s="2" t="s">
        <v>589</v>
      </c>
      <c r="G6" t="s">
        <v>590</v>
      </c>
      <c r="H6" s="2" t="s">
        <v>270</v>
      </c>
      <c r="I6" s="2" t="s">
        <v>1097</v>
      </c>
      <c r="J6" s="2" t="s">
        <v>715</v>
      </c>
      <c r="K6" s="2" t="s">
        <v>1062</v>
      </c>
      <c r="L6" s="9">
        <v>0.02</v>
      </c>
      <c r="M6" t="s">
        <v>1063</v>
      </c>
      <c r="N6" t="s">
        <v>1065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7"/>
  <sheetViews>
    <sheetView zoomScaleNormal="85" workbookViewId="0">
      <selection activeCell="F21" sqref="F21"/>
    </sheetView>
  </sheetViews>
  <sheetFormatPr defaultRowHeight="14.5" x14ac:dyDescent="0.35"/>
  <cols>
    <col min="1" max="1" width="20.453125" customWidth="1"/>
    <col min="2" max="2" width="65.26953125" customWidth="1"/>
    <col min="3" max="3" width="15.6328125" customWidth="1"/>
    <col min="4" max="4" width="36.1796875" customWidth="1"/>
    <col min="5" max="5" width="24.54296875" customWidth="1"/>
    <col min="6" max="6" width="35.08984375" customWidth="1"/>
    <col min="7" max="7" width="22.816406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356</v>
      </c>
      <c r="I1" t="s">
        <v>69</v>
      </c>
      <c r="J1" t="s">
        <v>25</v>
      </c>
      <c r="K1" t="s">
        <v>80</v>
      </c>
      <c r="L1" t="s">
        <v>782</v>
      </c>
      <c r="M1" t="s">
        <v>1064</v>
      </c>
    </row>
    <row r="2" spans="1:13" x14ac:dyDescent="0.35">
      <c r="A2" t="s">
        <v>73</v>
      </c>
      <c r="B2" t="str">
        <f t="shared" ref="B2:B8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8" si="1">A2</f>
        <v>SMBJ24A</v>
      </c>
      <c r="D2" t="str">
        <f t="shared" ref="D2:D8" si="2">CONCATENATE("Schematic\TVS\",E2,".SchLib")</f>
        <v>Schematic\TVS\TVS_1_1dir.SchLib</v>
      </c>
      <c r="E2" t="s">
        <v>78</v>
      </c>
      <c r="F2" t="str">
        <f t="shared" ref="F2:F8" si="3">CONCATENATE("Footprints\",G2,".PcbLib")</f>
        <v>Footprints\SMB.PcbLib</v>
      </c>
      <c r="G2" t="s">
        <v>228</v>
      </c>
      <c r="H2">
        <v>24</v>
      </c>
      <c r="I2">
        <v>600</v>
      </c>
      <c r="J2" t="str">
        <f t="shared" ref="J2:J6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1377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26 В, рассеиваемая мощность 600 Вт</v>
      </c>
      <c r="C4" t="str">
        <f>A4</f>
        <v>SMBJ26CA</v>
      </c>
      <c r="D4" t="str">
        <f>CONCATENATE("Schematic\TVS\",E4,".SchLib")</f>
        <v>Schematic\TVS\TVS_1_2dir.SchLib</v>
      </c>
      <c r="E4" t="s">
        <v>1010</v>
      </c>
      <c r="F4" t="str">
        <f>CONCATENATE("Footprints\",G4,".PcbLib")</f>
        <v>Footprints\SMBJ26CA.PcbLib</v>
      </c>
      <c r="G4" t="s">
        <v>1377</v>
      </c>
      <c r="H4">
        <v>26</v>
      </c>
      <c r="I4">
        <v>600</v>
      </c>
      <c r="J4" t="str">
        <f xml:space="preserve"> CONCATENATE(H4," В")</f>
        <v>26 В</v>
      </c>
      <c r="M4" t="s">
        <v>1375</v>
      </c>
    </row>
    <row r="5" spans="1:13" x14ac:dyDescent="0.35">
      <c r="A5" t="s">
        <v>127</v>
      </c>
      <c r="B5" t="str">
        <f xml:space="preserve"> IF(K5="RS-485","Защитный диод для линии RS-485",CONCATENATE("Двунаправленный защитный диод на ", H5," В, рассеиваемая мощность ", I5," Вт"))</f>
        <v>Двунаправленный защитный диод на 12 В, рассеиваемая мощность 400 Вт</v>
      </c>
      <c r="C5" t="str">
        <f t="shared" si="1"/>
        <v>SMAJ12CA</v>
      </c>
      <c r="D5" t="str">
        <f t="shared" si="2"/>
        <v>Schematic\TVS\TVS_1_2dir.SchLib</v>
      </c>
      <c r="E5" t="s">
        <v>1010</v>
      </c>
      <c r="F5" t="str">
        <f t="shared" si="3"/>
        <v>Footprints\SMA.PcbLib</v>
      </c>
      <c r="G5" t="s">
        <v>128</v>
      </c>
      <c r="H5">
        <v>12</v>
      </c>
      <c r="I5">
        <v>400</v>
      </c>
      <c r="J5" t="str">
        <f t="shared" si="4"/>
        <v>12 В</v>
      </c>
    </row>
    <row r="6" spans="1:13" x14ac:dyDescent="0.35">
      <c r="A6" t="s">
        <v>220</v>
      </c>
      <c r="B6" t="str">
        <f t="shared" si="0"/>
        <v>Защитный диод на 18 В, рассеиваемая мощность 600 Вт</v>
      </c>
      <c r="C6" t="str">
        <f t="shared" si="1"/>
        <v>SMBJ18A</v>
      </c>
      <c r="D6" t="str">
        <f t="shared" si="2"/>
        <v>Schematic\TVS\TVS_1_1dir.SchLib</v>
      </c>
      <c r="E6" t="s">
        <v>78</v>
      </c>
      <c r="F6" t="str">
        <f t="shared" si="3"/>
        <v>Footprints\SMB.PcbLib</v>
      </c>
      <c r="G6" t="s">
        <v>228</v>
      </c>
      <c r="H6">
        <v>18</v>
      </c>
      <c r="I6">
        <v>600</v>
      </c>
      <c r="J6" t="str">
        <f t="shared" si="4"/>
        <v>18 В</v>
      </c>
    </row>
    <row r="7" spans="1:13" x14ac:dyDescent="0.35">
      <c r="A7" t="s">
        <v>506</v>
      </c>
      <c r="B7" t="str">
        <f t="shared" si="0"/>
        <v>Защитный диод на 5 В, рассеиваемая мощность 330 Вт</v>
      </c>
      <c r="C7" t="str">
        <f t="shared" si="1"/>
        <v>PESD5V0S1UB</v>
      </c>
      <c r="D7" t="str">
        <f t="shared" si="2"/>
        <v>Schematic\TVS\TVS_1_1dir.SchLib</v>
      </c>
      <c r="E7" t="s">
        <v>78</v>
      </c>
      <c r="F7" t="str">
        <f t="shared" si="3"/>
        <v>Footprints\SOD523.PcbLib</v>
      </c>
      <c r="G7" t="s">
        <v>507</v>
      </c>
      <c r="H7">
        <v>5</v>
      </c>
      <c r="I7">
        <v>330</v>
      </c>
      <c r="J7" t="str">
        <f xml:space="preserve"> CONCATENATE(H7," В")</f>
        <v>5 В</v>
      </c>
    </row>
    <row r="8" spans="1:13" x14ac:dyDescent="0.35">
      <c r="A8" t="s">
        <v>569</v>
      </c>
      <c r="B8" t="str">
        <f t="shared" si="0"/>
        <v>Защитный диод на 15 В, рассеиваемая мощность 600 Вт</v>
      </c>
      <c r="C8" t="str">
        <f t="shared" si="1"/>
        <v>SMBJ15A</v>
      </c>
      <c r="D8" t="str">
        <f t="shared" si="2"/>
        <v>Schematic\TVS\TVS_1_1dir.SchLib</v>
      </c>
      <c r="E8" t="s">
        <v>78</v>
      </c>
      <c r="F8" t="str">
        <f t="shared" si="3"/>
        <v>Footprints\SMB.PcbLib</v>
      </c>
      <c r="G8" t="s">
        <v>228</v>
      </c>
      <c r="H8">
        <v>15</v>
      </c>
      <c r="I8">
        <v>600</v>
      </c>
      <c r="J8" t="str">
        <f xml:space="preserve"> CONCATENATE(H8," В")</f>
        <v>15 В</v>
      </c>
    </row>
    <row r="9" spans="1:13" x14ac:dyDescent="0.35">
      <c r="A9" t="s">
        <v>586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13 В, рассеиваемая мощность 600 Вт</v>
      </c>
      <c r="C9" t="str">
        <f>A9</f>
        <v>SMBJ13A-TR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Footprints\SMB.PcbLib</v>
      </c>
      <c r="G9" t="s">
        <v>228</v>
      </c>
      <c r="H9">
        <v>13</v>
      </c>
      <c r="I9">
        <v>600</v>
      </c>
      <c r="J9" t="str">
        <f xml:space="preserve"> CONCATENATE(H9," В")</f>
        <v>13 В</v>
      </c>
    </row>
    <row r="10" spans="1:13" x14ac:dyDescent="0.35">
      <c r="A10" t="s">
        <v>742</v>
      </c>
      <c r="B10" t="str">
        <f xml:space="preserve"> IF(K10="RS-485","Защитный диод для линии RS-485",CONCATENATE("Защитный диод на ", H10," В, рассеиваемая мощность ", I10," Вт"))</f>
        <v>Защитный диод на 30 В, рассеиваемая мощность 1500 Вт</v>
      </c>
      <c r="C10" t="str">
        <f>A10</f>
        <v>SM15T33A</v>
      </c>
      <c r="D10" t="str">
        <f>CONCATENATE("Schematic\TVS\",E10,".SchLib")</f>
        <v>Schematic\TVS\TVS_1_1dir.SchLib</v>
      </c>
      <c r="E10" t="s">
        <v>78</v>
      </c>
      <c r="F10" t="str">
        <f>CONCATENATE("Footprints\",G10,".PcbLib")</f>
        <v>Footprints\SMC.PcbLib</v>
      </c>
      <c r="G10" t="s">
        <v>86</v>
      </c>
      <c r="H10">
        <v>30</v>
      </c>
      <c r="I10">
        <v>1500</v>
      </c>
      <c r="J10" t="str">
        <f xml:space="preserve"> CONCATENATE(H10," В")</f>
        <v>30 В</v>
      </c>
    </row>
    <row r="11" spans="1:13" x14ac:dyDescent="0.35">
      <c r="A11" t="s">
        <v>946</v>
      </c>
      <c r="B11" t="s">
        <v>947</v>
      </c>
      <c r="C11" t="str">
        <f>A11</f>
        <v>SMBJ16CA</v>
      </c>
      <c r="D11" t="str">
        <f>CONCATENATE("Schematic\TVS\",E11,".SchLib")</f>
        <v>Schematic\TVS\TVS_1_2dir.SchLib</v>
      </c>
      <c r="E11" t="s">
        <v>1010</v>
      </c>
      <c r="F11" t="str">
        <f>CONCATENATE("Footprints\",G11,".PcbLib")</f>
        <v>Footprints\SMB.PcbLib</v>
      </c>
      <c r="G11" t="s">
        <v>228</v>
      </c>
      <c r="H11">
        <v>16</v>
      </c>
      <c r="I11">
        <v>600</v>
      </c>
      <c r="J11" t="str">
        <f t="shared" ref="J11" si="5" xml:space="preserve"> CONCATENATE(H11," В")</f>
        <v>16 В</v>
      </c>
    </row>
    <row r="12" spans="1:13" x14ac:dyDescent="0.35">
      <c r="A12" t="s">
        <v>973</v>
      </c>
      <c r="B12" t="str">
        <f xml:space="preserve"> IF(K12="RS-485","Защитный диод для линии RS-485",CONCATENATE("Защитный диод на ", H12," В, рассеиваемая мощность ", I12," Вт"))</f>
        <v>Защитный диод на 3,3 В, рассеиваемая мощность 45 Вт</v>
      </c>
      <c r="C12" t="str">
        <f>A12</f>
        <v>PESD3V3L1UB</v>
      </c>
      <c r="D12" t="str">
        <f>CONCATENATE("Schematic\TVS\",E12,".SchLib")</f>
        <v>Schematic\TVS\TVS_1_1dir.SchLib</v>
      </c>
      <c r="E12" t="s">
        <v>78</v>
      </c>
      <c r="F12" t="str">
        <f>CONCATENATE("Footprints\",G12,".PcbLib")</f>
        <v>Footprints\SOD523.PcbLib</v>
      </c>
      <c r="G12" t="s">
        <v>507</v>
      </c>
      <c r="H12">
        <v>3.3</v>
      </c>
      <c r="I12">
        <v>45</v>
      </c>
      <c r="J12" t="str">
        <f xml:space="preserve"> CONCATENATE(H12," В")</f>
        <v>3,3 В</v>
      </c>
      <c r="M12" t="s">
        <v>1088</v>
      </c>
    </row>
    <row r="13" spans="1:13" x14ac:dyDescent="0.35">
      <c r="A13" t="s">
        <v>1071</v>
      </c>
      <c r="B13" t="str">
        <f t="shared" ref="B13:B14" si="6" xml:space="preserve"> IF(K13="RS-485","Защитный диод для линии RS-485",CONCATENATE("Защитный диод на ", H13," В, рассеиваемая мощность ", I13," Вт"))</f>
        <v>Защитный диод на 16 В, рассеиваемая мощность 600 Вт</v>
      </c>
      <c r="C13" t="str">
        <f t="shared" ref="C13:C14" si="7">A13</f>
        <v>SMBJ16A</v>
      </c>
      <c r="D13" t="str">
        <f t="shared" ref="D13:D14" si="8">CONCATENATE("Schematic\TVS\",E13,".SchLib")</f>
        <v>Schematic\TVS\TVS_1_1dir.SchLib</v>
      </c>
      <c r="E13" t="s">
        <v>78</v>
      </c>
      <c r="F13" t="str">
        <f t="shared" ref="F13:F14" si="9">CONCATENATE("Footprints\",G13,".PcbLib")</f>
        <v>Footprints\SMB.PcbLib</v>
      </c>
      <c r="G13" t="s">
        <v>228</v>
      </c>
      <c r="H13">
        <v>16</v>
      </c>
      <c r="I13">
        <v>600</v>
      </c>
      <c r="J13" t="str">
        <f t="shared" ref="J13:J14" si="10" xml:space="preserve"> CONCATENATE(H13," В")</f>
        <v>16 В</v>
      </c>
      <c r="M13" t="s">
        <v>1088</v>
      </c>
    </row>
    <row r="14" spans="1:13" x14ac:dyDescent="0.35">
      <c r="A14" t="s">
        <v>1149</v>
      </c>
      <c r="B14" t="str">
        <f t="shared" si="6"/>
        <v>Защитный диод на 12 В, рассеиваемая мощность 400 Вт</v>
      </c>
      <c r="C14" t="str">
        <f t="shared" si="7"/>
        <v>SMAJ12A</v>
      </c>
      <c r="D14" t="str">
        <f t="shared" si="8"/>
        <v>Schematic\TVS\TVS_1_1dir.SchLib</v>
      </c>
      <c r="E14" t="s">
        <v>78</v>
      </c>
      <c r="F14" t="str">
        <f t="shared" si="9"/>
        <v>Footprints\SMA.PcbLib</v>
      </c>
      <c r="G14" t="s">
        <v>128</v>
      </c>
      <c r="H14">
        <v>12</v>
      </c>
      <c r="I14">
        <v>400</v>
      </c>
      <c r="J14" t="str">
        <f t="shared" si="10"/>
        <v>12 В</v>
      </c>
      <c r="M14" t="s">
        <v>1065</v>
      </c>
    </row>
    <row r="15" spans="1:13" x14ac:dyDescent="0.35">
      <c r="A15" t="s">
        <v>1328</v>
      </c>
      <c r="B15" t="str">
        <f xml:space="preserve"> IF(NOT(K15=""),CONCATENATE("Защитный диод для линии ",K15),CONCATENATE("Защитный диод на ", H15," В, рассеиваемая мощность ", I15," Вт"))</f>
        <v>Защитный диод для линии CAN</v>
      </c>
      <c r="C15" t="str">
        <f>A15</f>
        <v>PESD1CAN,215</v>
      </c>
      <c r="D15" t="str">
        <f>CONCATENATE("Schematic\TVS\",E15,".SchLib")</f>
        <v>Schematic\TVS\TVS_2_2dir.SchLib</v>
      </c>
      <c r="E15" t="s">
        <v>79</v>
      </c>
      <c r="F15" t="str">
        <f>CONCATENATE("Footprints\",G15,".PcbLib")</f>
        <v>Footprints\SOT23-3.PcbLib</v>
      </c>
      <c r="G15" t="s">
        <v>18</v>
      </c>
      <c r="J15" t="str">
        <f xml:space="preserve"> CONCATENATE(H15," В")</f>
        <v xml:space="preserve"> В</v>
      </c>
      <c r="K15" t="s">
        <v>1329</v>
      </c>
      <c r="L15" s="21" t="s">
        <v>1330</v>
      </c>
      <c r="M15" t="s">
        <v>1088</v>
      </c>
    </row>
    <row r="16" spans="1:13" x14ac:dyDescent="0.35">
      <c r="A16" t="s">
        <v>1370</v>
      </c>
      <c r="B16" t="str">
        <f xml:space="preserve"> IF(K16="RS-485","Защитный диод для линии RS-485",CONCATENATE("Защитный диод на ", H16," В, рассеиваемая мощность ", I16," Вт"))</f>
        <v>Защитный диод на 5 В, рассеиваемая мощность 400 Вт</v>
      </c>
      <c r="C16" t="str">
        <f>A16</f>
        <v>SMAJ5.0A-TR</v>
      </c>
      <c r="D16" t="str">
        <f>CONCATENATE("Schematic\TVS\",E16,".SchLib")</f>
        <v>Schematic\TVS\TVS_1_1dir.SchLib</v>
      </c>
      <c r="E16" t="s">
        <v>78</v>
      </c>
      <c r="F16" t="str">
        <f>CONCATENATE("Footprints\",G16,".PcbLib")</f>
        <v>Footprints\SMA.PcbLib</v>
      </c>
      <c r="G16" t="s">
        <v>128</v>
      </c>
      <c r="H16">
        <v>5</v>
      </c>
      <c r="I16">
        <v>400</v>
      </c>
      <c r="J16" t="str">
        <f xml:space="preserve"> CONCATENATE(H16," В")</f>
        <v>5 В</v>
      </c>
      <c r="L16" t="s">
        <v>1371</v>
      </c>
      <c r="M16" t="s">
        <v>1323</v>
      </c>
    </row>
    <row r="17" spans="1:13" x14ac:dyDescent="0.35">
      <c r="A17" t="s">
        <v>1384</v>
      </c>
      <c r="B17" t="s">
        <v>1385</v>
      </c>
      <c r="C17" t="str">
        <f>A17</f>
        <v>SP721</v>
      </c>
      <c r="D17" t="str">
        <f>CONCATENATE("Schematic\TVS\",E17,".SchLib")</f>
        <v>Schematic\TVS\SP721.SchLib</v>
      </c>
      <c r="E17" t="s">
        <v>1384</v>
      </c>
      <c r="F17" t="str">
        <f>CONCATENATE("Footprints\",G17,".PcbLib")</f>
        <v>Footprints\SP721.PcbLib</v>
      </c>
      <c r="G17" t="s">
        <v>1384</v>
      </c>
      <c r="J17" t="str">
        <f xml:space="preserve"> CONCATENATE(H17," В")</f>
        <v xml:space="preserve"> В</v>
      </c>
      <c r="M17" t="s">
        <v>1375</v>
      </c>
    </row>
  </sheetData>
  <phoneticPr fontId="3" type="noConversion"/>
  <hyperlinks>
    <hyperlink ref="L15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1"/>
  <sheetViews>
    <sheetView tabSelected="1" topLeftCell="B1" zoomScale="119" zoomScaleNormal="70" workbookViewId="0">
      <selection activeCell="G9" sqref="G9"/>
    </sheetView>
  </sheetViews>
  <sheetFormatPr defaultRowHeight="14.5" x14ac:dyDescent="0.35"/>
  <cols>
    <col min="1" max="1" width="14.6328125" customWidth="1"/>
    <col min="2" max="2" width="93.36328125" customWidth="1"/>
    <col min="3" max="3" width="21.36328125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356</v>
      </c>
      <c r="K1" s="1" t="s">
        <v>82</v>
      </c>
      <c r="L1" s="1" t="s">
        <v>782</v>
      </c>
      <c r="M1" s="1" t="s">
        <v>1064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8" si="0">A2</f>
        <v>50N06</v>
      </c>
      <c r="D2" s="3" t="s">
        <v>10</v>
      </c>
      <c r="E2" s="3" t="s">
        <v>11</v>
      </c>
      <c r="F2" s="2" t="str">
        <f t="shared" ref="F2:F9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739</v>
      </c>
      <c r="K2" t="s">
        <v>740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599</v>
      </c>
      <c r="K3" t="s">
        <v>741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3" t="s">
        <v>1376</v>
      </c>
      <c r="B7" s="3" t="s">
        <v>21</v>
      </c>
      <c r="C7" s="2" t="str">
        <f>A7</f>
        <v>UMW AO4485</v>
      </c>
      <c r="D7" s="3" t="s">
        <v>20</v>
      </c>
      <c r="E7" s="3" t="s">
        <v>24</v>
      </c>
      <c r="F7" s="2" t="str">
        <f>CONCATENATE("Footprints\",G7,".PcbLib")</f>
        <v>Footprints\AO4485.PcbLib</v>
      </c>
      <c r="G7" s="3" t="s">
        <v>1398</v>
      </c>
      <c r="H7" s="2"/>
      <c r="I7" s="2"/>
      <c r="M7" t="s">
        <v>1375</v>
      </c>
    </row>
    <row r="8" spans="1:19" ht="15.5" x14ac:dyDescent="0.35">
      <c r="A8" s="1" t="s">
        <v>493</v>
      </c>
      <c r="B8" s="3" t="s">
        <v>21</v>
      </c>
      <c r="C8" s="2" t="str">
        <f t="shared" si="0"/>
        <v>AO4411</v>
      </c>
      <c r="D8" s="3" t="s">
        <v>494</v>
      </c>
      <c r="E8" s="3" t="s">
        <v>495</v>
      </c>
      <c r="F8" t="str">
        <f t="shared" si="1"/>
        <v>Footprints\SOIC-8.PcbLib</v>
      </c>
      <c r="G8" s="1" t="s">
        <v>76</v>
      </c>
      <c r="H8" s="2"/>
      <c r="M8" t="s">
        <v>1088</v>
      </c>
    </row>
    <row r="9" spans="1:19" ht="15.5" x14ac:dyDescent="0.35">
      <c r="A9" s="1" t="s">
        <v>496</v>
      </c>
      <c r="B9" s="1" t="s">
        <v>497</v>
      </c>
      <c r="C9" s="2" t="str">
        <f t="shared" ref="C9:C14" si="2">A9</f>
        <v>AO4812</v>
      </c>
      <c r="D9" s="3" t="s">
        <v>498</v>
      </c>
      <c r="E9" s="1" t="s">
        <v>496</v>
      </c>
      <c r="F9" t="str">
        <f t="shared" si="1"/>
        <v>Footprints\SOP8.PcbLib</v>
      </c>
      <c r="G9" s="1" t="s">
        <v>518</v>
      </c>
      <c r="J9" t="s">
        <v>599</v>
      </c>
      <c r="K9" t="s">
        <v>600</v>
      </c>
      <c r="M9" t="s">
        <v>1065</v>
      </c>
    </row>
    <row r="10" spans="1:19" ht="15.5" x14ac:dyDescent="0.35">
      <c r="A10" s="1" t="s">
        <v>593</v>
      </c>
      <c r="B10" s="1" t="s">
        <v>594</v>
      </c>
      <c r="C10" s="2" t="str">
        <f t="shared" si="2"/>
        <v>bc807</v>
      </c>
      <c r="D10" s="3" t="s">
        <v>596</v>
      </c>
      <c r="E10" s="1" t="s">
        <v>595</v>
      </c>
      <c r="F10" t="str">
        <f>CONCATENATE("Footprints\",G10,".PcbLib")</f>
        <v>Footprints\SOT23-3.PcbLib</v>
      </c>
      <c r="G10" s="3" t="s">
        <v>18</v>
      </c>
      <c r="J10" t="s">
        <v>597</v>
      </c>
      <c r="K10" t="s">
        <v>598</v>
      </c>
      <c r="M10" t="s">
        <v>1065</v>
      </c>
    </row>
    <row r="11" spans="1:19" ht="15.5" x14ac:dyDescent="0.35">
      <c r="A11" s="1" t="s">
        <v>617</v>
      </c>
      <c r="B11" s="1" t="s">
        <v>620</v>
      </c>
      <c r="C11" s="2" t="str">
        <f t="shared" si="2"/>
        <v>AUIRF1405ZSTRL</v>
      </c>
      <c r="D11" s="3" t="s">
        <v>10</v>
      </c>
      <c r="E11" s="3" t="s">
        <v>11</v>
      </c>
      <c r="F11" s="2" t="str">
        <f t="shared" ref="F11" si="3">CONCATENATE("Footprints\",G11,".PcbLib")</f>
        <v>Footprints\D2PAK.PcbLib</v>
      </c>
      <c r="G11" s="3" t="s">
        <v>738</v>
      </c>
      <c r="H11" s="2"/>
      <c r="I11" s="2"/>
      <c r="J11" t="s">
        <v>618</v>
      </c>
      <c r="K11" t="s">
        <v>619</v>
      </c>
      <c r="M11" t="s">
        <v>1065</v>
      </c>
    </row>
    <row r="12" spans="1:19" ht="15.5" x14ac:dyDescent="0.35">
      <c r="A12" s="1" t="s">
        <v>906</v>
      </c>
      <c r="B12" s="1" t="s">
        <v>907</v>
      </c>
      <c r="C12" s="2" t="str">
        <f t="shared" si="2"/>
        <v>SIR426DP-T1-GE3</v>
      </c>
      <c r="D12" s="3" t="s">
        <v>908</v>
      </c>
      <c r="E12" s="1" t="s">
        <v>906</v>
      </c>
      <c r="F12" t="str">
        <f t="shared" ref="F12:F18" si="4">CONCATENATE("Footprints\",G12,".PcbLib")</f>
        <v>Footprints\PowerPAK_SO-8.PcbLib</v>
      </c>
      <c r="G12" s="1" t="s">
        <v>935</v>
      </c>
      <c r="J12" t="s">
        <v>909</v>
      </c>
    </row>
    <row r="13" spans="1:19" ht="15.5" x14ac:dyDescent="0.35">
      <c r="A13" s="30" t="s">
        <v>929</v>
      </c>
      <c r="B13" s="1" t="s">
        <v>930</v>
      </c>
      <c r="C13" s="2" t="str">
        <f t="shared" si="2"/>
        <v>PDTC114ET</v>
      </c>
      <c r="D13" s="3" t="s">
        <v>931</v>
      </c>
      <c r="E13" s="1" t="s">
        <v>929</v>
      </c>
      <c r="F13" t="str">
        <f t="shared" si="4"/>
        <v>Footprints\SOT23-3.PcbLib</v>
      </c>
      <c r="G13" s="3" t="s">
        <v>18</v>
      </c>
      <c r="J13" t="s">
        <v>933</v>
      </c>
      <c r="K13" t="s">
        <v>932</v>
      </c>
    </row>
    <row r="14" spans="1:19" ht="15.5" x14ac:dyDescent="0.35">
      <c r="A14" s="1" t="s">
        <v>948</v>
      </c>
      <c r="B14" s="1" t="s">
        <v>5</v>
      </c>
      <c r="C14" s="2" t="str">
        <f t="shared" si="2"/>
        <v>IRFH7084</v>
      </c>
      <c r="D14" s="1" t="s">
        <v>949</v>
      </c>
      <c r="E14" s="1" t="s">
        <v>950</v>
      </c>
      <c r="F14" t="str">
        <f t="shared" si="4"/>
        <v>Footprints\PQFN_5x6.PcbLib</v>
      </c>
      <c r="G14" s="1" t="s">
        <v>951</v>
      </c>
      <c r="J14" t="s">
        <v>909</v>
      </c>
      <c r="K14" t="s">
        <v>952</v>
      </c>
    </row>
    <row r="15" spans="1:19" ht="15.5" x14ac:dyDescent="0.35">
      <c r="A15" s="1" t="s">
        <v>978</v>
      </c>
      <c r="B15" s="1" t="s">
        <v>980</v>
      </c>
      <c r="C15" s="2" t="str">
        <f t="shared" ref="C15:C20" si="5">A15</f>
        <v>BC857</v>
      </c>
      <c r="D15" s="3" t="s">
        <v>596</v>
      </c>
      <c r="E15" s="1" t="s">
        <v>595</v>
      </c>
      <c r="F15" t="str">
        <f t="shared" si="4"/>
        <v>Footprints\SOT23-3.PcbLib</v>
      </c>
      <c r="G15" s="3" t="s">
        <v>18</v>
      </c>
      <c r="J15" t="s">
        <v>597</v>
      </c>
      <c r="K15" t="s">
        <v>979</v>
      </c>
      <c r="M15" t="s">
        <v>1088</v>
      </c>
    </row>
    <row r="16" spans="1:19" ht="15.5" x14ac:dyDescent="0.35">
      <c r="A16" s="1" t="s">
        <v>981</v>
      </c>
      <c r="B16" s="3" t="s">
        <v>21</v>
      </c>
      <c r="C16" s="2" t="str">
        <f t="shared" si="5"/>
        <v>IPD90P04P405</v>
      </c>
      <c r="D16" s="3" t="s">
        <v>20</v>
      </c>
      <c r="E16" s="3" t="s">
        <v>24</v>
      </c>
      <c r="F16" t="str">
        <f t="shared" si="4"/>
        <v>Footprints\DPAK.PcbLib</v>
      </c>
      <c r="G16" s="3" t="s">
        <v>6</v>
      </c>
      <c r="J16" t="s">
        <v>909</v>
      </c>
      <c r="K16" t="s">
        <v>741</v>
      </c>
      <c r="M16" t="s">
        <v>1088</v>
      </c>
    </row>
    <row r="17" spans="1:13" ht="15.5" x14ac:dyDescent="0.35">
      <c r="A17" s="1" t="s">
        <v>1127</v>
      </c>
      <c r="B17" s="1" t="s">
        <v>1128</v>
      </c>
      <c r="C17" s="2" t="str">
        <f t="shared" si="5"/>
        <v>BC857BS</v>
      </c>
      <c r="D17" s="3" t="s">
        <v>1129</v>
      </c>
      <c r="E17" s="1" t="s">
        <v>1130</v>
      </c>
      <c r="F17" t="str">
        <f t="shared" si="4"/>
        <v>Footprints\SOT-363.PcbLib</v>
      </c>
      <c r="G17" s="1" t="s">
        <v>1131</v>
      </c>
      <c r="H17" t="str">
        <f>CONCATENATE("Footprints\",I17,".PcbLib")</f>
        <v>Footprints\SOT-363_35um.PcbLib</v>
      </c>
      <c r="I17" t="s">
        <v>1135</v>
      </c>
      <c r="J17" t="s">
        <v>597</v>
      </c>
      <c r="K17" t="s">
        <v>979</v>
      </c>
      <c r="M17" t="s">
        <v>1088</v>
      </c>
    </row>
    <row r="18" spans="1:13" ht="15.5" x14ac:dyDescent="0.35">
      <c r="A18" s="1" t="s">
        <v>1132</v>
      </c>
      <c r="B18" s="3" t="s">
        <v>1133</v>
      </c>
      <c r="C18" s="2" t="str">
        <f t="shared" si="5"/>
        <v>IRF9310TR</v>
      </c>
      <c r="D18" s="3" t="s">
        <v>494</v>
      </c>
      <c r="E18" s="3" t="s">
        <v>495</v>
      </c>
      <c r="F18" t="str">
        <f t="shared" si="4"/>
        <v>Footprints\SOIC-8.PcbLib</v>
      </c>
      <c r="G18" s="1" t="s">
        <v>76</v>
      </c>
      <c r="J18" t="s">
        <v>599</v>
      </c>
      <c r="K18" t="s">
        <v>1134</v>
      </c>
      <c r="M18" t="s">
        <v>1088</v>
      </c>
    </row>
    <row r="19" spans="1:13" ht="15.5" x14ac:dyDescent="0.35">
      <c r="A19" s="1" t="s">
        <v>1145</v>
      </c>
      <c r="B19" s="1" t="s">
        <v>1148</v>
      </c>
      <c r="C19" s="2" t="str">
        <f t="shared" si="5"/>
        <v>IRFH3702</v>
      </c>
      <c r="D19" s="1" t="s">
        <v>949</v>
      </c>
      <c r="E19" s="1" t="s">
        <v>950</v>
      </c>
      <c r="F19" t="str">
        <f>CONCATENATE("Footprints\",G19,".PcbLib")</f>
        <v>Footprints\PQFN_3x3.PcbLib</v>
      </c>
      <c r="G19" s="1" t="s">
        <v>1146</v>
      </c>
      <c r="J19" t="s">
        <v>599</v>
      </c>
      <c r="K19" t="s">
        <v>1147</v>
      </c>
      <c r="M19" t="s">
        <v>1088</v>
      </c>
    </row>
    <row r="20" spans="1:13" ht="15.5" x14ac:dyDescent="0.35">
      <c r="A20" s="1" t="s">
        <v>1257</v>
      </c>
      <c r="B20" s="1" t="s">
        <v>1258</v>
      </c>
      <c r="C20" s="2" t="str">
        <f t="shared" si="5"/>
        <v>NVMFS5C673NL</v>
      </c>
      <c r="D20" s="1" t="s">
        <v>1259</v>
      </c>
      <c r="E20" s="1" t="s">
        <v>1260</v>
      </c>
      <c r="F20" t="str">
        <f>CONCATENATE("Footprints\",G20,".PcbLib")</f>
        <v>Footprints\DFN5_5x6.PcbLib</v>
      </c>
      <c r="G20" s="1" t="s">
        <v>1261</v>
      </c>
      <c r="J20" t="s">
        <v>739</v>
      </c>
      <c r="K20" t="s">
        <v>740</v>
      </c>
      <c r="L20" s="36" t="s">
        <v>1262</v>
      </c>
      <c r="M20" t="s">
        <v>1088</v>
      </c>
    </row>
    <row r="21" spans="1:13" ht="15.5" x14ac:dyDescent="0.35">
      <c r="A21" s="1" t="s">
        <v>1263</v>
      </c>
      <c r="B21" s="1" t="s">
        <v>1258</v>
      </c>
      <c r="C21" s="2" t="str">
        <f>A21</f>
        <v>CSD18534Q5A</v>
      </c>
      <c r="D21" s="1" t="s">
        <v>1259</v>
      </c>
      <c r="E21" s="1" t="s">
        <v>1260</v>
      </c>
      <c r="F21" t="str">
        <f>CONCATENATE("Footprints\",G21,".PcbLib")</f>
        <v>Footprints\SON-8_5x6.PcbLib</v>
      </c>
      <c r="G21" s="1" t="s">
        <v>1264</v>
      </c>
      <c r="J21" t="s">
        <v>739</v>
      </c>
      <c r="K21" t="s">
        <v>740</v>
      </c>
      <c r="L21" s="36" t="s">
        <v>1265</v>
      </c>
      <c r="M21" t="s">
        <v>1088</v>
      </c>
    </row>
  </sheetData>
  <phoneticPr fontId="8" type="noConversion"/>
  <hyperlinks>
    <hyperlink ref="L20" r:id="rId1" xr:uid="{06894A4B-B858-4909-8118-D37CC7CD03DF}"/>
    <hyperlink ref="L21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402"/>
  <sheetViews>
    <sheetView topLeftCell="B1" zoomScale="70" zoomScaleNormal="70" workbookViewId="0">
      <selection activeCell="A402" sqref="A402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12" customWidth="1"/>
    <col min="7" max="7" width="12.36328125" bestFit="1" customWidth="1"/>
    <col min="8" max="8" width="34.90625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4" width="18.36328125" customWidth="1"/>
    <col min="15" max="15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210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34</v>
      </c>
      <c r="M1" s="1" t="s">
        <v>36</v>
      </c>
      <c r="N1" s="28" t="s">
        <v>782</v>
      </c>
      <c r="O1" s="1" t="s">
        <v>1064</v>
      </c>
    </row>
    <row r="2" spans="1:15" ht="15.5" x14ac:dyDescent="0.35">
      <c r="A2" s="1" t="str">
        <f>_xlfn.LET(
    _xlpm.raw, SUBSTITUTE(F2,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LEFT(I2, 4) &amp; "FR-07" &amp; _xlpm.yCode &amp; "L"
)</f>
        <v>RC0603FR-071RL</v>
      </c>
      <c r="B2" s="1" t="str">
        <f>"Резистор номиналом " &amp; F2 &amp; " Ом " &amp; G2 &amp; " " &amp; LEFT(I2, 4)</f>
        <v>Резистор номиналом 1,0 Ом 1% 0603</v>
      </c>
      <c r="C2" s="3" t="s">
        <v>26</v>
      </c>
      <c r="D2" s="3" t="s">
        <v>29</v>
      </c>
      <c r="E2" s="3" t="s">
        <v>26</v>
      </c>
      <c r="F2" s="60" t="s">
        <v>131</v>
      </c>
      <c r="G2" s="54" t="s">
        <v>132</v>
      </c>
      <c r="H2" s="3" t="s">
        <v>133</v>
      </c>
      <c r="I2" s="3" t="s">
        <v>32</v>
      </c>
      <c r="J2" s="3"/>
      <c r="K2" s="1"/>
      <c r="L2" s="1"/>
      <c r="M2" s="1"/>
      <c r="N2" s="22"/>
      <c r="O2" s="1"/>
    </row>
    <row r="3" spans="1:15" ht="15.5" x14ac:dyDescent="0.35">
      <c r="A3" s="1" t="str">
        <f t="shared" ref="A3:A66" si="0">_xlfn.LET(
    _xlpm.raw, SUBSTITUTE(F3,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LEFT(I3, 4) &amp; "FR-07" &amp; _xlpm.yCode &amp; "L"
)</f>
        <v>RC0603FR-071R1L</v>
      </c>
      <c r="B3" s="1" t="str">
        <f t="shared" ref="B3:B66" si="1">"Резистор номиналом " &amp; F3 &amp; " Ом " &amp; G3 &amp; " " &amp; LEFT(I3, 4)</f>
        <v>Резистор номиналом 1,1 Ом 1% 0603</v>
      </c>
      <c r="C3" s="3" t="s">
        <v>26</v>
      </c>
      <c r="D3" s="3" t="s">
        <v>29</v>
      </c>
      <c r="E3" s="3" t="s">
        <v>26</v>
      </c>
      <c r="F3" s="60" t="s">
        <v>134</v>
      </c>
      <c r="G3" s="54" t="s">
        <v>132</v>
      </c>
      <c r="H3" s="3" t="s">
        <v>133</v>
      </c>
      <c r="I3" s="3" t="s">
        <v>32</v>
      </c>
      <c r="J3" s="1"/>
      <c r="K3" s="1"/>
      <c r="L3" s="1"/>
      <c r="M3" s="1"/>
      <c r="N3" s="23"/>
      <c r="O3" s="1"/>
    </row>
    <row r="4" spans="1:15" ht="15.5" x14ac:dyDescent="0.35">
      <c r="A4" s="1" t="str">
        <f t="shared" si="0"/>
        <v>RC0603FR-071R2L</v>
      </c>
      <c r="B4" s="1" t="str">
        <f t="shared" si="1"/>
        <v>Резистор номиналом 1,2 Ом 1% 0603</v>
      </c>
      <c r="C4" s="3" t="s">
        <v>26</v>
      </c>
      <c r="D4" s="3" t="s">
        <v>29</v>
      </c>
      <c r="E4" s="3" t="s">
        <v>26</v>
      </c>
      <c r="F4" s="60" t="s">
        <v>135</v>
      </c>
      <c r="G4" s="54" t="s">
        <v>132</v>
      </c>
      <c r="H4" s="3" t="s">
        <v>133</v>
      </c>
      <c r="I4" s="3" t="s">
        <v>32</v>
      </c>
      <c r="J4" s="1"/>
      <c r="K4" s="1"/>
      <c r="L4" s="1"/>
      <c r="M4" s="1"/>
      <c r="N4" s="22"/>
      <c r="O4" s="1"/>
    </row>
    <row r="5" spans="1:15" ht="15.5" x14ac:dyDescent="0.35">
      <c r="A5" s="1" t="str">
        <f t="shared" si="0"/>
        <v>RC0603FR-071R3L</v>
      </c>
      <c r="B5" s="1" t="str">
        <f t="shared" si="1"/>
        <v>Резистор номиналом 1,3 Ом 1% 0603</v>
      </c>
      <c r="C5" s="3" t="s">
        <v>26</v>
      </c>
      <c r="D5" s="3" t="s">
        <v>29</v>
      </c>
      <c r="E5" s="3" t="s">
        <v>26</v>
      </c>
      <c r="F5" s="60" t="s">
        <v>136</v>
      </c>
      <c r="G5" s="54" t="s">
        <v>132</v>
      </c>
      <c r="H5" s="3" t="s">
        <v>133</v>
      </c>
      <c r="I5" s="3" t="s">
        <v>32</v>
      </c>
      <c r="J5" s="1"/>
      <c r="K5" s="1"/>
      <c r="L5" s="1"/>
      <c r="M5" s="1"/>
      <c r="N5" s="23"/>
      <c r="O5" s="1"/>
    </row>
    <row r="6" spans="1:15" ht="15.5" x14ac:dyDescent="0.35">
      <c r="A6" s="1" t="str">
        <f t="shared" si="0"/>
        <v>RC0603FR-071R5L</v>
      </c>
      <c r="B6" s="1" t="str">
        <f t="shared" si="1"/>
        <v>Резистор номиналом 1,5 Ом 1% 0603</v>
      </c>
      <c r="C6" s="3" t="s">
        <v>26</v>
      </c>
      <c r="D6" s="3" t="s">
        <v>29</v>
      </c>
      <c r="E6" s="3" t="s">
        <v>26</v>
      </c>
      <c r="F6" s="60" t="s">
        <v>137</v>
      </c>
      <c r="G6" s="54" t="s">
        <v>132</v>
      </c>
      <c r="H6" s="3" t="s">
        <v>133</v>
      </c>
      <c r="I6" s="3" t="s">
        <v>32</v>
      </c>
      <c r="J6" s="1"/>
      <c r="K6" s="1"/>
      <c r="L6" s="1"/>
      <c r="M6" s="1"/>
      <c r="N6" s="22"/>
      <c r="O6" s="1"/>
    </row>
    <row r="7" spans="1:15" ht="15.5" x14ac:dyDescent="0.35">
      <c r="A7" s="1" t="str">
        <f t="shared" si="0"/>
        <v>RC0603FR-071R6L</v>
      </c>
      <c r="B7" s="1" t="str">
        <f t="shared" si="1"/>
        <v>Резистор номиналом 1,6 Ом 1% 0603</v>
      </c>
      <c r="C7" s="3" t="s">
        <v>26</v>
      </c>
      <c r="D7" s="3" t="s">
        <v>29</v>
      </c>
      <c r="E7" s="3" t="s">
        <v>26</v>
      </c>
      <c r="F7" s="60" t="s">
        <v>138</v>
      </c>
      <c r="G7" s="54" t="s">
        <v>132</v>
      </c>
      <c r="H7" s="3" t="s">
        <v>133</v>
      </c>
      <c r="I7" s="3" t="s">
        <v>32</v>
      </c>
      <c r="J7" s="1"/>
      <c r="K7" s="1"/>
      <c r="L7" s="1"/>
      <c r="M7" s="1"/>
      <c r="N7" s="23"/>
      <c r="O7" s="1"/>
    </row>
    <row r="8" spans="1:15" ht="15.5" x14ac:dyDescent="0.35">
      <c r="A8" s="1" t="str">
        <f t="shared" si="0"/>
        <v>RC0603FR-071R8L</v>
      </c>
      <c r="B8" s="1" t="str">
        <f t="shared" si="1"/>
        <v>Резистор номиналом 1,8 Ом 1% 0603</v>
      </c>
      <c r="C8" s="3" t="s">
        <v>26</v>
      </c>
      <c r="D8" s="3" t="s">
        <v>29</v>
      </c>
      <c r="E8" s="3" t="s">
        <v>26</v>
      </c>
      <c r="F8" s="60" t="s">
        <v>139</v>
      </c>
      <c r="G8" s="54" t="s">
        <v>132</v>
      </c>
      <c r="H8" s="3" t="s">
        <v>133</v>
      </c>
      <c r="I8" s="3" t="s">
        <v>32</v>
      </c>
      <c r="J8" s="1"/>
      <c r="K8" s="1"/>
      <c r="L8" s="1"/>
      <c r="M8" s="1"/>
      <c r="N8" s="22"/>
      <c r="O8" s="1"/>
    </row>
    <row r="9" spans="1:15" ht="15.5" x14ac:dyDescent="0.35">
      <c r="A9" s="1" t="str">
        <f t="shared" si="0"/>
        <v>RC0603FR-072RL</v>
      </c>
      <c r="B9" s="1" t="str">
        <f t="shared" si="1"/>
        <v>Резистор номиналом 2,0 Ом 1% 0603</v>
      </c>
      <c r="C9" s="3" t="s">
        <v>26</v>
      </c>
      <c r="D9" s="3" t="s">
        <v>29</v>
      </c>
      <c r="E9" s="3" t="s">
        <v>26</v>
      </c>
      <c r="F9" s="60" t="s">
        <v>140</v>
      </c>
      <c r="G9" s="54" t="s">
        <v>132</v>
      </c>
      <c r="H9" s="3" t="s">
        <v>133</v>
      </c>
      <c r="I9" s="3" t="s">
        <v>32</v>
      </c>
      <c r="J9" s="1"/>
      <c r="K9" s="1"/>
      <c r="L9" s="1"/>
      <c r="M9" s="1"/>
      <c r="N9" s="23"/>
      <c r="O9" s="1"/>
    </row>
    <row r="10" spans="1:15" ht="15.5" x14ac:dyDescent="0.35">
      <c r="A10" s="1" t="str">
        <f t="shared" si="0"/>
        <v>RC0603FR-072R2L</v>
      </c>
      <c r="B10" s="1" t="str">
        <f t="shared" si="1"/>
        <v>Резистор номиналом 2,2 Ом 1% 0603</v>
      </c>
      <c r="C10" s="3" t="s">
        <v>26</v>
      </c>
      <c r="D10" s="3" t="s">
        <v>29</v>
      </c>
      <c r="E10" s="3" t="s">
        <v>26</v>
      </c>
      <c r="F10" s="60" t="s">
        <v>141</v>
      </c>
      <c r="G10" s="54" t="s">
        <v>132</v>
      </c>
      <c r="H10" s="3" t="s">
        <v>133</v>
      </c>
      <c r="I10" s="3" t="s">
        <v>32</v>
      </c>
      <c r="J10" s="1"/>
      <c r="K10" s="1"/>
      <c r="L10" s="1"/>
      <c r="M10" s="1"/>
      <c r="N10" s="22"/>
      <c r="O10" s="1"/>
    </row>
    <row r="11" spans="1:15" ht="15.5" x14ac:dyDescent="0.35">
      <c r="A11" s="1" t="str">
        <f t="shared" si="0"/>
        <v>RC0603FR-072R4L</v>
      </c>
      <c r="B11" s="1" t="str">
        <f t="shared" si="1"/>
        <v>Резистор номиналом 2,4 Ом 1% 0603</v>
      </c>
      <c r="C11" s="3" t="s">
        <v>26</v>
      </c>
      <c r="D11" s="3" t="s">
        <v>29</v>
      </c>
      <c r="E11" s="3" t="s">
        <v>26</v>
      </c>
      <c r="F11" s="60" t="s">
        <v>142</v>
      </c>
      <c r="G11" s="54" t="s">
        <v>132</v>
      </c>
      <c r="H11" s="3" t="s">
        <v>133</v>
      </c>
      <c r="I11" s="3" t="s">
        <v>32</v>
      </c>
      <c r="J11" s="1"/>
      <c r="K11" s="1"/>
      <c r="L11" s="1"/>
      <c r="M11" s="1"/>
      <c r="N11" s="23"/>
      <c r="O11" s="1"/>
    </row>
    <row r="12" spans="1:15" ht="15.5" x14ac:dyDescent="0.35">
      <c r="A12" s="1" t="str">
        <f t="shared" si="0"/>
        <v>RC0603FR-072R7L</v>
      </c>
      <c r="B12" s="1" t="str">
        <f t="shared" si="1"/>
        <v>Резистор номиналом 2,7 Ом 1% 0603</v>
      </c>
      <c r="C12" s="3" t="s">
        <v>26</v>
      </c>
      <c r="D12" s="3" t="s">
        <v>29</v>
      </c>
      <c r="E12" s="3" t="s">
        <v>26</v>
      </c>
      <c r="F12" s="60" t="s">
        <v>263</v>
      </c>
      <c r="G12" s="54" t="s">
        <v>132</v>
      </c>
      <c r="H12" s="3" t="s">
        <v>133</v>
      </c>
      <c r="I12" s="3" t="s">
        <v>32</v>
      </c>
      <c r="J12" s="1"/>
      <c r="K12" s="1"/>
      <c r="L12" s="1"/>
      <c r="M12" s="1"/>
      <c r="N12" s="22"/>
      <c r="O12" s="1"/>
    </row>
    <row r="13" spans="1:15" ht="15.5" x14ac:dyDescent="0.35">
      <c r="A13" s="1" t="str">
        <f t="shared" si="0"/>
        <v>RC0603FR-073RL</v>
      </c>
      <c r="B13" s="1" t="str">
        <f t="shared" si="1"/>
        <v>Резистор номиналом 3,0 Ом 1% 0603</v>
      </c>
      <c r="C13" s="3" t="s">
        <v>26</v>
      </c>
      <c r="D13" s="3" t="s">
        <v>29</v>
      </c>
      <c r="E13" s="3" t="s">
        <v>26</v>
      </c>
      <c r="F13" s="60" t="s">
        <v>264</v>
      </c>
      <c r="G13" s="54" t="s">
        <v>132</v>
      </c>
      <c r="H13" s="3" t="s">
        <v>133</v>
      </c>
      <c r="I13" s="3" t="s">
        <v>32</v>
      </c>
      <c r="J13" s="1"/>
      <c r="K13" s="1"/>
      <c r="L13" s="1"/>
      <c r="M13" s="1"/>
      <c r="N13" s="23"/>
      <c r="O13" s="1"/>
    </row>
    <row r="14" spans="1:15" ht="15.5" x14ac:dyDescent="0.35">
      <c r="A14" s="1" t="str">
        <f t="shared" si="0"/>
        <v>RC0603FR-073R3L</v>
      </c>
      <c r="B14" s="1" t="str">
        <f t="shared" si="1"/>
        <v>Резистор номиналом 3,3 Ом 1% 0603</v>
      </c>
      <c r="C14" s="3" t="s">
        <v>26</v>
      </c>
      <c r="D14" s="3" t="s">
        <v>29</v>
      </c>
      <c r="E14" s="3" t="s">
        <v>26</v>
      </c>
      <c r="F14" s="60" t="s">
        <v>265</v>
      </c>
      <c r="G14" s="54" t="s">
        <v>132</v>
      </c>
      <c r="H14" s="3" t="s">
        <v>133</v>
      </c>
      <c r="I14" s="3" t="s">
        <v>32</v>
      </c>
      <c r="J14" s="1"/>
      <c r="K14" s="1"/>
      <c r="L14" s="1"/>
      <c r="M14" s="1"/>
      <c r="N14" s="22"/>
      <c r="O14" s="1"/>
    </row>
    <row r="15" spans="1:15" ht="15.5" x14ac:dyDescent="0.35">
      <c r="A15" s="1" t="str">
        <f t="shared" si="0"/>
        <v>RC0603FR-073R6L</v>
      </c>
      <c r="B15" s="1" t="str">
        <f t="shared" si="1"/>
        <v>Резистор номиналом 3,6 Ом 1% 0603</v>
      </c>
      <c r="C15" s="3" t="s">
        <v>26</v>
      </c>
      <c r="D15" s="3" t="s">
        <v>29</v>
      </c>
      <c r="E15" s="3" t="s">
        <v>26</v>
      </c>
      <c r="F15" s="60" t="s">
        <v>266</v>
      </c>
      <c r="G15" s="54" t="s">
        <v>132</v>
      </c>
      <c r="H15" s="3" t="s">
        <v>133</v>
      </c>
      <c r="I15" s="3" t="s">
        <v>32</v>
      </c>
      <c r="J15" s="1"/>
      <c r="K15" s="1"/>
      <c r="L15" s="1"/>
      <c r="M15" s="1"/>
      <c r="N15" s="23"/>
      <c r="O15" s="1"/>
    </row>
    <row r="16" spans="1:15" ht="15.5" x14ac:dyDescent="0.35">
      <c r="A16" s="1" t="str">
        <f t="shared" si="0"/>
        <v>RC0603FR-073R9L</v>
      </c>
      <c r="B16" s="1" t="str">
        <f t="shared" si="1"/>
        <v>Резистор номиналом 3,9 Ом 1% 0603</v>
      </c>
      <c r="C16" s="3" t="s">
        <v>26</v>
      </c>
      <c r="D16" s="3" t="s">
        <v>29</v>
      </c>
      <c r="E16" s="3" t="s">
        <v>26</v>
      </c>
      <c r="F16" s="60" t="s">
        <v>267</v>
      </c>
      <c r="G16" s="54" t="s">
        <v>132</v>
      </c>
      <c r="H16" s="3" t="s">
        <v>133</v>
      </c>
      <c r="I16" s="3" t="s">
        <v>32</v>
      </c>
      <c r="J16" s="1"/>
      <c r="K16" s="1"/>
      <c r="L16" s="1"/>
      <c r="M16" s="1"/>
      <c r="N16" s="22"/>
      <c r="O16" s="1"/>
    </row>
    <row r="17" spans="1:15" ht="15.5" x14ac:dyDescent="0.35">
      <c r="A17" s="1" t="str">
        <f t="shared" si="0"/>
        <v>RC0603FR-074R3L</v>
      </c>
      <c r="B17" s="1" t="str">
        <f t="shared" si="1"/>
        <v>Резистор номиналом 4,3 Ом 1% 0603</v>
      </c>
      <c r="C17" s="3" t="s">
        <v>26</v>
      </c>
      <c r="D17" s="3" t="s">
        <v>29</v>
      </c>
      <c r="E17" s="3" t="s">
        <v>26</v>
      </c>
      <c r="F17" s="60" t="s">
        <v>268</v>
      </c>
      <c r="G17" s="54" t="s">
        <v>132</v>
      </c>
      <c r="H17" s="3" t="s">
        <v>133</v>
      </c>
      <c r="I17" s="3" t="s">
        <v>32</v>
      </c>
      <c r="J17" s="1"/>
      <c r="K17" s="1"/>
      <c r="L17" s="1"/>
      <c r="M17" s="1"/>
      <c r="N17" s="23"/>
      <c r="O17" s="1"/>
    </row>
    <row r="18" spans="1:15" ht="15.5" x14ac:dyDescent="0.35">
      <c r="A18" s="1" t="str">
        <f t="shared" si="0"/>
        <v>RC0603FR-074R7L</v>
      </c>
      <c r="B18" s="1" t="str">
        <f t="shared" si="1"/>
        <v>Резистор номиналом 4,7 Ом 1% 0603</v>
      </c>
      <c r="C18" s="3" t="s">
        <v>26</v>
      </c>
      <c r="D18" s="3" t="s">
        <v>29</v>
      </c>
      <c r="E18" s="3" t="s">
        <v>26</v>
      </c>
      <c r="F18" s="60" t="s">
        <v>269</v>
      </c>
      <c r="G18" s="54" t="s">
        <v>132</v>
      </c>
      <c r="H18" s="3" t="s">
        <v>133</v>
      </c>
      <c r="I18" s="3" t="s">
        <v>32</v>
      </c>
      <c r="J18" s="1"/>
      <c r="K18" s="1"/>
      <c r="L18" s="1"/>
      <c r="M18" s="1"/>
      <c r="N18" s="22"/>
      <c r="O18" s="1"/>
    </row>
    <row r="19" spans="1:15" ht="15.5" x14ac:dyDescent="0.35">
      <c r="A19" s="1" t="str">
        <f t="shared" si="0"/>
        <v>RC0603FR-075R1L</v>
      </c>
      <c r="B19" s="1" t="str">
        <f t="shared" si="1"/>
        <v>Резистор номиналом 5,1 Ом 1% 0603</v>
      </c>
      <c r="C19" s="3" t="s">
        <v>26</v>
      </c>
      <c r="D19" s="3" t="s">
        <v>29</v>
      </c>
      <c r="E19" s="3" t="s">
        <v>26</v>
      </c>
      <c r="F19" s="60" t="s">
        <v>143</v>
      </c>
      <c r="G19" s="54" t="s">
        <v>132</v>
      </c>
      <c r="H19" s="3" t="s">
        <v>133</v>
      </c>
      <c r="I19" s="3" t="s">
        <v>32</v>
      </c>
      <c r="J19" s="1"/>
      <c r="K19" s="1"/>
      <c r="L19" s="1"/>
      <c r="M19" s="1"/>
      <c r="N19" s="23"/>
      <c r="O19" s="1"/>
    </row>
    <row r="20" spans="1:15" ht="15.5" x14ac:dyDescent="0.35">
      <c r="A20" s="1" t="str">
        <f t="shared" si="0"/>
        <v>RC0603FR-075R6L</v>
      </c>
      <c r="B20" s="1" t="str">
        <f t="shared" si="1"/>
        <v>Резистор номиналом 5,6 Ом 1% 0603</v>
      </c>
      <c r="C20" s="3" t="s">
        <v>26</v>
      </c>
      <c r="D20" s="3" t="s">
        <v>29</v>
      </c>
      <c r="E20" s="3" t="s">
        <v>26</v>
      </c>
      <c r="F20" s="60" t="s">
        <v>144</v>
      </c>
      <c r="G20" s="54" t="s">
        <v>132</v>
      </c>
      <c r="H20" s="3" t="s">
        <v>133</v>
      </c>
      <c r="I20" s="3" t="s">
        <v>32</v>
      </c>
      <c r="J20" s="1"/>
      <c r="K20" s="1"/>
      <c r="L20" s="1"/>
      <c r="M20" s="1"/>
      <c r="N20" s="22"/>
      <c r="O20" s="1"/>
    </row>
    <row r="21" spans="1:15" ht="15.5" x14ac:dyDescent="0.35">
      <c r="A21" s="1" t="str">
        <f t="shared" si="0"/>
        <v>RC0603FR-076R2L</v>
      </c>
      <c r="B21" s="1" t="str">
        <f t="shared" si="1"/>
        <v>Резистор номиналом 6,2 Ом 1% 0603</v>
      </c>
      <c r="C21" s="3" t="s">
        <v>26</v>
      </c>
      <c r="D21" s="3" t="s">
        <v>29</v>
      </c>
      <c r="E21" s="3" t="s">
        <v>26</v>
      </c>
      <c r="F21" s="60" t="s">
        <v>145</v>
      </c>
      <c r="G21" s="54" t="s">
        <v>132</v>
      </c>
      <c r="H21" s="3" t="s">
        <v>133</v>
      </c>
      <c r="I21" s="3" t="s">
        <v>32</v>
      </c>
      <c r="J21" s="1"/>
      <c r="K21" s="1"/>
      <c r="L21" s="1"/>
      <c r="M21" s="1"/>
      <c r="N21" s="23"/>
      <c r="O21" s="1"/>
    </row>
    <row r="22" spans="1:15" ht="15.5" x14ac:dyDescent="0.35">
      <c r="A22" s="1" t="str">
        <f t="shared" si="0"/>
        <v>RC0603FR-076R8L</v>
      </c>
      <c r="B22" s="1" t="str">
        <f t="shared" si="1"/>
        <v>Резистор номиналом 6,8 Ом 1% 0603</v>
      </c>
      <c r="C22" s="3" t="s">
        <v>26</v>
      </c>
      <c r="D22" s="3" t="s">
        <v>29</v>
      </c>
      <c r="E22" s="3" t="s">
        <v>26</v>
      </c>
      <c r="F22" s="60" t="s">
        <v>146</v>
      </c>
      <c r="G22" s="54" t="s">
        <v>132</v>
      </c>
      <c r="H22" s="3" t="s">
        <v>133</v>
      </c>
      <c r="I22" s="3" t="s">
        <v>32</v>
      </c>
      <c r="J22" s="1"/>
      <c r="K22" s="1"/>
      <c r="L22" s="1"/>
      <c r="M22" s="1"/>
      <c r="N22" s="22"/>
      <c r="O22" s="1"/>
    </row>
    <row r="23" spans="1:15" ht="15.5" x14ac:dyDescent="0.35">
      <c r="A23" s="1" t="str">
        <f t="shared" si="0"/>
        <v>RC0603FR-077R5L</v>
      </c>
      <c r="B23" s="1" t="str">
        <f t="shared" si="1"/>
        <v>Резистор номиналом 7,5 Ом 1% 0603</v>
      </c>
      <c r="C23" s="3" t="s">
        <v>26</v>
      </c>
      <c r="D23" s="3" t="s">
        <v>29</v>
      </c>
      <c r="E23" s="3" t="s">
        <v>26</v>
      </c>
      <c r="F23" s="60" t="s">
        <v>147</v>
      </c>
      <c r="G23" s="54" t="s">
        <v>132</v>
      </c>
      <c r="H23" s="3" t="s">
        <v>133</v>
      </c>
      <c r="I23" s="3" t="s">
        <v>32</v>
      </c>
      <c r="J23" s="1"/>
      <c r="K23" s="1"/>
      <c r="L23" s="1"/>
      <c r="M23" s="1"/>
      <c r="N23" s="23"/>
      <c r="O23" s="1"/>
    </row>
    <row r="24" spans="1:15" ht="15.5" x14ac:dyDescent="0.35">
      <c r="A24" s="1" t="str">
        <f t="shared" si="0"/>
        <v>RC0603FR-078R2L</v>
      </c>
      <c r="B24" s="1" t="str">
        <f t="shared" si="1"/>
        <v>Резистор номиналом 8,2 Ом 1% 0603</v>
      </c>
      <c r="C24" s="3" t="s">
        <v>26</v>
      </c>
      <c r="D24" s="3" t="s">
        <v>29</v>
      </c>
      <c r="E24" s="3" t="s">
        <v>26</v>
      </c>
      <c r="F24" s="60" t="s">
        <v>348</v>
      </c>
      <c r="G24" s="54" t="s">
        <v>132</v>
      </c>
      <c r="H24" s="3" t="s">
        <v>133</v>
      </c>
      <c r="I24" s="3" t="s">
        <v>32</v>
      </c>
      <c r="J24" s="1"/>
      <c r="K24" s="1"/>
      <c r="L24" s="1"/>
      <c r="M24" s="1"/>
      <c r="N24" s="22"/>
      <c r="O24" s="1"/>
    </row>
    <row r="25" spans="1:15" ht="15.5" x14ac:dyDescent="0.35">
      <c r="A25" s="1" t="str">
        <f t="shared" si="0"/>
        <v>RC0603FR-079R1L</v>
      </c>
      <c r="B25" s="1" t="str">
        <f t="shared" si="1"/>
        <v>Резистор номиналом 9,1 Ом 1% 0603</v>
      </c>
      <c r="C25" s="3" t="s">
        <v>26</v>
      </c>
      <c r="D25" s="3" t="s">
        <v>29</v>
      </c>
      <c r="E25" s="3" t="s">
        <v>26</v>
      </c>
      <c r="F25" s="60" t="s">
        <v>148</v>
      </c>
      <c r="G25" s="54" t="s">
        <v>132</v>
      </c>
      <c r="H25" s="3" t="s">
        <v>133</v>
      </c>
      <c r="I25" s="3" t="s">
        <v>32</v>
      </c>
      <c r="J25" s="1"/>
      <c r="K25" s="1"/>
      <c r="L25" s="1"/>
      <c r="M25" s="1"/>
      <c r="N25" s="23"/>
      <c r="O25" s="1"/>
    </row>
    <row r="26" spans="1:15" ht="15.5" x14ac:dyDescent="0.35">
      <c r="A26" s="1" t="str">
        <f t="shared" si="0"/>
        <v>RC0603FR-0710RL</v>
      </c>
      <c r="B26" s="1" t="str">
        <f t="shared" si="1"/>
        <v>Резистор номиналом 10 Ом 1% 0603</v>
      </c>
      <c r="C26" s="3" t="s">
        <v>26</v>
      </c>
      <c r="D26" s="3" t="s">
        <v>29</v>
      </c>
      <c r="E26" s="3" t="s">
        <v>26</v>
      </c>
      <c r="F26" s="60" t="s">
        <v>270</v>
      </c>
      <c r="G26" s="54" t="s">
        <v>132</v>
      </c>
      <c r="H26" s="3" t="s">
        <v>133</v>
      </c>
      <c r="I26" s="3" t="s">
        <v>32</v>
      </c>
      <c r="J26" s="1"/>
      <c r="K26" s="1"/>
      <c r="L26" s="1"/>
      <c r="M26" s="1"/>
      <c r="N26" s="22"/>
      <c r="O26" s="1"/>
    </row>
    <row r="27" spans="1:15" ht="15.5" x14ac:dyDescent="0.35">
      <c r="A27" s="1" t="str">
        <f t="shared" si="0"/>
        <v>RC0603FR-0711RL</v>
      </c>
      <c r="B27" s="1" t="str">
        <f t="shared" si="1"/>
        <v>Резистор номиналом 11 Ом 1% 0603</v>
      </c>
      <c r="C27" s="3" t="s">
        <v>26</v>
      </c>
      <c r="D27" s="3" t="s">
        <v>29</v>
      </c>
      <c r="E27" s="3" t="s">
        <v>26</v>
      </c>
      <c r="F27" s="60" t="s">
        <v>271</v>
      </c>
      <c r="G27" s="54" t="s">
        <v>132</v>
      </c>
      <c r="H27" s="3" t="s">
        <v>133</v>
      </c>
      <c r="I27" s="3" t="s">
        <v>32</v>
      </c>
      <c r="J27" s="1"/>
      <c r="K27" s="1"/>
      <c r="L27" s="1"/>
      <c r="M27" s="1"/>
      <c r="N27" s="23"/>
      <c r="O27" s="1"/>
    </row>
    <row r="28" spans="1:15" ht="15.5" x14ac:dyDescent="0.35">
      <c r="A28" s="1" t="str">
        <f t="shared" si="0"/>
        <v>RC0603FR-0712RL</v>
      </c>
      <c r="B28" s="1" t="str">
        <f t="shared" si="1"/>
        <v>Резистор номиналом 12 Ом 1% 0603</v>
      </c>
      <c r="C28" s="3" t="s">
        <v>26</v>
      </c>
      <c r="D28" s="3" t="s">
        <v>29</v>
      </c>
      <c r="E28" s="3" t="s">
        <v>26</v>
      </c>
      <c r="F28" s="60" t="s">
        <v>272</v>
      </c>
      <c r="G28" s="54" t="s">
        <v>132</v>
      </c>
      <c r="H28" s="3" t="s">
        <v>133</v>
      </c>
      <c r="I28" s="3" t="s">
        <v>32</v>
      </c>
      <c r="J28" s="1"/>
      <c r="K28" s="1"/>
      <c r="L28" s="1"/>
      <c r="M28" s="1"/>
      <c r="N28" s="22"/>
      <c r="O28" s="1"/>
    </row>
    <row r="29" spans="1:15" ht="15.5" x14ac:dyDescent="0.35">
      <c r="A29" s="1" t="str">
        <f t="shared" si="0"/>
        <v>RC0603FR-0713RL</v>
      </c>
      <c r="B29" s="1" t="str">
        <f t="shared" si="1"/>
        <v>Резистор номиналом 13 Ом 1% 0603</v>
      </c>
      <c r="C29" s="3" t="s">
        <v>26</v>
      </c>
      <c r="D29" s="3" t="s">
        <v>29</v>
      </c>
      <c r="E29" s="3" t="s">
        <v>26</v>
      </c>
      <c r="F29" s="60" t="s">
        <v>273</v>
      </c>
      <c r="G29" s="54" t="s">
        <v>132</v>
      </c>
      <c r="H29" s="3" t="s">
        <v>133</v>
      </c>
      <c r="I29" s="3" t="s">
        <v>32</v>
      </c>
      <c r="J29" s="1"/>
      <c r="K29" s="1"/>
      <c r="L29" s="1"/>
      <c r="M29" s="1"/>
      <c r="N29" s="23"/>
      <c r="O29" s="1"/>
    </row>
    <row r="30" spans="1:15" ht="15.5" x14ac:dyDescent="0.35">
      <c r="A30" s="1" t="str">
        <f t="shared" si="0"/>
        <v>RC0603FR-0715RL</v>
      </c>
      <c r="B30" s="1" t="str">
        <f t="shared" si="1"/>
        <v>Резистор номиналом 15 Ом 1% 0603</v>
      </c>
      <c r="C30" s="3" t="s">
        <v>26</v>
      </c>
      <c r="D30" s="3" t="s">
        <v>29</v>
      </c>
      <c r="E30" s="3" t="s">
        <v>26</v>
      </c>
      <c r="F30" s="60" t="s">
        <v>274</v>
      </c>
      <c r="G30" s="54" t="s">
        <v>132</v>
      </c>
      <c r="H30" s="3" t="s">
        <v>133</v>
      </c>
      <c r="I30" s="3" t="s">
        <v>32</v>
      </c>
      <c r="J30" s="1"/>
      <c r="K30" s="1"/>
      <c r="L30" s="1"/>
      <c r="M30" s="1"/>
      <c r="N30" s="22"/>
      <c r="O30" s="1"/>
    </row>
    <row r="31" spans="1:15" ht="15.5" x14ac:dyDescent="0.35">
      <c r="A31" s="1" t="str">
        <f t="shared" si="0"/>
        <v>RC0603FR-0716RL</v>
      </c>
      <c r="B31" s="1" t="str">
        <f t="shared" si="1"/>
        <v>Резистор номиналом 16 Ом 1% 0603</v>
      </c>
      <c r="C31" s="3" t="s">
        <v>26</v>
      </c>
      <c r="D31" s="3" t="s">
        <v>29</v>
      </c>
      <c r="E31" s="3" t="s">
        <v>26</v>
      </c>
      <c r="F31" s="60" t="s">
        <v>275</v>
      </c>
      <c r="G31" s="54" t="s">
        <v>132</v>
      </c>
      <c r="H31" s="3" t="s">
        <v>133</v>
      </c>
      <c r="I31" s="3" t="s">
        <v>32</v>
      </c>
      <c r="J31" s="1"/>
      <c r="K31" s="1"/>
      <c r="L31" s="1"/>
      <c r="M31" s="1"/>
      <c r="N31" s="23"/>
      <c r="O31" s="1"/>
    </row>
    <row r="32" spans="1:15" ht="15.5" x14ac:dyDescent="0.35">
      <c r="A32" s="1" t="str">
        <f t="shared" si="0"/>
        <v>RC0603FR-0718RL</v>
      </c>
      <c r="B32" s="1" t="str">
        <f t="shared" si="1"/>
        <v>Резистор номиналом 18 Ом 1% 0603</v>
      </c>
      <c r="C32" s="3" t="s">
        <v>26</v>
      </c>
      <c r="D32" s="3" t="s">
        <v>29</v>
      </c>
      <c r="E32" s="3" t="s">
        <v>26</v>
      </c>
      <c r="F32" s="60" t="s">
        <v>276</v>
      </c>
      <c r="G32" s="54" t="s">
        <v>132</v>
      </c>
      <c r="H32" s="3" t="s">
        <v>133</v>
      </c>
      <c r="I32" s="3" t="s">
        <v>32</v>
      </c>
      <c r="J32" s="1"/>
      <c r="K32" s="1"/>
      <c r="L32" s="1"/>
      <c r="M32" s="1"/>
      <c r="N32" s="22"/>
      <c r="O32" s="1"/>
    </row>
    <row r="33" spans="1:15" ht="15.5" x14ac:dyDescent="0.35">
      <c r="A33" s="1" t="str">
        <f t="shared" si="0"/>
        <v>RC0603FR-0720RL</v>
      </c>
      <c r="B33" s="1" t="str">
        <f t="shared" si="1"/>
        <v>Резистор номиналом 20 Ом 1% 0603</v>
      </c>
      <c r="C33" s="3" t="s">
        <v>26</v>
      </c>
      <c r="D33" s="3" t="s">
        <v>29</v>
      </c>
      <c r="E33" s="3" t="s">
        <v>26</v>
      </c>
      <c r="F33" s="60" t="s">
        <v>277</v>
      </c>
      <c r="G33" s="54" t="s">
        <v>132</v>
      </c>
      <c r="H33" s="3" t="s">
        <v>133</v>
      </c>
      <c r="I33" s="3" t="s">
        <v>32</v>
      </c>
      <c r="J33" s="1"/>
      <c r="K33" s="1"/>
      <c r="L33" s="1"/>
      <c r="M33" s="1"/>
      <c r="N33" s="23"/>
      <c r="O33" s="1"/>
    </row>
    <row r="34" spans="1:15" ht="15.5" x14ac:dyDescent="0.35">
      <c r="A34" s="1" t="str">
        <f t="shared" si="0"/>
        <v>RC0603FR-0722RL</v>
      </c>
      <c r="B34" s="1" t="str">
        <f t="shared" si="1"/>
        <v>Резистор номиналом 22 Ом 1% 0603</v>
      </c>
      <c r="C34" s="3" t="s">
        <v>26</v>
      </c>
      <c r="D34" s="3" t="s">
        <v>29</v>
      </c>
      <c r="E34" s="3" t="s">
        <v>26</v>
      </c>
      <c r="F34" s="60" t="s">
        <v>278</v>
      </c>
      <c r="G34" s="54" t="s">
        <v>132</v>
      </c>
      <c r="H34" s="3" t="s">
        <v>133</v>
      </c>
      <c r="I34" s="3" t="s">
        <v>32</v>
      </c>
      <c r="J34" s="1"/>
      <c r="K34" s="1"/>
      <c r="L34" s="1"/>
      <c r="M34" s="1"/>
      <c r="N34" s="22"/>
      <c r="O34" s="1"/>
    </row>
    <row r="35" spans="1:15" ht="15.5" x14ac:dyDescent="0.35">
      <c r="A35" s="1" t="str">
        <f t="shared" si="0"/>
        <v>RC0603FR-0724RL</v>
      </c>
      <c r="B35" s="1" t="str">
        <f t="shared" si="1"/>
        <v>Резистор номиналом 24 Ом 1% 0603</v>
      </c>
      <c r="C35" s="3" t="s">
        <v>26</v>
      </c>
      <c r="D35" s="3" t="s">
        <v>29</v>
      </c>
      <c r="E35" s="3" t="s">
        <v>26</v>
      </c>
      <c r="F35" s="60" t="s">
        <v>279</v>
      </c>
      <c r="G35" s="54" t="s">
        <v>132</v>
      </c>
      <c r="H35" s="3" t="s">
        <v>133</v>
      </c>
      <c r="I35" s="3" t="s">
        <v>32</v>
      </c>
      <c r="J35" s="1"/>
      <c r="K35" s="1"/>
      <c r="L35" s="1"/>
      <c r="M35" s="1"/>
      <c r="N35" s="23"/>
      <c r="O35" s="1"/>
    </row>
    <row r="36" spans="1:15" ht="15.5" x14ac:dyDescent="0.35">
      <c r="A36" s="1" t="str">
        <f t="shared" si="0"/>
        <v>RC0603FR-0727RL</v>
      </c>
      <c r="B36" s="1" t="str">
        <f t="shared" si="1"/>
        <v>Резистор номиналом 27 Ом 1% 0603</v>
      </c>
      <c r="C36" s="3" t="s">
        <v>26</v>
      </c>
      <c r="D36" s="3" t="s">
        <v>29</v>
      </c>
      <c r="E36" s="3" t="s">
        <v>26</v>
      </c>
      <c r="F36" s="60" t="s">
        <v>280</v>
      </c>
      <c r="G36" s="54" t="s">
        <v>132</v>
      </c>
      <c r="H36" s="3" t="s">
        <v>133</v>
      </c>
      <c r="I36" s="3" t="s">
        <v>32</v>
      </c>
      <c r="J36" s="1"/>
      <c r="K36" s="1"/>
      <c r="L36" s="1"/>
      <c r="M36" s="1"/>
      <c r="N36" s="22"/>
      <c r="O36" s="1"/>
    </row>
    <row r="37" spans="1:15" ht="15.5" x14ac:dyDescent="0.35">
      <c r="A37" s="1" t="str">
        <f t="shared" si="0"/>
        <v>RC0603FR-0730RL</v>
      </c>
      <c r="B37" s="1" t="str">
        <f t="shared" si="1"/>
        <v>Резистор номиналом 30 Ом 1% 0603</v>
      </c>
      <c r="C37" s="3" t="s">
        <v>26</v>
      </c>
      <c r="D37" s="3" t="s">
        <v>29</v>
      </c>
      <c r="E37" s="3" t="s">
        <v>26</v>
      </c>
      <c r="F37" s="60" t="s">
        <v>281</v>
      </c>
      <c r="G37" s="54" t="s">
        <v>132</v>
      </c>
      <c r="H37" s="3" t="s">
        <v>133</v>
      </c>
      <c r="I37" s="3" t="s">
        <v>32</v>
      </c>
      <c r="J37" s="1"/>
      <c r="K37" s="1"/>
      <c r="L37" s="1"/>
      <c r="M37" s="1"/>
      <c r="N37" s="23"/>
      <c r="O37" s="1"/>
    </row>
    <row r="38" spans="1:15" ht="15.5" x14ac:dyDescent="0.35">
      <c r="A38" s="1" t="str">
        <f t="shared" si="0"/>
        <v>RC0603FR-0733RL</v>
      </c>
      <c r="B38" s="1" t="str">
        <f t="shared" si="1"/>
        <v>Резистор номиналом 33 Ом 1% 0603</v>
      </c>
      <c r="C38" s="3" t="s">
        <v>26</v>
      </c>
      <c r="D38" s="3" t="s">
        <v>29</v>
      </c>
      <c r="E38" s="3" t="s">
        <v>26</v>
      </c>
      <c r="F38" s="60" t="s">
        <v>282</v>
      </c>
      <c r="G38" s="54" t="s">
        <v>132</v>
      </c>
      <c r="H38" s="3" t="s">
        <v>133</v>
      </c>
      <c r="I38" s="3" t="s">
        <v>32</v>
      </c>
      <c r="J38" s="1"/>
      <c r="K38" s="1"/>
      <c r="L38" s="1"/>
      <c r="M38" s="1"/>
      <c r="N38" s="22"/>
      <c r="O38" s="1"/>
    </row>
    <row r="39" spans="1:15" ht="15.5" x14ac:dyDescent="0.35">
      <c r="A39" s="1" t="str">
        <f t="shared" si="0"/>
        <v>RC0603FR-0736RL</v>
      </c>
      <c r="B39" s="1" t="str">
        <f t="shared" si="1"/>
        <v>Резистор номиналом 36 Ом 1% 0603</v>
      </c>
      <c r="C39" s="3" t="s">
        <v>26</v>
      </c>
      <c r="D39" s="3" t="s">
        <v>29</v>
      </c>
      <c r="E39" s="3" t="s">
        <v>26</v>
      </c>
      <c r="F39" s="60" t="s">
        <v>283</v>
      </c>
      <c r="G39" s="54" t="s">
        <v>132</v>
      </c>
      <c r="H39" s="3" t="s">
        <v>133</v>
      </c>
      <c r="I39" s="3" t="s">
        <v>32</v>
      </c>
      <c r="J39" s="1"/>
      <c r="K39" s="1"/>
      <c r="L39" s="1"/>
      <c r="M39" s="1"/>
      <c r="N39" s="23"/>
      <c r="O39" s="1"/>
    </row>
    <row r="40" spans="1:15" ht="15.5" x14ac:dyDescent="0.35">
      <c r="A40" s="1" t="str">
        <f t="shared" si="0"/>
        <v>RC0603FR-0739RL</v>
      </c>
      <c r="B40" s="1" t="str">
        <f t="shared" si="1"/>
        <v>Резистор номиналом 39 Ом 1% 0603</v>
      </c>
      <c r="C40" s="3" t="s">
        <v>26</v>
      </c>
      <c r="D40" s="3" t="s">
        <v>29</v>
      </c>
      <c r="E40" s="3" t="s">
        <v>26</v>
      </c>
      <c r="F40" s="60" t="s">
        <v>284</v>
      </c>
      <c r="G40" s="54" t="s">
        <v>132</v>
      </c>
      <c r="H40" s="3" t="s">
        <v>133</v>
      </c>
      <c r="I40" s="3" t="s">
        <v>32</v>
      </c>
      <c r="J40" s="1"/>
      <c r="K40" s="1"/>
      <c r="L40" s="1"/>
      <c r="M40" s="1"/>
      <c r="N40" s="22"/>
      <c r="O40" s="1"/>
    </row>
    <row r="41" spans="1:15" ht="15.5" x14ac:dyDescent="0.35">
      <c r="A41" s="1" t="str">
        <f t="shared" si="0"/>
        <v>RC0603FR-0743RL</v>
      </c>
      <c r="B41" s="1" t="str">
        <f t="shared" si="1"/>
        <v>Резистор номиналом 43 Ом 1% 0603</v>
      </c>
      <c r="C41" s="3" t="s">
        <v>26</v>
      </c>
      <c r="D41" s="3" t="s">
        <v>29</v>
      </c>
      <c r="E41" s="3" t="s">
        <v>26</v>
      </c>
      <c r="F41" s="60" t="s">
        <v>285</v>
      </c>
      <c r="G41" s="54" t="s">
        <v>132</v>
      </c>
      <c r="H41" s="3" t="s">
        <v>133</v>
      </c>
      <c r="I41" s="3" t="s">
        <v>32</v>
      </c>
      <c r="J41" s="1"/>
      <c r="K41" s="1"/>
      <c r="L41" s="1"/>
      <c r="M41" s="1"/>
      <c r="N41" s="23"/>
      <c r="O41" s="1"/>
    </row>
    <row r="42" spans="1:15" ht="15.5" x14ac:dyDescent="0.35">
      <c r="A42" s="1" t="str">
        <f t="shared" si="0"/>
        <v>RC0603FR-0747RL</v>
      </c>
      <c r="B42" s="1" t="str">
        <f t="shared" si="1"/>
        <v>Резистор номиналом 47 Ом 1% 0603</v>
      </c>
      <c r="C42" s="3" t="s">
        <v>26</v>
      </c>
      <c r="D42" s="3" t="s">
        <v>29</v>
      </c>
      <c r="E42" s="3" t="s">
        <v>26</v>
      </c>
      <c r="F42" s="60" t="s">
        <v>286</v>
      </c>
      <c r="G42" s="54" t="s">
        <v>132</v>
      </c>
      <c r="H42" s="3" t="s">
        <v>133</v>
      </c>
      <c r="I42" s="3" t="s">
        <v>32</v>
      </c>
      <c r="J42" s="1"/>
      <c r="K42" s="1"/>
      <c r="L42" s="1"/>
      <c r="M42" s="1"/>
      <c r="N42" s="22"/>
      <c r="O42" s="1"/>
    </row>
    <row r="43" spans="1:15" ht="15.5" x14ac:dyDescent="0.35">
      <c r="A43" s="1" t="str">
        <f t="shared" si="0"/>
        <v>RC0603FR-0751RL</v>
      </c>
      <c r="B43" s="1" t="str">
        <f t="shared" si="1"/>
        <v>Резистор номиналом 51 Ом 1% 0603</v>
      </c>
      <c r="C43" s="3" t="s">
        <v>26</v>
      </c>
      <c r="D43" s="3" t="s">
        <v>29</v>
      </c>
      <c r="E43" s="3" t="s">
        <v>26</v>
      </c>
      <c r="F43" s="60" t="s">
        <v>287</v>
      </c>
      <c r="G43" s="54" t="s">
        <v>132</v>
      </c>
      <c r="H43" s="3" t="s">
        <v>133</v>
      </c>
      <c r="I43" s="3" t="s">
        <v>32</v>
      </c>
      <c r="J43" s="1"/>
      <c r="K43" s="1"/>
      <c r="L43" s="1"/>
      <c r="M43" s="1"/>
      <c r="N43" s="23"/>
      <c r="O43" s="1"/>
    </row>
    <row r="44" spans="1:15" ht="15.5" x14ac:dyDescent="0.35">
      <c r="A44" s="1" t="str">
        <f t="shared" si="0"/>
        <v>RC0603FR-0756RL</v>
      </c>
      <c r="B44" s="1" t="str">
        <f t="shared" si="1"/>
        <v>Резистор номиналом 56 Ом 1% 0603</v>
      </c>
      <c r="C44" s="3" t="s">
        <v>26</v>
      </c>
      <c r="D44" s="3" t="s">
        <v>29</v>
      </c>
      <c r="E44" s="3" t="s">
        <v>26</v>
      </c>
      <c r="F44" s="60" t="s">
        <v>288</v>
      </c>
      <c r="G44" s="54" t="s">
        <v>132</v>
      </c>
      <c r="H44" s="3" t="s">
        <v>133</v>
      </c>
      <c r="I44" s="3" t="s">
        <v>32</v>
      </c>
      <c r="J44" s="1"/>
      <c r="K44" s="1"/>
      <c r="L44" s="1"/>
      <c r="M44" s="1"/>
      <c r="N44" s="22"/>
      <c r="O44" s="1"/>
    </row>
    <row r="45" spans="1:15" ht="15.5" x14ac:dyDescent="0.35">
      <c r="A45" s="1" t="str">
        <f t="shared" si="0"/>
        <v>RC0603FR-0762RL</v>
      </c>
      <c r="B45" s="1" t="str">
        <f t="shared" si="1"/>
        <v>Резистор номиналом 62 Ом 1% 0603</v>
      </c>
      <c r="C45" s="3" t="s">
        <v>26</v>
      </c>
      <c r="D45" s="3" t="s">
        <v>29</v>
      </c>
      <c r="E45" s="3" t="s">
        <v>26</v>
      </c>
      <c r="F45" s="60" t="s">
        <v>289</v>
      </c>
      <c r="G45" s="54" t="s">
        <v>132</v>
      </c>
      <c r="H45" s="3" t="s">
        <v>133</v>
      </c>
      <c r="I45" s="3" t="s">
        <v>32</v>
      </c>
      <c r="J45" s="1"/>
      <c r="K45" s="1"/>
      <c r="L45" s="1"/>
      <c r="M45" s="1"/>
      <c r="N45" s="23"/>
      <c r="O45" s="1"/>
    </row>
    <row r="46" spans="1:15" ht="15.5" x14ac:dyDescent="0.35">
      <c r="A46" s="1" t="str">
        <f t="shared" si="0"/>
        <v>RC0603FR-0768RL</v>
      </c>
      <c r="B46" s="1" t="str">
        <f t="shared" si="1"/>
        <v>Резистор номиналом 68 Ом 1% 0603</v>
      </c>
      <c r="C46" s="3" t="s">
        <v>26</v>
      </c>
      <c r="D46" s="3" t="s">
        <v>29</v>
      </c>
      <c r="E46" s="3" t="s">
        <v>26</v>
      </c>
      <c r="F46" s="60" t="s">
        <v>290</v>
      </c>
      <c r="G46" s="54" t="s">
        <v>132</v>
      </c>
      <c r="H46" s="3" t="s">
        <v>133</v>
      </c>
      <c r="I46" s="3" t="s">
        <v>32</v>
      </c>
      <c r="J46" s="1"/>
      <c r="K46" s="1"/>
      <c r="L46" s="1"/>
      <c r="M46" s="1"/>
      <c r="N46" s="22"/>
      <c r="O46" s="1"/>
    </row>
    <row r="47" spans="1:15" ht="15.5" x14ac:dyDescent="0.35">
      <c r="A47" s="1" t="str">
        <f t="shared" si="0"/>
        <v>RC0603FR-0775RL</v>
      </c>
      <c r="B47" s="1" t="str">
        <f t="shared" si="1"/>
        <v>Резистор номиналом 75 Ом 1% 0603</v>
      </c>
      <c r="C47" s="3" t="s">
        <v>26</v>
      </c>
      <c r="D47" s="3" t="s">
        <v>29</v>
      </c>
      <c r="E47" s="3" t="s">
        <v>26</v>
      </c>
      <c r="F47" s="60" t="s">
        <v>291</v>
      </c>
      <c r="G47" s="54" t="s">
        <v>132</v>
      </c>
      <c r="H47" s="3" t="s">
        <v>133</v>
      </c>
      <c r="I47" s="3" t="s">
        <v>32</v>
      </c>
      <c r="J47" s="1"/>
      <c r="K47" s="1"/>
      <c r="L47" s="1"/>
      <c r="M47" s="1"/>
      <c r="N47" s="23"/>
      <c r="O47" s="1"/>
    </row>
    <row r="48" spans="1:15" ht="15.5" x14ac:dyDescent="0.35">
      <c r="A48" s="1" t="str">
        <f t="shared" si="0"/>
        <v>RC0603FR-0782RL</v>
      </c>
      <c r="B48" s="1" t="str">
        <f t="shared" si="1"/>
        <v>Резистор номиналом 82 Ом 1% 0603</v>
      </c>
      <c r="C48" s="3" t="s">
        <v>26</v>
      </c>
      <c r="D48" s="3" t="s">
        <v>29</v>
      </c>
      <c r="E48" s="3" t="s">
        <v>26</v>
      </c>
      <c r="F48" s="60" t="s">
        <v>349</v>
      </c>
      <c r="G48" s="54" t="s">
        <v>132</v>
      </c>
      <c r="H48" s="3" t="s">
        <v>133</v>
      </c>
      <c r="I48" s="3" t="s">
        <v>32</v>
      </c>
      <c r="J48" s="1"/>
      <c r="K48" s="1"/>
      <c r="L48" s="1"/>
      <c r="M48" s="1"/>
      <c r="N48" s="22"/>
      <c r="O48" s="1"/>
    </row>
    <row r="49" spans="1:15" ht="15.5" x14ac:dyDescent="0.35">
      <c r="A49" s="1" t="str">
        <f t="shared" si="0"/>
        <v>RC0603FR-0791RL</v>
      </c>
      <c r="B49" s="1" t="str">
        <f t="shared" si="1"/>
        <v>Резистор номиналом 91 Ом 1% 0603</v>
      </c>
      <c r="C49" s="3" t="s">
        <v>26</v>
      </c>
      <c r="D49" s="3" t="s">
        <v>29</v>
      </c>
      <c r="E49" s="3" t="s">
        <v>26</v>
      </c>
      <c r="F49" s="60" t="s">
        <v>292</v>
      </c>
      <c r="G49" s="54" t="s">
        <v>132</v>
      </c>
      <c r="H49" s="3" t="s">
        <v>133</v>
      </c>
      <c r="I49" s="3" t="s">
        <v>32</v>
      </c>
      <c r="J49" s="1"/>
      <c r="K49" s="1"/>
      <c r="L49" s="1"/>
      <c r="M49" s="1"/>
      <c r="N49" s="23"/>
      <c r="O49" s="1"/>
    </row>
    <row r="50" spans="1:15" ht="15.5" x14ac:dyDescent="0.35">
      <c r="A50" s="1" t="str">
        <f t="shared" si="0"/>
        <v>RC0603FR-07100RL</v>
      </c>
      <c r="B50" s="1" t="str">
        <f t="shared" si="1"/>
        <v>Резистор номиналом 100 Ом 1% 0603</v>
      </c>
      <c r="C50" s="3" t="s">
        <v>26</v>
      </c>
      <c r="D50" s="3" t="s">
        <v>29</v>
      </c>
      <c r="E50" s="3" t="s">
        <v>26</v>
      </c>
      <c r="F50" s="60" t="s">
        <v>293</v>
      </c>
      <c r="G50" s="54" t="s">
        <v>132</v>
      </c>
      <c r="H50" s="3" t="s">
        <v>133</v>
      </c>
      <c r="I50" s="3" t="s">
        <v>32</v>
      </c>
      <c r="J50" s="1"/>
      <c r="K50" s="1"/>
      <c r="L50" s="1"/>
      <c r="M50" s="1"/>
      <c r="N50" s="22"/>
      <c r="O50" s="1"/>
    </row>
    <row r="51" spans="1:15" ht="15.5" x14ac:dyDescent="0.35">
      <c r="A51" s="1" t="str">
        <f t="shared" si="0"/>
        <v>RC0603FR-07110RL</v>
      </c>
      <c r="B51" s="1" t="str">
        <f t="shared" si="1"/>
        <v>Резистор номиналом 110 Ом 1% 0603</v>
      </c>
      <c r="C51" s="3" t="s">
        <v>26</v>
      </c>
      <c r="D51" s="3" t="s">
        <v>29</v>
      </c>
      <c r="E51" s="3" t="s">
        <v>26</v>
      </c>
      <c r="F51" s="60" t="s">
        <v>294</v>
      </c>
      <c r="G51" s="54" t="s">
        <v>132</v>
      </c>
      <c r="H51" s="3" t="s">
        <v>133</v>
      </c>
      <c r="I51" s="3" t="s">
        <v>32</v>
      </c>
      <c r="J51" s="1"/>
      <c r="K51" s="1"/>
      <c r="L51" s="1"/>
      <c r="M51" s="1"/>
      <c r="N51" s="23"/>
      <c r="O51" s="1"/>
    </row>
    <row r="52" spans="1:15" ht="15.5" x14ac:dyDescent="0.35">
      <c r="A52" s="1" t="str">
        <f t="shared" si="0"/>
        <v>RC0603FR-07120RL</v>
      </c>
      <c r="B52" s="1" t="str">
        <f t="shared" si="1"/>
        <v>Резистор номиналом 120 Ом 1% 0603</v>
      </c>
      <c r="C52" s="3" t="s">
        <v>26</v>
      </c>
      <c r="D52" s="3" t="s">
        <v>29</v>
      </c>
      <c r="E52" s="3" t="s">
        <v>26</v>
      </c>
      <c r="F52" s="60" t="s">
        <v>295</v>
      </c>
      <c r="G52" s="54" t="s">
        <v>132</v>
      </c>
      <c r="H52" s="3" t="s">
        <v>133</v>
      </c>
      <c r="I52" s="3" t="s">
        <v>32</v>
      </c>
      <c r="J52" s="3"/>
      <c r="K52" s="1" t="s">
        <v>601</v>
      </c>
      <c r="L52" s="1"/>
      <c r="M52" s="1"/>
      <c r="N52" s="22"/>
      <c r="O52" s="1"/>
    </row>
    <row r="53" spans="1:15" ht="15.5" x14ac:dyDescent="0.35">
      <c r="A53" s="1" t="str">
        <f t="shared" si="0"/>
        <v>RC0603FR-07130RL</v>
      </c>
      <c r="B53" s="1" t="str">
        <f t="shared" si="1"/>
        <v>Резистор номиналом 130 Ом 1% 0603</v>
      </c>
      <c r="C53" s="3" t="s">
        <v>26</v>
      </c>
      <c r="D53" s="3" t="s">
        <v>29</v>
      </c>
      <c r="E53" s="3" t="s">
        <v>26</v>
      </c>
      <c r="F53" s="60" t="s">
        <v>296</v>
      </c>
      <c r="G53" s="54" t="s">
        <v>132</v>
      </c>
      <c r="H53" s="3" t="s">
        <v>133</v>
      </c>
      <c r="I53" s="3" t="s">
        <v>32</v>
      </c>
      <c r="J53" s="1"/>
      <c r="K53" s="1"/>
      <c r="L53" s="1"/>
      <c r="M53" s="1"/>
      <c r="N53" s="23"/>
      <c r="O53" s="1"/>
    </row>
    <row r="54" spans="1:15" ht="15.5" x14ac:dyDescent="0.35">
      <c r="A54" s="1" t="str">
        <f t="shared" si="0"/>
        <v>RC0603FR-07150RL</v>
      </c>
      <c r="B54" s="1" t="str">
        <f t="shared" si="1"/>
        <v>Резистор номиналом 150 Ом 1% 0603</v>
      </c>
      <c r="C54" s="3" t="s">
        <v>26</v>
      </c>
      <c r="D54" s="3" t="s">
        <v>29</v>
      </c>
      <c r="E54" s="3" t="s">
        <v>26</v>
      </c>
      <c r="F54" s="60" t="s">
        <v>297</v>
      </c>
      <c r="G54" s="54" t="s">
        <v>132</v>
      </c>
      <c r="H54" s="3" t="s">
        <v>133</v>
      </c>
      <c r="I54" s="3" t="s">
        <v>32</v>
      </c>
      <c r="J54" s="1"/>
      <c r="K54" s="1"/>
      <c r="L54" s="1"/>
      <c r="M54" s="1"/>
      <c r="N54" s="22"/>
      <c r="O54" s="1"/>
    </row>
    <row r="55" spans="1:15" ht="15.5" x14ac:dyDescent="0.35">
      <c r="A55" s="1" t="str">
        <f t="shared" si="0"/>
        <v>RC0603FR-07160RL</v>
      </c>
      <c r="B55" s="1" t="str">
        <f t="shared" si="1"/>
        <v>Резистор номиналом 160 Ом 1% 0603</v>
      </c>
      <c r="C55" s="3" t="s">
        <v>26</v>
      </c>
      <c r="D55" s="3" t="s">
        <v>29</v>
      </c>
      <c r="E55" s="3" t="s">
        <v>26</v>
      </c>
      <c r="F55" s="60" t="s">
        <v>298</v>
      </c>
      <c r="G55" s="54" t="s">
        <v>132</v>
      </c>
      <c r="H55" s="3" t="s">
        <v>133</v>
      </c>
      <c r="I55" s="3" t="s">
        <v>32</v>
      </c>
      <c r="J55" s="1"/>
      <c r="K55" s="1"/>
      <c r="L55" s="1"/>
      <c r="M55" s="1"/>
      <c r="N55" s="23"/>
      <c r="O55" s="1"/>
    </row>
    <row r="56" spans="1:15" ht="15.5" x14ac:dyDescent="0.35">
      <c r="A56" s="1" t="str">
        <f t="shared" si="0"/>
        <v>RC0603FR-07180RL</v>
      </c>
      <c r="B56" s="1" t="str">
        <f t="shared" si="1"/>
        <v>Резистор номиналом 180 Ом 1% 0603</v>
      </c>
      <c r="C56" s="3" t="s">
        <v>26</v>
      </c>
      <c r="D56" s="3" t="s">
        <v>29</v>
      </c>
      <c r="E56" s="3" t="s">
        <v>26</v>
      </c>
      <c r="F56" s="60" t="s">
        <v>299</v>
      </c>
      <c r="G56" s="54" t="s">
        <v>132</v>
      </c>
      <c r="H56" s="3" t="s">
        <v>133</v>
      </c>
      <c r="I56" s="3" t="s">
        <v>32</v>
      </c>
      <c r="J56" s="1"/>
      <c r="K56" s="1"/>
      <c r="L56" s="1"/>
      <c r="M56" s="1"/>
      <c r="N56" s="22"/>
      <c r="O56" s="1"/>
    </row>
    <row r="57" spans="1:15" ht="15.5" x14ac:dyDescent="0.35">
      <c r="A57" s="1" t="str">
        <f t="shared" si="0"/>
        <v>RC0603FR-07200RL</v>
      </c>
      <c r="B57" s="1" t="str">
        <f t="shared" si="1"/>
        <v>Резистор номиналом 200 Ом 1% 0603</v>
      </c>
      <c r="C57" s="3" t="s">
        <v>26</v>
      </c>
      <c r="D57" s="3" t="s">
        <v>29</v>
      </c>
      <c r="E57" s="3" t="s">
        <v>26</v>
      </c>
      <c r="F57" s="60" t="s">
        <v>300</v>
      </c>
      <c r="G57" s="54" t="s">
        <v>132</v>
      </c>
      <c r="H57" s="3" t="s">
        <v>133</v>
      </c>
      <c r="I57" s="3" t="s">
        <v>32</v>
      </c>
      <c r="J57" s="1"/>
      <c r="K57" s="1"/>
      <c r="L57" s="1"/>
      <c r="M57" s="1"/>
      <c r="N57" s="23"/>
      <c r="O57" s="1"/>
    </row>
    <row r="58" spans="1:15" ht="15.5" x14ac:dyDescent="0.35">
      <c r="A58" s="1" t="str">
        <f t="shared" si="0"/>
        <v>RC0603FR-07220RL</v>
      </c>
      <c r="B58" s="1" t="str">
        <f t="shared" si="1"/>
        <v>Резистор номиналом 220 Ом 1% 0603</v>
      </c>
      <c r="C58" s="3" t="s">
        <v>26</v>
      </c>
      <c r="D58" s="3" t="s">
        <v>29</v>
      </c>
      <c r="E58" s="3" t="s">
        <v>26</v>
      </c>
      <c r="F58" s="60" t="s">
        <v>301</v>
      </c>
      <c r="G58" s="54" t="s">
        <v>132</v>
      </c>
      <c r="H58" s="3" t="s">
        <v>133</v>
      </c>
      <c r="I58" s="3" t="s">
        <v>32</v>
      </c>
      <c r="J58" s="1" t="s">
        <v>843</v>
      </c>
      <c r="K58" s="1" t="s">
        <v>851</v>
      </c>
      <c r="L58" s="1"/>
      <c r="M58" s="1"/>
      <c r="N58" s="22"/>
      <c r="O58" s="1"/>
    </row>
    <row r="59" spans="1:15" ht="15.5" x14ac:dyDescent="0.35">
      <c r="A59" s="1" t="str">
        <f t="shared" si="0"/>
        <v>RC0603FR-07240RL</v>
      </c>
      <c r="B59" s="1" t="str">
        <f t="shared" si="1"/>
        <v>Резистор номиналом 240 Ом 1% 0603</v>
      </c>
      <c r="C59" s="3" t="s">
        <v>26</v>
      </c>
      <c r="D59" s="3" t="s">
        <v>29</v>
      </c>
      <c r="E59" s="3" t="s">
        <v>26</v>
      </c>
      <c r="F59" s="60" t="s">
        <v>302</v>
      </c>
      <c r="G59" s="54" t="s">
        <v>132</v>
      </c>
      <c r="H59" s="3" t="s">
        <v>133</v>
      </c>
      <c r="I59" s="3" t="s">
        <v>32</v>
      </c>
      <c r="J59" s="1"/>
      <c r="K59" s="1"/>
      <c r="L59" s="1"/>
      <c r="M59" s="1"/>
      <c r="N59" s="23"/>
      <c r="O59" s="1"/>
    </row>
    <row r="60" spans="1:15" ht="15.5" x14ac:dyDescent="0.35">
      <c r="A60" s="1" t="str">
        <f t="shared" si="0"/>
        <v>RC0603FR-07270RL</v>
      </c>
      <c r="B60" s="1" t="str">
        <f t="shared" si="1"/>
        <v>Резистор номиналом 270 Ом 1% 0603</v>
      </c>
      <c r="C60" s="3" t="s">
        <v>26</v>
      </c>
      <c r="D60" s="3" t="s">
        <v>29</v>
      </c>
      <c r="E60" s="3" t="s">
        <v>26</v>
      </c>
      <c r="F60" s="60" t="s">
        <v>303</v>
      </c>
      <c r="G60" s="54" t="s">
        <v>132</v>
      </c>
      <c r="H60" s="3" t="s">
        <v>133</v>
      </c>
      <c r="I60" s="3" t="s">
        <v>32</v>
      </c>
      <c r="J60" s="1" t="s">
        <v>843</v>
      </c>
      <c r="K60" s="1" t="s">
        <v>852</v>
      </c>
      <c r="L60" s="1"/>
      <c r="M60" s="1"/>
      <c r="N60" s="22"/>
      <c r="O60" s="1"/>
    </row>
    <row r="61" spans="1:15" ht="15.5" x14ac:dyDescent="0.35">
      <c r="A61" s="1" t="str">
        <f t="shared" si="0"/>
        <v>RC0603FR-07300RL</v>
      </c>
      <c r="B61" s="1" t="str">
        <f t="shared" si="1"/>
        <v>Резистор номиналом 300 Ом 1% 0603</v>
      </c>
      <c r="C61" s="3" t="s">
        <v>26</v>
      </c>
      <c r="D61" s="3" t="s">
        <v>29</v>
      </c>
      <c r="E61" s="3" t="s">
        <v>26</v>
      </c>
      <c r="F61" s="60" t="s">
        <v>304</v>
      </c>
      <c r="G61" s="54" t="s">
        <v>132</v>
      </c>
      <c r="H61" s="3" t="s">
        <v>133</v>
      </c>
      <c r="I61" s="3" t="s">
        <v>32</v>
      </c>
      <c r="J61" s="1"/>
      <c r="K61" s="1"/>
      <c r="L61" s="1"/>
      <c r="M61" s="1"/>
      <c r="N61" s="23"/>
      <c r="O61" s="1"/>
    </row>
    <row r="62" spans="1:15" ht="15.5" x14ac:dyDescent="0.35">
      <c r="A62" s="1" t="str">
        <f t="shared" si="0"/>
        <v>RC0603FR-07330RL</v>
      </c>
      <c r="B62" s="1" t="str">
        <f t="shared" si="1"/>
        <v>Резистор номиналом 330 Ом 1% 0603</v>
      </c>
      <c r="C62" s="3" t="s">
        <v>26</v>
      </c>
      <c r="D62" s="3" t="s">
        <v>29</v>
      </c>
      <c r="E62" s="3" t="s">
        <v>26</v>
      </c>
      <c r="F62" s="60" t="s">
        <v>305</v>
      </c>
      <c r="G62" s="54" t="s">
        <v>132</v>
      </c>
      <c r="H62" s="3" t="s">
        <v>133</v>
      </c>
      <c r="I62" s="3" t="s">
        <v>32</v>
      </c>
      <c r="J62" s="1"/>
      <c r="K62" s="1"/>
      <c r="L62" s="1"/>
      <c r="M62" s="1"/>
      <c r="N62" s="22"/>
      <c r="O62" s="1"/>
    </row>
    <row r="63" spans="1:15" ht="15.5" x14ac:dyDescent="0.35">
      <c r="A63" s="1" t="str">
        <f t="shared" si="0"/>
        <v>RC0603FR-07360RL</v>
      </c>
      <c r="B63" s="1" t="str">
        <f t="shared" si="1"/>
        <v>Резистор номиналом 360 Ом 1% 0603</v>
      </c>
      <c r="C63" s="3" t="s">
        <v>26</v>
      </c>
      <c r="D63" s="3" t="s">
        <v>29</v>
      </c>
      <c r="E63" s="3" t="s">
        <v>26</v>
      </c>
      <c r="F63" s="60" t="s">
        <v>306</v>
      </c>
      <c r="G63" s="54" t="s">
        <v>132</v>
      </c>
      <c r="H63" s="3" t="s">
        <v>133</v>
      </c>
      <c r="I63" s="3" t="s">
        <v>32</v>
      </c>
      <c r="J63" s="1"/>
      <c r="K63" s="1"/>
      <c r="L63" s="1"/>
      <c r="M63" s="1"/>
      <c r="N63" s="23"/>
      <c r="O63" s="1"/>
    </row>
    <row r="64" spans="1:15" ht="15.5" x14ac:dyDescent="0.35">
      <c r="A64" s="1" t="str">
        <f t="shared" si="0"/>
        <v>RC0603FR-07390RL</v>
      </c>
      <c r="B64" s="1" t="str">
        <f t="shared" si="1"/>
        <v>Резистор номиналом 390 Ом 1% 0603</v>
      </c>
      <c r="C64" s="3" t="s">
        <v>26</v>
      </c>
      <c r="D64" s="3" t="s">
        <v>29</v>
      </c>
      <c r="E64" s="3" t="s">
        <v>26</v>
      </c>
      <c r="F64" s="60" t="s">
        <v>307</v>
      </c>
      <c r="G64" s="54" t="s">
        <v>132</v>
      </c>
      <c r="H64" s="3" t="s">
        <v>133</v>
      </c>
      <c r="I64" s="3" t="s">
        <v>32</v>
      </c>
      <c r="J64" s="1"/>
      <c r="K64" s="1"/>
      <c r="L64" s="1"/>
      <c r="M64" s="1"/>
      <c r="N64" s="22"/>
      <c r="O64" s="1"/>
    </row>
    <row r="65" spans="1:15" ht="15.5" x14ac:dyDescent="0.35">
      <c r="A65" s="1" t="str">
        <f t="shared" si="0"/>
        <v>RC0603FR-07430RL</v>
      </c>
      <c r="B65" s="1" t="str">
        <f t="shared" si="1"/>
        <v>Резистор номиналом 430 Ом 1% 0603</v>
      </c>
      <c r="C65" s="3" t="s">
        <v>26</v>
      </c>
      <c r="D65" s="3" t="s">
        <v>29</v>
      </c>
      <c r="E65" s="3" t="s">
        <v>26</v>
      </c>
      <c r="F65" s="60" t="s">
        <v>308</v>
      </c>
      <c r="G65" s="54" t="s">
        <v>132</v>
      </c>
      <c r="H65" s="3" t="s">
        <v>133</v>
      </c>
      <c r="I65" s="3" t="s">
        <v>32</v>
      </c>
      <c r="J65" s="1"/>
      <c r="K65" s="1"/>
      <c r="L65" s="1"/>
      <c r="M65" s="1"/>
      <c r="N65" s="23"/>
      <c r="O65" s="1"/>
    </row>
    <row r="66" spans="1:15" ht="15.5" x14ac:dyDescent="0.35">
      <c r="A66" s="1" t="str">
        <f t="shared" si="0"/>
        <v>RC0603FR-07470RL</v>
      </c>
      <c r="B66" s="1" t="str">
        <f t="shared" si="1"/>
        <v>Резистор номиналом 470 Ом 1% 0603</v>
      </c>
      <c r="C66" s="3" t="s">
        <v>26</v>
      </c>
      <c r="D66" s="3" t="s">
        <v>29</v>
      </c>
      <c r="E66" s="3" t="s">
        <v>26</v>
      </c>
      <c r="F66" s="60" t="s">
        <v>309</v>
      </c>
      <c r="G66" s="54" t="s">
        <v>132</v>
      </c>
      <c r="H66" s="3" t="s">
        <v>133</v>
      </c>
      <c r="I66" s="3" t="s">
        <v>32</v>
      </c>
      <c r="J66" s="1" t="s">
        <v>843</v>
      </c>
      <c r="K66" s="1" t="s">
        <v>853</v>
      </c>
      <c r="L66" s="1"/>
      <c r="M66" s="1"/>
      <c r="N66" s="22"/>
      <c r="O66" s="1"/>
    </row>
    <row r="67" spans="1:15" ht="15.5" x14ac:dyDescent="0.35">
      <c r="A67" s="1" t="str">
        <f t="shared" ref="A67:A130" si="2">_xlfn.LET(
    _xlpm.raw, SUBSTITUTE(F67,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LEFT(I67, 4) &amp; "FR-07" &amp; _xlpm.yCode &amp; "L"
)</f>
        <v>RC0603FR-07510RL</v>
      </c>
      <c r="B67" s="1" t="str">
        <f t="shared" ref="B67:B130" si="3">"Резистор номиналом " &amp; F67 &amp; " Ом " &amp; G67 &amp; " " &amp; LEFT(I67, 4)</f>
        <v>Резистор номиналом 510 Ом 1% 0603</v>
      </c>
      <c r="C67" s="3" t="s">
        <v>26</v>
      </c>
      <c r="D67" s="3" t="s">
        <v>29</v>
      </c>
      <c r="E67" s="3" t="s">
        <v>26</v>
      </c>
      <c r="F67" s="60" t="s">
        <v>310</v>
      </c>
      <c r="G67" s="54" t="s">
        <v>132</v>
      </c>
      <c r="H67" s="3" t="s">
        <v>133</v>
      </c>
      <c r="I67" s="3" t="s">
        <v>32</v>
      </c>
      <c r="J67" s="3" t="s">
        <v>551</v>
      </c>
      <c r="K67" s="1" t="s">
        <v>550</v>
      </c>
      <c r="L67" s="1"/>
      <c r="M67" s="1"/>
      <c r="N67" s="23"/>
      <c r="O67" s="1"/>
    </row>
    <row r="68" spans="1:15" ht="15.5" x14ac:dyDescent="0.35">
      <c r="A68" s="1" t="str">
        <f t="shared" si="2"/>
        <v>RC0603FR-07560RL</v>
      </c>
      <c r="B68" s="1" t="str">
        <f t="shared" si="3"/>
        <v>Резистор номиналом 560 Ом 1% 0603</v>
      </c>
      <c r="C68" s="3" t="s">
        <v>26</v>
      </c>
      <c r="D68" s="3" t="s">
        <v>29</v>
      </c>
      <c r="E68" s="3" t="s">
        <v>26</v>
      </c>
      <c r="F68" s="60" t="s">
        <v>311</v>
      </c>
      <c r="G68" s="54" t="s">
        <v>132</v>
      </c>
      <c r="H68" s="3" t="s">
        <v>133</v>
      </c>
      <c r="I68" s="3" t="s">
        <v>32</v>
      </c>
      <c r="J68" s="1"/>
      <c r="K68" s="1"/>
      <c r="L68" s="1"/>
      <c r="M68" s="1"/>
      <c r="N68" s="22"/>
      <c r="O68" s="1"/>
    </row>
    <row r="69" spans="1:15" ht="15.5" x14ac:dyDescent="0.35">
      <c r="A69" s="1" t="str">
        <f t="shared" si="2"/>
        <v>RC0603FR-07620RL</v>
      </c>
      <c r="B69" s="1" t="str">
        <f t="shared" si="3"/>
        <v>Резистор номиналом 620 Ом 1% 0603</v>
      </c>
      <c r="C69" s="3" t="s">
        <v>26</v>
      </c>
      <c r="D69" s="3" t="s">
        <v>29</v>
      </c>
      <c r="E69" s="3" t="s">
        <v>26</v>
      </c>
      <c r="F69" s="60" t="s">
        <v>312</v>
      </c>
      <c r="G69" s="54" t="s">
        <v>132</v>
      </c>
      <c r="H69" s="3" t="s">
        <v>133</v>
      </c>
      <c r="I69" s="3" t="s">
        <v>32</v>
      </c>
      <c r="J69" s="1"/>
      <c r="K69" s="1"/>
      <c r="L69" s="1"/>
      <c r="M69" s="1"/>
      <c r="N69" s="23"/>
      <c r="O69" s="1"/>
    </row>
    <row r="70" spans="1:15" ht="15.5" x14ac:dyDescent="0.35">
      <c r="A70" s="1" t="str">
        <f t="shared" si="2"/>
        <v>RC0603FR-07680RL</v>
      </c>
      <c r="B70" s="1" t="str">
        <f t="shared" si="3"/>
        <v>Резистор номиналом 680 Ом 1% 0603</v>
      </c>
      <c r="C70" s="3" t="s">
        <v>26</v>
      </c>
      <c r="D70" s="3" t="s">
        <v>29</v>
      </c>
      <c r="E70" s="3" t="s">
        <v>26</v>
      </c>
      <c r="F70" s="60" t="s">
        <v>313</v>
      </c>
      <c r="G70" s="54" t="s">
        <v>132</v>
      </c>
      <c r="H70" s="3" t="s">
        <v>133</v>
      </c>
      <c r="I70" s="3" t="s">
        <v>32</v>
      </c>
      <c r="J70" s="1"/>
      <c r="K70" s="1"/>
      <c r="L70" s="1"/>
      <c r="M70" s="1"/>
      <c r="N70" s="22"/>
      <c r="O70" s="1"/>
    </row>
    <row r="71" spans="1:15" ht="15.5" x14ac:dyDescent="0.35">
      <c r="A71" s="1" t="str">
        <f t="shared" si="2"/>
        <v>RC0603FR-07750RL</v>
      </c>
      <c r="B71" s="1" t="str">
        <f t="shared" si="3"/>
        <v>Резистор номиналом 750 Ом 1% 0603</v>
      </c>
      <c r="C71" s="3" t="s">
        <v>26</v>
      </c>
      <c r="D71" s="3" t="s">
        <v>29</v>
      </c>
      <c r="E71" s="3" t="s">
        <v>26</v>
      </c>
      <c r="F71" s="60" t="s">
        <v>314</v>
      </c>
      <c r="G71" s="54" t="s">
        <v>132</v>
      </c>
      <c r="H71" s="3" t="s">
        <v>133</v>
      </c>
      <c r="I71" s="3" t="s">
        <v>32</v>
      </c>
      <c r="J71" s="1"/>
      <c r="K71" s="1"/>
      <c r="L71" s="1"/>
      <c r="M71" s="1"/>
      <c r="N71" s="23"/>
      <c r="O71" s="1"/>
    </row>
    <row r="72" spans="1:15" ht="15.5" x14ac:dyDescent="0.35">
      <c r="A72" s="1" t="str">
        <f t="shared" si="2"/>
        <v>RC0603FR-07820RL</v>
      </c>
      <c r="B72" s="1" t="str">
        <f t="shared" si="3"/>
        <v>Резистор номиналом 820 Ом 1% 0603</v>
      </c>
      <c r="C72" s="3" t="s">
        <v>26</v>
      </c>
      <c r="D72" s="3" t="s">
        <v>29</v>
      </c>
      <c r="E72" s="3" t="s">
        <v>26</v>
      </c>
      <c r="F72" s="60" t="s">
        <v>350</v>
      </c>
      <c r="G72" s="54" t="s">
        <v>132</v>
      </c>
      <c r="H72" s="3" t="s">
        <v>133</v>
      </c>
      <c r="I72" s="3" t="s">
        <v>32</v>
      </c>
      <c r="J72" s="1"/>
      <c r="K72" s="1"/>
      <c r="L72" s="1"/>
      <c r="M72" s="1"/>
      <c r="N72" s="22"/>
      <c r="O72" s="1"/>
    </row>
    <row r="73" spans="1:15" ht="15.5" x14ac:dyDescent="0.35">
      <c r="A73" s="1" t="str">
        <f t="shared" si="2"/>
        <v>RC0603FR-07910RL</v>
      </c>
      <c r="B73" s="1" t="str">
        <f t="shared" si="3"/>
        <v>Резистор номиналом 910 Ом 1% 0603</v>
      </c>
      <c r="C73" s="3" t="s">
        <v>26</v>
      </c>
      <c r="D73" s="3" t="s">
        <v>29</v>
      </c>
      <c r="E73" s="3" t="s">
        <v>26</v>
      </c>
      <c r="F73" s="60" t="s">
        <v>315</v>
      </c>
      <c r="G73" s="54" t="s">
        <v>132</v>
      </c>
      <c r="H73" s="3" t="s">
        <v>133</v>
      </c>
      <c r="I73" s="3" t="s">
        <v>32</v>
      </c>
      <c r="J73" s="1"/>
      <c r="K73" s="1"/>
      <c r="L73" s="1"/>
      <c r="M73" s="1"/>
      <c r="N73" s="23"/>
      <c r="O73" s="1"/>
    </row>
    <row r="74" spans="1:15" ht="15.5" x14ac:dyDescent="0.35">
      <c r="A74" s="1" t="str">
        <f t="shared" si="2"/>
        <v>RC0603FR-071KL</v>
      </c>
      <c r="B74" s="1" t="str">
        <f t="shared" si="3"/>
        <v>Резистор номиналом 1,0 к Ом 1% 0603</v>
      </c>
      <c r="C74" s="3" t="s">
        <v>26</v>
      </c>
      <c r="D74" s="3" t="s">
        <v>29</v>
      </c>
      <c r="E74" s="3" t="s">
        <v>26</v>
      </c>
      <c r="F74" s="60" t="s">
        <v>316</v>
      </c>
      <c r="G74" s="54" t="s">
        <v>132</v>
      </c>
      <c r="H74" s="3" t="s">
        <v>133</v>
      </c>
      <c r="I74" s="3" t="s">
        <v>32</v>
      </c>
      <c r="J74" s="3" t="s">
        <v>843</v>
      </c>
      <c r="K74" s="1" t="s">
        <v>844</v>
      </c>
      <c r="L74" s="1"/>
      <c r="M74" s="1"/>
      <c r="N74" s="22"/>
      <c r="O74" s="1"/>
    </row>
    <row r="75" spans="1:15" ht="15.5" x14ac:dyDescent="0.35">
      <c r="A75" s="1" t="str">
        <f t="shared" si="2"/>
        <v>RC0603FR-071K1L</v>
      </c>
      <c r="B75" s="1" t="str">
        <f t="shared" si="3"/>
        <v>Резистор номиналом 1,1 к Ом 1% 0603</v>
      </c>
      <c r="C75" s="3" t="s">
        <v>26</v>
      </c>
      <c r="D75" s="3" t="s">
        <v>29</v>
      </c>
      <c r="E75" s="3" t="s">
        <v>26</v>
      </c>
      <c r="F75" s="60" t="s">
        <v>149</v>
      </c>
      <c r="G75" s="54" t="s">
        <v>132</v>
      </c>
      <c r="H75" s="3" t="s">
        <v>133</v>
      </c>
      <c r="I75" s="3" t="s">
        <v>32</v>
      </c>
      <c r="J75" s="1"/>
      <c r="K75" s="1"/>
      <c r="L75" s="1"/>
      <c r="M75" s="1"/>
      <c r="N75" s="23"/>
      <c r="O75" s="1"/>
    </row>
    <row r="76" spans="1:15" ht="15.5" x14ac:dyDescent="0.35">
      <c r="A76" s="1" t="str">
        <f t="shared" si="2"/>
        <v>RC0603FR-071K2L</v>
      </c>
      <c r="B76" s="1" t="str">
        <f t="shared" si="3"/>
        <v>Резистор номиналом 1,2 к Ом 1% 0603</v>
      </c>
      <c r="C76" s="3" t="s">
        <v>26</v>
      </c>
      <c r="D76" s="3" t="s">
        <v>29</v>
      </c>
      <c r="E76" s="3" t="s">
        <v>26</v>
      </c>
      <c r="F76" s="60" t="s">
        <v>150</v>
      </c>
      <c r="G76" s="54" t="s">
        <v>132</v>
      </c>
      <c r="H76" s="3" t="s">
        <v>133</v>
      </c>
      <c r="I76" s="3" t="s">
        <v>32</v>
      </c>
      <c r="J76" s="1"/>
      <c r="K76" s="1"/>
      <c r="L76" s="1"/>
      <c r="M76" s="1"/>
      <c r="N76" s="22"/>
      <c r="O76" s="1"/>
    </row>
    <row r="77" spans="1:15" ht="15" customHeight="1" x14ac:dyDescent="0.35">
      <c r="A77" s="1" t="str">
        <f t="shared" si="2"/>
        <v>RC0603FR-071K21L</v>
      </c>
      <c r="B77" s="1" t="str">
        <f t="shared" si="3"/>
        <v>Резистор номиналом 1,21 к Ом 1% 0603</v>
      </c>
      <c r="C77" s="3" t="s">
        <v>26</v>
      </c>
      <c r="D77" s="3" t="s">
        <v>29</v>
      </c>
      <c r="E77" s="3" t="s">
        <v>26</v>
      </c>
      <c r="F77" s="60" t="s">
        <v>916</v>
      </c>
      <c r="G77" s="54" t="s">
        <v>132</v>
      </c>
      <c r="H77" s="3" t="s">
        <v>133</v>
      </c>
      <c r="I77" s="3" t="s">
        <v>32</v>
      </c>
      <c r="J77" s="1"/>
      <c r="K77" s="1"/>
      <c r="L77" s="1"/>
      <c r="M77" s="1"/>
      <c r="N77" s="23"/>
      <c r="O77" s="1"/>
    </row>
    <row r="78" spans="1:15" ht="15.5" x14ac:dyDescent="0.35">
      <c r="A78" s="1" t="str">
        <f t="shared" si="2"/>
        <v>RC0603FR-071K3L</v>
      </c>
      <c r="B78" s="1" t="str">
        <f t="shared" si="3"/>
        <v>Резистор номиналом 1,3 к Ом 1% 0603</v>
      </c>
      <c r="C78" s="3" t="s">
        <v>26</v>
      </c>
      <c r="D78" s="3" t="s">
        <v>29</v>
      </c>
      <c r="E78" s="3" t="s">
        <v>26</v>
      </c>
      <c r="F78" s="60" t="s">
        <v>151</v>
      </c>
      <c r="G78" s="54" t="s">
        <v>132</v>
      </c>
      <c r="H78" s="3" t="s">
        <v>133</v>
      </c>
      <c r="I78" s="3" t="s">
        <v>32</v>
      </c>
      <c r="J78" s="1"/>
      <c r="K78" s="1"/>
      <c r="L78" s="1"/>
      <c r="M78" s="1"/>
      <c r="N78" s="22"/>
      <c r="O78" s="1"/>
    </row>
    <row r="79" spans="1:15" ht="15.5" x14ac:dyDescent="0.35">
      <c r="A79" s="1" t="str">
        <f t="shared" si="2"/>
        <v>RC0603FR-071K5L</v>
      </c>
      <c r="B79" s="1" t="str">
        <f t="shared" si="3"/>
        <v>Резистор номиналом 1,5 к Ом 1% 0603</v>
      </c>
      <c r="C79" s="3" t="s">
        <v>26</v>
      </c>
      <c r="D79" s="3" t="s">
        <v>29</v>
      </c>
      <c r="E79" s="3" t="s">
        <v>26</v>
      </c>
      <c r="F79" s="60" t="s">
        <v>152</v>
      </c>
      <c r="G79" s="54" t="s">
        <v>132</v>
      </c>
      <c r="H79" s="3" t="s">
        <v>133</v>
      </c>
      <c r="I79" s="3" t="s">
        <v>32</v>
      </c>
      <c r="J79" s="1"/>
      <c r="K79" s="1"/>
      <c r="L79" s="1"/>
      <c r="M79" s="1"/>
      <c r="N79" s="23"/>
      <c r="O79" s="1"/>
    </row>
    <row r="80" spans="1:15" ht="15.5" x14ac:dyDescent="0.35">
      <c r="A80" s="1" t="str">
        <f t="shared" si="2"/>
        <v>RC0603FR-071K6L</v>
      </c>
      <c r="B80" s="1" t="str">
        <f t="shared" si="3"/>
        <v>Резистор номиналом 1,6 к Ом 1% 0603</v>
      </c>
      <c r="C80" s="3" t="s">
        <v>26</v>
      </c>
      <c r="D80" s="3" t="s">
        <v>29</v>
      </c>
      <c r="E80" s="3" t="s">
        <v>26</v>
      </c>
      <c r="F80" s="60" t="s">
        <v>153</v>
      </c>
      <c r="G80" s="54" t="s">
        <v>132</v>
      </c>
      <c r="H80" s="3" t="s">
        <v>133</v>
      </c>
      <c r="I80" s="3" t="s">
        <v>32</v>
      </c>
      <c r="J80" s="3" t="s">
        <v>551</v>
      </c>
      <c r="K80" s="1" t="s">
        <v>550</v>
      </c>
      <c r="L80" s="1"/>
      <c r="M80" s="1"/>
      <c r="N80" s="22"/>
      <c r="O80" s="1"/>
    </row>
    <row r="81" spans="1:15" ht="15.5" x14ac:dyDescent="0.35">
      <c r="A81" s="1" t="str">
        <f t="shared" si="2"/>
        <v>RC0603FR-071K8L</v>
      </c>
      <c r="B81" s="1" t="str">
        <f t="shared" si="3"/>
        <v>Резистор номиналом 1,8 к Ом 1% 0603</v>
      </c>
      <c r="C81" s="3" t="s">
        <v>26</v>
      </c>
      <c r="D81" s="3" t="s">
        <v>29</v>
      </c>
      <c r="E81" s="3" t="s">
        <v>26</v>
      </c>
      <c r="F81" s="60" t="s">
        <v>154</v>
      </c>
      <c r="G81" s="54" t="s">
        <v>132</v>
      </c>
      <c r="H81" s="3" t="s">
        <v>133</v>
      </c>
      <c r="I81" s="3" t="s">
        <v>32</v>
      </c>
      <c r="J81" s="1"/>
      <c r="K81" s="1"/>
      <c r="L81" s="1"/>
      <c r="M81" s="1"/>
      <c r="N81" s="23"/>
      <c r="O81" s="1"/>
    </row>
    <row r="82" spans="1:15" ht="15.5" x14ac:dyDescent="0.35">
      <c r="A82" s="1" t="str">
        <f t="shared" si="2"/>
        <v>RC0603FR-072KL</v>
      </c>
      <c r="B82" s="1" t="str">
        <f t="shared" si="3"/>
        <v>Резистор номиналом 2,0 к Ом 1% 0603</v>
      </c>
      <c r="C82" s="3" t="s">
        <v>26</v>
      </c>
      <c r="D82" s="3" t="s">
        <v>29</v>
      </c>
      <c r="E82" s="3" t="s">
        <v>26</v>
      </c>
      <c r="F82" s="60" t="s">
        <v>317</v>
      </c>
      <c r="G82" s="54" t="s">
        <v>132</v>
      </c>
      <c r="H82" s="3" t="s">
        <v>133</v>
      </c>
      <c r="I82" s="3" t="s">
        <v>32</v>
      </c>
      <c r="J82" s="1" t="s">
        <v>843</v>
      </c>
      <c r="K82" s="1" t="s">
        <v>845</v>
      </c>
      <c r="L82" s="1"/>
      <c r="M82" s="1"/>
      <c r="N82" s="22"/>
      <c r="O82" s="1"/>
    </row>
    <row r="83" spans="1:15" ht="15.5" x14ac:dyDescent="0.35">
      <c r="A83" s="1" t="str">
        <f t="shared" si="2"/>
        <v>RC0603FR-072K2L</v>
      </c>
      <c r="B83" s="1" t="str">
        <f t="shared" si="3"/>
        <v>Резистор номиналом 2,2 к Ом 1% 0603</v>
      </c>
      <c r="C83" s="3" t="s">
        <v>26</v>
      </c>
      <c r="D83" s="3" t="s">
        <v>29</v>
      </c>
      <c r="E83" s="3" t="s">
        <v>26</v>
      </c>
      <c r="F83" s="60" t="s">
        <v>155</v>
      </c>
      <c r="G83" s="54" t="s">
        <v>132</v>
      </c>
      <c r="H83" s="3" t="s">
        <v>133</v>
      </c>
      <c r="I83" s="3" t="s">
        <v>32</v>
      </c>
      <c r="J83" s="1"/>
      <c r="K83" s="1"/>
      <c r="L83" s="1"/>
      <c r="M83" s="1"/>
      <c r="N83" s="23"/>
      <c r="O83" s="1"/>
    </row>
    <row r="84" spans="1:15" ht="15.5" x14ac:dyDescent="0.35">
      <c r="A84" s="1" t="str">
        <f t="shared" si="2"/>
        <v>RC0603FR-072K4L</v>
      </c>
      <c r="B84" s="1" t="str">
        <f t="shared" si="3"/>
        <v>Резистор номиналом 2,4 к Ом 1% 0603</v>
      </c>
      <c r="C84" s="3" t="s">
        <v>26</v>
      </c>
      <c r="D84" s="3" t="s">
        <v>29</v>
      </c>
      <c r="E84" s="3" t="s">
        <v>26</v>
      </c>
      <c r="F84" s="60" t="s">
        <v>156</v>
      </c>
      <c r="G84" s="54" t="s">
        <v>132</v>
      </c>
      <c r="H84" s="3" t="s">
        <v>133</v>
      </c>
      <c r="I84" s="3" t="s">
        <v>32</v>
      </c>
      <c r="J84" s="1"/>
      <c r="K84" s="1"/>
      <c r="L84" s="1"/>
      <c r="M84" s="1"/>
      <c r="N84" s="22"/>
      <c r="O84" s="1"/>
    </row>
    <row r="85" spans="1:15" ht="15.5" x14ac:dyDescent="0.35">
      <c r="A85" s="1" t="str">
        <f t="shared" si="2"/>
        <v>RC0603FR-072K7L</v>
      </c>
      <c r="B85" s="1" t="str">
        <f t="shared" si="3"/>
        <v>Резистор номиналом 2,7 к Ом 1% 0603</v>
      </c>
      <c r="C85" s="3" t="s">
        <v>26</v>
      </c>
      <c r="D85" s="3" t="s">
        <v>29</v>
      </c>
      <c r="E85" s="3" t="s">
        <v>26</v>
      </c>
      <c r="F85" s="60" t="s">
        <v>318</v>
      </c>
      <c r="G85" s="54" t="s">
        <v>132</v>
      </c>
      <c r="H85" s="3" t="s">
        <v>133</v>
      </c>
      <c r="I85" s="3" t="s">
        <v>32</v>
      </c>
      <c r="J85" s="1"/>
      <c r="K85" s="1"/>
      <c r="L85" s="1"/>
      <c r="M85" s="1"/>
      <c r="N85" s="23"/>
      <c r="O85" s="1"/>
    </row>
    <row r="86" spans="1:15" ht="15.5" x14ac:dyDescent="0.35">
      <c r="A86" s="1" t="str">
        <f t="shared" si="2"/>
        <v>RC0603FR-073KL</v>
      </c>
      <c r="B86" s="1" t="str">
        <f t="shared" si="3"/>
        <v>Резистор номиналом 3,0 к Ом 1% 0603</v>
      </c>
      <c r="C86" s="3" t="s">
        <v>26</v>
      </c>
      <c r="D86" s="3" t="s">
        <v>29</v>
      </c>
      <c r="E86" s="3" t="s">
        <v>26</v>
      </c>
      <c r="F86" s="60" t="s">
        <v>319</v>
      </c>
      <c r="G86" s="54" t="s">
        <v>132</v>
      </c>
      <c r="H86" s="3" t="s">
        <v>133</v>
      </c>
      <c r="I86" s="3" t="s">
        <v>32</v>
      </c>
      <c r="J86" s="3" t="s">
        <v>551</v>
      </c>
      <c r="K86" s="1" t="s">
        <v>550</v>
      </c>
      <c r="L86" s="1"/>
      <c r="M86" s="1"/>
      <c r="N86" s="22"/>
      <c r="O86" s="1"/>
    </row>
    <row r="87" spans="1:15" ht="15.5" x14ac:dyDescent="0.35">
      <c r="A87" s="1" t="str">
        <f t="shared" si="2"/>
        <v>RC0603FR-073K3L</v>
      </c>
      <c r="B87" s="1" t="str">
        <f t="shared" si="3"/>
        <v>Резистор номиналом 3,3 к Ом 1% 0603</v>
      </c>
      <c r="C87" s="3" t="s">
        <v>26</v>
      </c>
      <c r="D87" s="3" t="s">
        <v>29</v>
      </c>
      <c r="E87" s="3" t="s">
        <v>26</v>
      </c>
      <c r="F87" s="60" t="s">
        <v>320</v>
      </c>
      <c r="G87" s="54" t="s">
        <v>132</v>
      </c>
      <c r="H87" s="3" t="s">
        <v>133</v>
      </c>
      <c r="I87" s="3" t="s">
        <v>32</v>
      </c>
      <c r="J87" s="3" t="s">
        <v>795</v>
      </c>
      <c r="K87" s="1" t="s">
        <v>796</v>
      </c>
      <c r="L87" s="1"/>
      <c r="M87" s="1"/>
      <c r="N87" s="23"/>
      <c r="O87" s="1"/>
    </row>
    <row r="88" spans="1:15" ht="15.5" x14ac:dyDescent="0.35">
      <c r="A88" s="1" t="str">
        <f t="shared" si="2"/>
        <v>RC0603FR-073K6L</v>
      </c>
      <c r="B88" s="1" t="str">
        <f t="shared" si="3"/>
        <v>Резистор номиналом 3,6 к Ом 1% 0603</v>
      </c>
      <c r="C88" s="3" t="s">
        <v>26</v>
      </c>
      <c r="D88" s="3" t="s">
        <v>29</v>
      </c>
      <c r="E88" s="3" t="s">
        <v>26</v>
      </c>
      <c r="F88" s="60" t="s">
        <v>321</v>
      </c>
      <c r="G88" s="54" t="s">
        <v>132</v>
      </c>
      <c r="H88" s="3" t="s">
        <v>133</v>
      </c>
      <c r="I88" s="3" t="s">
        <v>32</v>
      </c>
      <c r="J88" s="1"/>
      <c r="K88" s="1"/>
      <c r="L88" s="1"/>
      <c r="M88" s="1"/>
      <c r="N88" s="22"/>
      <c r="O88" s="1"/>
    </row>
    <row r="89" spans="1:15" ht="15.5" x14ac:dyDescent="0.35">
      <c r="A89" s="1" t="str">
        <f t="shared" si="2"/>
        <v>RC0603FR-073K9L</v>
      </c>
      <c r="B89" s="1" t="str">
        <f t="shared" si="3"/>
        <v>Резистор номиналом 3,9 к Ом 1% 0603</v>
      </c>
      <c r="C89" s="3" t="s">
        <v>26</v>
      </c>
      <c r="D89" s="3" t="s">
        <v>29</v>
      </c>
      <c r="E89" s="3" t="s">
        <v>26</v>
      </c>
      <c r="F89" s="60" t="s">
        <v>322</v>
      </c>
      <c r="G89" s="54" t="s">
        <v>132</v>
      </c>
      <c r="H89" s="3" t="s">
        <v>133</v>
      </c>
      <c r="I89" s="3" t="s">
        <v>32</v>
      </c>
      <c r="J89" s="1"/>
      <c r="K89" s="1"/>
      <c r="L89" s="1"/>
      <c r="M89" s="1"/>
      <c r="N89" s="23"/>
      <c r="O89" s="1"/>
    </row>
    <row r="90" spans="1:15" ht="15.5" x14ac:dyDescent="0.35">
      <c r="A90" s="1" t="str">
        <f t="shared" si="2"/>
        <v>RC0603FR-074K3L</v>
      </c>
      <c r="B90" s="1" t="str">
        <f t="shared" si="3"/>
        <v>Резистор номиналом 4,3 к Ом 1% 0603</v>
      </c>
      <c r="C90" s="3" t="s">
        <v>26</v>
      </c>
      <c r="D90" s="3" t="s">
        <v>29</v>
      </c>
      <c r="E90" s="3" t="s">
        <v>26</v>
      </c>
      <c r="F90" s="60" t="s">
        <v>323</v>
      </c>
      <c r="G90" s="54" t="s">
        <v>132</v>
      </c>
      <c r="H90" s="3" t="s">
        <v>133</v>
      </c>
      <c r="I90" s="3" t="s">
        <v>32</v>
      </c>
      <c r="J90" s="1"/>
      <c r="K90" s="1"/>
      <c r="L90" s="1"/>
      <c r="M90" s="1"/>
      <c r="N90" s="22"/>
      <c r="O90" s="1"/>
    </row>
    <row r="91" spans="1:15" ht="15.5" x14ac:dyDescent="0.35">
      <c r="A91" s="1" t="str">
        <f t="shared" si="2"/>
        <v>RC0603FR-074K7L</v>
      </c>
      <c r="B91" s="1" t="str">
        <f t="shared" si="3"/>
        <v>Резистор номиналом 4,7 к Ом 1% 0603</v>
      </c>
      <c r="C91" s="3" t="s">
        <v>26</v>
      </c>
      <c r="D91" s="3" t="s">
        <v>29</v>
      </c>
      <c r="E91" s="3" t="s">
        <v>26</v>
      </c>
      <c r="F91" s="60" t="s">
        <v>324</v>
      </c>
      <c r="G91" s="54" t="s">
        <v>132</v>
      </c>
      <c r="H91" s="3" t="s">
        <v>133</v>
      </c>
      <c r="I91" s="3" t="s">
        <v>32</v>
      </c>
      <c r="J91" s="1" t="s">
        <v>843</v>
      </c>
      <c r="K91" s="1" t="s">
        <v>846</v>
      </c>
      <c r="L91" s="1"/>
      <c r="M91" s="1"/>
      <c r="N91" s="23"/>
      <c r="O91" s="1"/>
    </row>
    <row r="92" spans="1:15" ht="15.5" x14ac:dyDescent="0.35">
      <c r="A92" s="1" t="str">
        <f t="shared" si="2"/>
        <v>RC0603FR-075K1L</v>
      </c>
      <c r="B92" s="1" t="str">
        <f t="shared" si="3"/>
        <v>Резистор номиналом 5,1 к Ом 1% 0603</v>
      </c>
      <c r="C92" s="3" t="s">
        <v>26</v>
      </c>
      <c r="D92" s="3" t="s">
        <v>29</v>
      </c>
      <c r="E92" s="3" t="s">
        <v>26</v>
      </c>
      <c r="F92" s="60" t="s">
        <v>157</v>
      </c>
      <c r="G92" s="54" t="s">
        <v>132</v>
      </c>
      <c r="H92" s="3" t="s">
        <v>133</v>
      </c>
      <c r="I92" s="3" t="s">
        <v>32</v>
      </c>
      <c r="J92" s="1"/>
      <c r="K92" s="1"/>
      <c r="L92" s="1"/>
      <c r="M92" s="1"/>
      <c r="N92" s="22"/>
      <c r="O92" s="1"/>
    </row>
    <row r="93" spans="1:15" ht="15.5" x14ac:dyDescent="0.35">
      <c r="A93" s="1" t="str">
        <f t="shared" si="2"/>
        <v>RC0603FR-075K6L</v>
      </c>
      <c r="B93" s="1" t="str">
        <f t="shared" si="3"/>
        <v>Резистор номиналом 5,6 к Ом 1% 0603</v>
      </c>
      <c r="C93" s="3" t="s">
        <v>26</v>
      </c>
      <c r="D93" s="3" t="s">
        <v>29</v>
      </c>
      <c r="E93" s="3" t="s">
        <v>26</v>
      </c>
      <c r="F93" s="60" t="s">
        <v>158</v>
      </c>
      <c r="G93" s="54" t="s">
        <v>132</v>
      </c>
      <c r="H93" s="3" t="s">
        <v>133</v>
      </c>
      <c r="I93" s="3" t="s">
        <v>32</v>
      </c>
      <c r="J93" s="1"/>
      <c r="K93" s="1"/>
      <c r="L93" s="1"/>
      <c r="M93" s="1"/>
      <c r="N93" s="23"/>
      <c r="O93" s="1"/>
    </row>
    <row r="94" spans="1:15" ht="15.5" x14ac:dyDescent="0.35">
      <c r="A94" s="1" t="str">
        <f t="shared" si="2"/>
        <v>RC0603FR-076K2L</v>
      </c>
      <c r="B94" s="1" t="str">
        <f t="shared" si="3"/>
        <v>Резистор номиналом 6,2 к Ом 1% 0603</v>
      </c>
      <c r="C94" s="3" t="s">
        <v>26</v>
      </c>
      <c r="D94" s="3" t="s">
        <v>29</v>
      </c>
      <c r="E94" s="3" t="s">
        <v>26</v>
      </c>
      <c r="F94" s="60" t="s">
        <v>159</v>
      </c>
      <c r="G94" s="54" t="s">
        <v>132</v>
      </c>
      <c r="H94" s="3" t="s">
        <v>133</v>
      </c>
      <c r="I94" s="3" t="s">
        <v>32</v>
      </c>
      <c r="J94" s="1"/>
      <c r="K94" s="1"/>
      <c r="L94" s="1"/>
      <c r="M94" s="1"/>
      <c r="N94" s="22"/>
      <c r="O94" s="1"/>
    </row>
    <row r="95" spans="1:15" ht="15.5" x14ac:dyDescent="0.35">
      <c r="A95" s="1" t="str">
        <f t="shared" si="2"/>
        <v>RC0603FR-076K8L</v>
      </c>
      <c r="B95" s="1" t="str">
        <f t="shared" si="3"/>
        <v>Резистор номиналом 6,8 к Ом 1% 0603</v>
      </c>
      <c r="C95" s="3" t="s">
        <v>26</v>
      </c>
      <c r="D95" s="3" t="s">
        <v>29</v>
      </c>
      <c r="E95" s="3" t="s">
        <v>26</v>
      </c>
      <c r="F95" s="60" t="s">
        <v>160</v>
      </c>
      <c r="G95" s="54" t="s">
        <v>132</v>
      </c>
      <c r="H95" s="3" t="s">
        <v>133</v>
      </c>
      <c r="I95" s="3" t="s">
        <v>32</v>
      </c>
      <c r="J95" s="1"/>
      <c r="K95" s="1"/>
      <c r="L95" s="1"/>
      <c r="M95" s="1"/>
      <c r="N95" s="23"/>
      <c r="O95" s="1"/>
    </row>
    <row r="96" spans="1:15" ht="15.5" x14ac:dyDescent="0.35">
      <c r="A96" s="1" t="str">
        <f t="shared" si="2"/>
        <v>RC0603FR-077K5L</v>
      </c>
      <c r="B96" s="1" t="str">
        <f t="shared" si="3"/>
        <v>Резистор номиналом 7,5 к Ом 1% 0603</v>
      </c>
      <c r="C96" s="3" t="s">
        <v>26</v>
      </c>
      <c r="D96" s="3" t="s">
        <v>29</v>
      </c>
      <c r="E96" s="3" t="s">
        <v>26</v>
      </c>
      <c r="F96" s="60" t="s">
        <v>161</v>
      </c>
      <c r="G96" s="54" t="s">
        <v>132</v>
      </c>
      <c r="H96" s="3" t="s">
        <v>133</v>
      </c>
      <c r="I96" s="3" t="s">
        <v>32</v>
      </c>
      <c r="J96" s="1"/>
      <c r="K96" s="1"/>
      <c r="L96" s="1"/>
      <c r="M96" s="1"/>
      <c r="N96" s="22"/>
      <c r="O96" s="1"/>
    </row>
    <row r="97" spans="1:15" ht="15.5" x14ac:dyDescent="0.35">
      <c r="A97" s="1" t="str">
        <f t="shared" si="2"/>
        <v>RC0603FR-078K2L</v>
      </c>
      <c r="B97" s="1" t="str">
        <f t="shared" si="3"/>
        <v>Резистор номиналом 8,2 к Ом 1% 0603</v>
      </c>
      <c r="C97" s="3" t="s">
        <v>26</v>
      </c>
      <c r="D97" s="3" t="s">
        <v>29</v>
      </c>
      <c r="E97" s="3" t="s">
        <v>26</v>
      </c>
      <c r="F97" s="60" t="s">
        <v>351</v>
      </c>
      <c r="G97" s="54" t="s">
        <v>132</v>
      </c>
      <c r="H97" s="3" t="s">
        <v>133</v>
      </c>
      <c r="I97" s="3" t="s">
        <v>32</v>
      </c>
      <c r="J97" s="1"/>
      <c r="K97" s="1"/>
      <c r="L97" s="1"/>
      <c r="M97" s="1"/>
      <c r="N97" s="23"/>
      <c r="O97" s="1"/>
    </row>
    <row r="98" spans="1:15" ht="15.5" x14ac:dyDescent="0.35">
      <c r="A98" s="1" t="str">
        <f t="shared" si="2"/>
        <v>RC0603FR-079K1L</v>
      </c>
      <c r="B98" s="1" t="str">
        <f t="shared" si="3"/>
        <v>Резистор номиналом 9,1 к Ом 1% 0603</v>
      </c>
      <c r="C98" s="3" t="s">
        <v>26</v>
      </c>
      <c r="D98" s="3" t="s">
        <v>29</v>
      </c>
      <c r="E98" s="3" t="s">
        <v>26</v>
      </c>
      <c r="F98" s="60" t="s">
        <v>162</v>
      </c>
      <c r="G98" s="54" t="s">
        <v>132</v>
      </c>
      <c r="H98" s="3" t="s">
        <v>133</v>
      </c>
      <c r="I98" s="3" t="s">
        <v>32</v>
      </c>
      <c r="J98" s="1"/>
      <c r="K98" s="1"/>
      <c r="L98" s="1"/>
      <c r="M98" s="1"/>
      <c r="N98" s="22"/>
      <c r="O98" s="1"/>
    </row>
    <row r="99" spans="1:15" ht="15" customHeight="1" x14ac:dyDescent="0.35">
      <c r="A99" s="1" t="str">
        <f t="shared" si="2"/>
        <v>RC0603FR-0710KL</v>
      </c>
      <c r="B99" s="1" t="str">
        <f t="shared" si="3"/>
        <v>Резистор номиналом 10 к Ом 1% 0603</v>
      </c>
      <c r="C99" s="3" t="s">
        <v>26</v>
      </c>
      <c r="D99" s="3" t="s">
        <v>29</v>
      </c>
      <c r="E99" s="3" t="s">
        <v>26</v>
      </c>
      <c r="F99" s="60" t="s">
        <v>163</v>
      </c>
      <c r="G99" s="54" t="s">
        <v>132</v>
      </c>
      <c r="H99" s="3" t="s">
        <v>133</v>
      </c>
      <c r="I99" s="3" t="s">
        <v>32</v>
      </c>
      <c r="J99" s="3" t="s">
        <v>793</v>
      </c>
      <c r="K99" s="1" t="s">
        <v>794</v>
      </c>
      <c r="L99" s="1" t="s">
        <v>847</v>
      </c>
      <c r="M99" s="1"/>
      <c r="N99" s="23"/>
      <c r="O99" s="1"/>
    </row>
    <row r="100" spans="1:15" ht="15" customHeight="1" x14ac:dyDescent="0.35">
      <c r="A100" s="1" t="str">
        <f t="shared" si="2"/>
        <v>RC0603FR-0710K7L</v>
      </c>
      <c r="B100" s="1" t="str">
        <f t="shared" si="3"/>
        <v>Резистор номиналом 10,7 к Ом 1% 0603</v>
      </c>
      <c r="C100" s="3" t="s">
        <v>26</v>
      </c>
      <c r="D100" s="3" t="s">
        <v>29</v>
      </c>
      <c r="E100" s="3" t="s">
        <v>26</v>
      </c>
      <c r="F100" s="60" t="s">
        <v>915</v>
      </c>
      <c r="G100" s="54" t="s">
        <v>132</v>
      </c>
      <c r="H100" s="3" t="s">
        <v>133</v>
      </c>
      <c r="I100" s="3" t="s">
        <v>32</v>
      </c>
      <c r="J100" s="1"/>
      <c r="K100" s="1"/>
      <c r="L100" s="1"/>
      <c r="M100" s="1"/>
      <c r="N100" s="23"/>
      <c r="O100" s="1"/>
    </row>
    <row r="101" spans="1:15" ht="15.5" x14ac:dyDescent="0.35">
      <c r="A101" s="1" t="str">
        <f t="shared" si="2"/>
        <v>RC0603FR-0711KL</v>
      </c>
      <c r="B101" s="1" t="str">
        <f t="shared" si="3"/>
        <v>Резистор номиналом 11 к Ом 1% 0603</v>
      </c>
      <c r="C101" s="3" t="s">
        <v>26</v>
      </c>
      <c r="D101" s="3" t="s">
        <v>29</v>
      </c>
      <c r="E101" s="3" t="s">
        <v>26</v>
      </c>
      <c r="F101" s="60" t="s">
        <v>164</v>
      </c>
      <c r="G101" s="54" t="s">
        <v>132</v>
      </c>
      <c r="H101" s="3" t="s">
        <v>133</v>
      </c>
      <c r="I101" s="3" t="s">
        <v>32</v>
      </c>
      <c r="J101" s="1"/>
      <c r="K101" s="1"/>
      <c r="L101" s="1"/>
      <c r="M101" s="1"/>
      <c r="N101" s="23"/>
      <c r="O101" s="1"/>
    </row>
    <row r="102" spans="1:15" ht="15.5" x14ac:dyDescent="0.35">
      <c r="A102" s="1" t="str">
        <f t="shared" si="2"/>
        <v>RC0603FR-0712KL</v>
      </c>
      <c r="B102" s="1" t="str">
        <f t="shared" si="3"/>
        <v>Резистор номиналом 12 к Ом 1% 0603</v>
      </c>
      <c r="C102" s="3" t="s">
        <v>26</v>
      </c>
      <c r="D102" s="3" t="s">
        <v>29</v>
      </c>
      <c r="E102" s="3" t="s">
        <v>26</v>
      </c>
      <c r="F102" s="60" t="s">
        <v>325</v>
      </c>
      <c r="G102" s="54" t="s">
        <v>132</v>
      </c>
      <c r="H102" s="3" t="s">
        <v>133</v>
      </c>
      <c r="I102" s="3" t="s">
        <v>32</v>
      </c>
      <c r="J102" s="1"/>
      <c r="K102" s="1"/>
      <c r="L102" s="1"/>
      <c r="M102" s="1"/>
      <c r="N102" s="22"/>
      <c r="O102" s="1"/>
    </row>
    <row r="103" spans="1:15" ht="15" customHeight="1" x14ac:dyDescent="0.35">
      <c r="A103" s="1" t="str">
        <f t="shared" si="2"/>
        <v>RC0603FR-0712K4L</v>
      </c>
      <c r="B103" s="1" t="str">
        <f t="shared" si="3"/>
        <v>Резистор номиналом 12,4 к Ом 1% 0603</v>
      </c>
      <c r="C103" s="3" t="s">
        <v>26</v>
      </c>
      <c r="D103" s="3" t="s">
        <v>29</v>
      </c>
      <c r="E103" s="3" t="s">
        <v>26</v>
      </c>
      <c r="F103" s="60" t="s">
        <v>917</v>
      </c>
      <c r="G103" s="54" t="s">
        <v>132</v>
      </c>
      <c r="H103" s="3" t="s">
        <v>133</v>
      </c>
      <c r="I103" s="3" t="s">
        <v>32</v>
      </c>
      <c r="J103" s="1"/>
      <c r="K103" s="1"/>
      <c r="L103" s="1"/>
      <c r="M103" s="1"/>
      <c r="N103" s="23"/>
      <c r="O103" s="1"/>
    </row>
    <row r="104" spans="1:15" ht="15.5" x14ac:dyDescent="0.35">
      <c r="A104" s="1" t="str">
        <f t="shared" si="2"/>
        <v>RC0603FR-0713KL</v>
      </c>
      <c r="B104" s="1" t="str">
        <f t="shared" si="3"/>
        <v>Резистор номиналом 13 к Ом 1% 0603</v>
      </c>
      <c r="C104" s="3" t="s">
        <v>26</v>
      </c>
      <c r="D104" s="3" t="s">
        <v>29</v>
      </c>
      <c r="E104" s="3" t="s">
        <v>26</v>
      </c>
      <c r="F104" s="60" t="s">
        <v>165</v>
      </c>
      <c r="G104" s="54" t="s">
        <v>132</v>
      </c>
      <c r="H104" s="3" t="s">
        <v>133</v>
      </c>
      <c r="I104" s="3" t="s">
        <v>32</v>
      </c>
      <c r="J104" s="1"/>
      <c r="K104" s="1"/>
      <c r="L104" s="1"/>
      <c r="M104" s="1"/>
      <c r="N104" s="22"/>
      <c r="O104" s="1"/>
    </row>
    <row r="105" spans="1:15" ht="15.5" x14ac:dyDescent="0.35">
      <c r="A105" s="1" t="str">
        <f t="shared" si="2"/>
        <v>RC0603FR-0715KL</v>
      </c>
      <c r="B105" s="1" t="str">
        <f t="shared" si="3"/>
        <v>Резистор номиналом 15 к Ом 1% 0603</v>
      </c>
      <c r="C105" s="3" t="s">
        <v>26</v>
      </c>
      <c r="D105" s="3" t="s">
        <v>29</v>
      </c>
      <c r="E105" s="3" t="s">
        <v>26</v>
      </c>
      <c r="F105" s="60" t="s">
        <v>166</v>
      </c>
      <c r="G105" s="54" t="s">
        <v>132</v>
      </c>
      <c r="H105" s="3" t="s">
        <v>133</v>
      </c>
      <c r="I105" s="3" t="s">
        <v>32</v>
      </c>
      <c r="J105" s="1"/>
      <c r="K105" s="1"/>
      <c r="L105" s="1"/>
      <c r="M105" s="1"/>
      <c r="N105" s="23"/>
      <c r="O105" s="1"/>
    </row>
    <row r="106" spans="1:15" ht="15.5" x14ac:dyDescent="0.35">
      <c r="A106" s="1" t="str">
        <f t="shared" si="2"/>
        <v>RC0603FR-0716KL</v>
      </c>
      <c r="B106" s="1" t="str">
        <f t="shared" si="3"/>
        <v>Резистор номиналом 16 к Ом 1% 0603</v>
      </c>
      <c r="C106" s="3" t="s">
        <v>26</v>
      </c>
      <c r="D106" s="3" t="s">
        <v>29</v>
      </c>
      <c r="E106" s="3" t="s">
        <v>26</v>
      </c>
      <c r="F106" s="60" t="s">
        <v>167</v>
      </c>
      <c r="G106" s="54" t="s">
        <v>132</v>
      </c>
      <c r="H106" s="3" t="s">
        <v>133</v>
      </c>
      <c r="I106" s="3" t="s">
        <v>32</v>
      </c>
      <c r="J106" s="1"/>
      <c r="K106" s="1"/>
      <c r="L106" s="1"/>
      <c r="M106" s="1"/>
      <c r="N106" s="22"/>
      <c r="O106" s="1"/>
    </row>
    <row r="107" spans="1:15" ht="15.5" x14ac:dyDescent="0.35">
      <c r="A107" s="1" t="str">
        <f t="shared" si="2"/>
        <v>RC0603FR-0718KL</v>
      </c>
      <c r="B107" s="1" t="str">
        <f t="shared" si="3"/>
        <v>Резистор номиналом 18 к Ом 1% 0603</v>
      </c>
      <c r="C107" s="3" t="s">
        <v>26</v>
      </c>
      <c r="D107" s="3" t="s">
        <v>29</v>
      </c>
      <c r="E107" s="3" t="s">
        <v>26</v>
      </c>
      <c r="F107" s="60" t="s">
        <v>168</v>
      </c>
      <c r="G107" s="54" t="s">
        <v>132</v>
      </c>
      <c r="H107" s="3" t="s">
        <v>133</v>
      </c>
      <c r="I107" s="3" t="s">
        <v>32</v>
      </c>
      <c r="J107" s="1"/>
      <c r="K107" s="1"/>
      <c r="L107" s="1"/>
      <c r="M107" s="1"/>
      <c r="N107" s="23"/>
      <c r="O107" s="1"/>
    </row>
    <row r="108" spans="1:15" ht="15.5" x14ac:dyDescent="0.35">
      <c r="A108" s="1" t="str">
        <f t="shared" si="2"/>
        <v>RC0603FR-0720KL</v>
      </c>
      <c r="B108" s="1" t="str">
        <f t="shared" si="3"/>
        <v>Резистор номиналом 20 к Ом 1% 0603</v>
      </c>
      <c r="C108" s="3" t="s">
        <v>26</v>
      </c>
      <c r="D108" s="3" t="s">
        <v>29</v>
      </c>
      <c r="E108" s="3" t="s">
        <v>26</v>
      </c>
      <c r="F108" s="60" t="s">
        <v>169</v>
      </c>
      <c r="G108" s="54" t="s">
        <v>132</v>
      </c>
      <c r="H108" s="3" t="s">
        <v>133</v>
      </c>
      <c r="I108" s="3" t="s">
        <v>32</v>
      </c>
      <c r="J108" s="1" t="s">
        <v>843</v>
      </c>
      <c r="K108" s="1" t="s">
        <v>848</v>
      </c>
      <c r="L108" s="1"/>
      <c r="M108" s="1"/>
      <c r="N108" s="22"/>
      <c r="O108" s="1"/>
    </row>
    <row r="109" spans="1:15" ht="15.5" x14ac:dyDescent="0.35">
      <c r="A109" s="1" t="str">
        <f t="shared" si="2"/>
        <v>RC0603FR-0722KL</v>
      </c>
      <c r="B109" s="1" t="str">
        <f t="shared" si="3"/>
        <v>Резистор номиналом 22 к Ом 1% 0603</v>
      </c>
      <c r="C109" s="3" t="s">
        <v>26</v>
      </c>
      <c r="D109" s="3" t="s">
        <v>29</v>
      </c>
      <c r="E109" s="3" t="s">
        <v>26</v>
      </c>
      <c r="F109" s="60" t="s">
        <v>170</v>
      </c>
      <c r="G109" s="54" t="s">
        <v>132</v>
      </c>
      <c r="H109" s="3" t="s">
        <v>133</v>
      </c>
      <c r="I109" s="3" t="s">
        <v>32</v>
      </c>
      <c r="J109" s="1" t="s">
        <v>843</v>
      </c>
      <c r="K109" s="1" t="s">
        <v>849</v>
      </c>
      <c r="L109" s="1"/>
      <c r="M109" s="1"/>
      <c r="N109" s="23"/>
      <c r="O109" s="1"/>
    </row>
    <row r="110" spans="1:15" ht="15.5" x14ac:dyDescent="0.35">
      <c r="A110" s="1" t="str">
        <f t="shared" si="2"/>
        <v>RC0603FR-0724KL</v>
      </c>
      <c r="B110" s="1" t="str">
        <f t="shared" si="3"/>
        <v>Резистор номиналом 24 к Ом 1% 0603</v>
      </c>
      <c r="C110" s="3" t="s">
        <v>26</v>
      </c>
      <c r="D110" s="3" t="s">
        <v>29</v>
      </c>
      <c r="E110" s="3" t="s">
        <v>26</v>
      </c>
      <c r="F110" s="60" t="s">
        <v>171</v>
      </c>
      <c r="G110" s="54" t="s">
        <v>132</v>
      </c>
      <c r="H110" s="3" t="s">
        <v>133</v>
      </c>
      <c r="I110" s="3" t="s">
        <v>32</v>
      </c>
      <c r="J110" s="1"/>
      <c r="K110" s="1"/>
      <c r="L110" s="1"/>
      <c r="M110" s="1"/>
      <c r="N110" s="22"/>
      <c r="O110" s="1"/>
    </row>
    <row r="111" spans="1:15" ht="15.5" x14ac:dyDescent="0.35">
      <c r="A111" s="1" t="str">
        <f t="shared" si="2"/>
        <v>RC0603FR-0727KL</v>
      </c>
      <c r="B111" s="1" t="str">
        <f t="shared" si="3"/>
        <v>Резистор номиналом 27 к Ом 1% 0603</v>
      </c>
      <c r="C111" s="3" t="s">
        <v>26</v>
      </c>
      <c r="D111" s="3" t="s">
        <v>29</v>
      </c>
      <c r="E111" s="3" t="s">
        <v>26</v>
      </c>
      <c r="F111" s="60" t="s">
        <v>326</v>
      </c>
      <c r="G111" s="54" t="s">
        <v>132</v>
      </c>
      <c r="H111" s="3" t="s">
        <v>133</v>
      </c>
      <c r="I111" s="3" t="s">
        <v>32</v>
      </c>
      <c r="J111" s="1"/>
      <c r="K111" s="1"/>
      <c r="L111" s="1"/>
      <c r="M111" s="1"/>
      <c r="N111" s="23"/>
      <c r="O111" s="1"/>
    </row>
    <row r="112" spans="1:15" ht="15.5" x14ac:dyDescent="0.35">
      <c r="A112" s="1" t="str">
        <f t="shared" si="2"/>
        <v>RC0603FR-0730KL</v>
      </c>
      <c r="B112" s="1" t="str">
        <f t="shared" si="3"/>
        <v>Резистор номиналом 30 к Ом 1% 0603</v>
      </c>
      <c r="C112" s="3" t="s">
        <v>26</v>
      </c>
      <c r="D112" s="3" t="s">
        <v>29</v>
      </c>
      <c r="E112" s="3" t="s">
        <v>26</v>
      </c>
      <c r="F112" s="60" t="s">
        <v>327</v>
      </c>
      <c r="G112" s="54" t="s">
        <v>132</v>
      </c>
      <c r="H112" s="3" t="s">
        <v>133</v>
      </c>
      <c r="I112" s="3" t="s">
        <v>32</v>
      </c>
      <c r="J112" s="1"/>
      <c r="K112" s="1"/>
      <c r="L112" s="1"/>
      <c r="M112" s="1"/>
      <c r="N112" s="22"/>
      <c r="O112" s="1"/>
    </row>
    <row r="113" spans="1:15" ht="15.5" x14ac:dyDescent="0.35">
      <c r="A113" s="1" t="str">
        <f t="shared" si="2"/>
        <v>RC0603FR-0731K6L</v>
      </c>
      <c r="B113" s="1" t="str">
        <f t="shared" si="3"/>
        <v>Резистор номиналом 31,6 к Ом 1% 0603</v>
      </c>
      <c r="C113" s="3" t="s">
        <v>26</v>
      </c>
      <c r="D113" s="3" t="s">
        <v>29</v>
      </c>
      <c r="E113" s="3" t="s">
        <v>26</v>
      </c>
      <c r="F113" s="61" t="s">
        <v>508</v>
      </c>
      <c r="G113" s="54" t="s">
        <v>132</v>
      </c>
      <c r="H113" s="3" t="s">
        <v>133</v>
      </c>
      <c r="I113" s="3" t="s">
        <v>32</v>
      </c>
      <c r="J113" s="1"/>
      <c r="K113" s="1"/>
      <c r="L113" s="1"/>
      <c r="M113" s="1"/>
      <c r="N113" s="23"/>
      <c r="O113" s="1"/>
    </row>
    <row r="114" spans="1:15" ht="15.5" x14ac:dyDescent="0.35">
      <c r="A114" s="1" t="str">
        <f t="shared" si="2"/>
        <v>RC0603FR-0733KL</v>
      </c>
      <c r="B114" s="1" t="str">
        <f t="shared" si="3"/>
        <v>Резистор номиналом 33 к Ом 1% 0603</v>
      </c>
      <c r="C114" s="3" t="s">
        <v>26</v>
      </c>
      <c r="D114" s="3" t="s">
        <v>29</v>
      </c>
      <c r="E114" s="3" t="s">
        <v>26</v>
      </c>
      <c r="F114" s="60" t="s">
        <v>328</v>
      </c>
      <c r="G114" s="54" t="s">
        <v>132</v>
      </c>
      <c r="H114" s="3" t="s">
        <v>133</v>
      </c>
      <c r="I114" s="3" t="s">
        <v>32</v>
      </c>
      <c r="J114" s="1"/>
      <c r="K114" s="1"/>
      <c r="L114" s="1"/>
      <c r="M114" s="1"/>
      <c r="N114" s="22"/>
      <c r="O114" s="1"/>
    </row>
    <row r="115" spans="1:15" ht="15.5" x14ac:dyDescent="0.35">
      <c r="A115" s="1" t="str">
        <f t="shared" si="2"/>
        <v>RC0603FR-0736KL</v>
      </c>
      <c r="B115" s="1" t="str">
        <f t="shared" si="3"/>
        <v>Резистор номиналом 36 к Ом 1% 0603</v>
      </c>
      <c r="C115" s="3" t="s">
        <v>26</v>
      </c>
      <c r="D115" s="3" t="s">
        <v>29</v>
      </c>
      <c r="E115" s="3" t="s">
        <v>26</v>
      </c>
      <c r="F115" s="60" t="s">
        <v>329</v>
      </c>
      <c r="G115" s="54" t="s">
        <v>132</v>
      </c>
      <c r="H115" s="3" t="s">
        <v>133</v>
      </c>
      <c r="I115" s="3" t="s">
        <v>32</v>
      </c>
      <c r="J115" s="1"/>
      <c r="K115" s="1"/>
      <c r="L115" s="1"/>
      <c r="M115" s="1"/>
      <c r="N115" s="23"/>
      <c r="O115" s="1"/>
    </row>
    <row r="116" spans="1:15" ht="15.5" x14ac:dyDescent="0.35">
      <c r="A116" s="1" t="str">
        <f t="shared" si="2"/>
        <v>RC0603FR-0739KL</v>
      </c>
      <c r="B116" s="1" t="str">
        <f t="shared" si="3"/>
        <v>Резистор номиналом 39 к Ом 1% 0603</v>
      </c>
      <c r="C116" s="3" t="s">
        <v>26</v>
      </c>
      <c r="D116" s="3" t="s">
        <v>29</v>
      </c>
      <c r="E116" s="3" t="s">
        <v>26</v>
      </c>
      <c r="F116" s="60" t="s">
        <v>330</v>
      </c>
      <c r="G116" s="54" t="s">
        <v>132</v>
      </c>
      <c r="H116" s="3" t="s">
        <v>133</v>
      </c>
      <c r="I116" s="3" t="s">
        <v>32</v>
      </c>
      <c r="J116" s="1"/>
      <c r="K116" s="1"/>
      <c r="L116" s="1"/>
      <c r="M116" s="1"/>
      <c r="N116" s="22"/>
      <c r="O116" s="1"/>
    </row>
    <row r="117" spans="1:15" ht="15.5" x14ac:dyDescent="0.35">
      <c r="A117" s="1" t="str">
        <f t="shared" si="2"/>
        <v>RC0603FR-0743KL</v>
      </c>
      <c r="B117" s="1" t="str">
        <f t="shared" si="3"/>
        <v>Резистор номиналом 43 к Ом 1% 0603</v>
      </c>
      <c r="C117" s="3" t="s">
        <v>26</v>
      </c>
      <c r="D117" s="3" t="s">
        <v>29</v>
      </c>
      <c r="E117" s="3" t="s">
        <v>26</v>
      </c>
      <c r="F117" s="60" t="s">
        <v>331</v>
      </c>
      <c r="G117" s="54" t="s">
        <v>132</v>
      </c>
      <c r="H117" s="3" t="s">
        <v>133</v>
      </c>
      <c r="I117" s="3" t="s">
        <v>32</v>
      </c>
      <c r="J117" s="1"/>
      <c r="K117" s="1"/>
      <c r="L117" s="1"/>
      <c r="M117" s="1"/>
      <c r="N117" s="23"/>
      <c r="O117" s="1"/>
    </row>
    <row r="118" spans="1:15" ht="15.5" x14ac:dyDescent="0.35">
      <c r="A118" s="1" t="str">
        <f t="shared" si="2"/>
        <v>RC0603FR-0747KL</v>
      </c>
      <c r="B118" s="1" t="str">
        <f t="shared" si="3"/>
        <v>Резистор номиналом 47 к Ом 1% 0603</v>
      </c>
      <c r="C118" s="3" t="s">
        <v>26</v>
      </c>
      <c r="D118" s="3" t="s">
        <v>29</v>
      </c>
      <c r="E118" s="3" t="s">
        <v>26</v>
      </c>
      <c r="F118" s="60" t="s">
        <v>332</v>
      </c>
      <c r="G118" s="54" t="s">
        <v>132</v>
      </c>
      <c r="H118" s="3" t="s">
        <v>133</v>
      </c>
      <c r="I118" s="3" t="s">
        <v>32</v>
      </c>
      <c r="J118" s="1"/>
      <c r="K118" s="1"/>
      <c r="L118" s="1"/>
      <c r="M118" s="1"/>
      <c r="N118" s="22"/>
      <c r="O118" s="1"/>
    </row>
    <row r="119" spans="1:15" ht="15.5" x14ac:dyDescent="0.35">
      <c r="A119" s="1" t="str">
        <f t="shared" si="2"/>
        <v>RC0603FR-0751KL</v>
      </c>
      <c r="B119" s="1" t="str">
        <f t="shared" si="3"/>
        <v>Резистор номиналом 51 к Ом 1% 0603</v>
      </c>
      <c r="C119" s="3" t="s">
        <v>26</v>
      </c>
      <c r="D119" s="3" t="s">
        <v>29</v>
      </c>
      <c r="E119" s="3" t="s">
        <v>26</v>
      </c>
      <c r="F119" s="60" t="s">
        <v>172</v>
      </c>
      <c r="G119" s="54" t="s">
        <v>132</v>
      </c>
      <c r="H119" s="3" t="s">
        <v>133</v>
      </c>
      <c r="I119" s="3" t="s">
        <v>32</v>
      </c>
      <c r="J119" s="1"/>
      <c r="K119" s="1"/>
      <c r="L119" s="1"/>
      <c r="M119" s="1"/>
      <c r="N119" s="23"/>
      <c r="O119" s="1"/>
    </row>
    <row r="120" spans="1:15" ht="15.5" x14ac:dyDescent="0.35">
      <c r="A120" s="1" t="str">
        <f t="shared" si="2"/>
        <v>RC0603FR-0756KL</v>
      </c>
      <c r="B120" s="1" t="str">
        <f t="shared" si="3"/>
        <v>Резистор номиналом 56 к Ом 1% 0603</v>
      </c>
      <c r="C120" s="3" t="s">
        <v>26</v>
      </c>
      <c r="D120" s="3" t="s">
        <v>29</v>
      </c>
      <c r="E120" s="3" t="s">
        <v>26</v>
      </c>
      <c r="F120" s="60" t="s">
        <v>173</v>
      </c>
      <c r="G120" s="54" t="s">
        <v>132</v>
      </c>
      <c r="H120" s="3" t="s">
        <v>133</v>
      </c>
      <c r="I120" s="3" t="s">
        <v>32</v>
      </c>
      <c r="J120" s="1"/>
      <c r="K120" s="1"/>
      <c r="L120" s="1"/>
      <c r="M120" s="1"/>
      <c r="N120" s="22"/>
      <c r="O120" s="1"/>
    </row>
    <row r="121" spans="1:15" ht="15.5" x14ac:dyDescent="0.35">
      <c r="A121" s="1" t="str">
        <f t="shared" si="2"/>
        <v>RC0603FR-0762KL</v>
      </c>
      <c r="B121" s="1" t="str">
        <f t="shared" si="3"/>
        <v>Резистор номиналом 62 к Ом 1% 0603</v>
      </c>
      <c r="C121" s="3" t="s">
        <v>26</v>
      </c>
      <c r="D121" s="3" t="s">
        <v>29</v>
      </c>
      <c r="E121" s="3" t="s">
        <v>26</v>
      </c>
      <c r="F121" s="60" t="s">
        <v>174</v>
      </c>
      <c r="G121" s="54" t="s">
        <v>132</v>
      </c>
      <c r="H121" s="3" t="s">
        <v>133</v>
      </c>
      <c r="I121" s="3" t="s">
        <v>32</v>
      </c>
      <c r="J121" s="1"/>
      <c r="K121" s="1"/>
      <c r="L121" s="1"/>
      <c r="M121" s="1"/>
      <c r="N121" s="23"/>
      <c r="O121" s="1"/>
    </row>
    <row r="122" spans="1:15" ht="15.5" x14ac:dyDescent="0.35">
      <c r="A122" s="1" t="str">
        <f t="shared" si="2"/>
        <v>RC0603FR-0768KL</v>
      </c>
      <c r="B122" s="1" t="str">
        <f t="shared" si="3"/>
        <v>Резистор номиналом 68 к Ом 1% 0603</v>
      </c>
      <c r="C122" s="3" t="s">
        <v>26</v>
      </c>
      <c r="D122" s="3" t="s">
        <v>29</v>
      </c>
      <c r="E122" s="3" t="s">
        <v>26</v>
      </c>
      <c r="F122" s="60" t="s">
        <v>175</v>
      </c>
      <c r="G122" s="54" t="s">
        <v>132</v>
      </c>
      <c r="H122" s="3" t="s">
        <v>133</v>
      </c>
      <c r="I122" s="3" t="s">
        <v>32</v>
      </c>
      <c r="J122" s="1"/>
      <c r="K122" s="1"/>
      <c r="L122" s="1"/>
      <c r="M122" s="1"/>
      <c r="N122" s="22"/>
      <c r="O122" s="1"/>
    </row>
    <row r="123" spans="1:15" ht="15.5" x14ac:dyDescent="0.35">
      <c r="A123" s="1" t="str">
        <f t="shared" si="2"/>
        <v>RC0603FR-0775KL</v>
      </c>
      <c r="B123" s="1" t="str">
        <f t="shared" si="3"/>
        <v>Резистор номиналом 75 к Ом 1% 0603</v>
      </c>
      <c r="C123" s="3" t="s">
        <v>26</v>
      </c>
      <c r="D123" s="3" t="s">
        <v>29</v>
      </c>
      <c r="E123" s="3" t="s">
        <v>26</v>
      </c>
      <c r="F123" s="60" t="s">
        <v>176</v>
      </c>
      <c r="G123" s="54" t="s">
        <v>132</v>
      </c>
      <c r="H123" s="3" t="s">
        <v>133</v>
      </c>
      <c r="I123" s="3" t="s">
        <v>32</v>
      </c>
      <c r="J123" s="1"/>
      <c r="K123" s="1"/>
      <c r="L123" s="1"/>
      <c r="M123" s="1"/>
      <c r="N123" s="23"/>
      <c r="O123" s="1"/>
    </row>
    <row r="124" spans="1:15" ht="15.5" x14ac:dyDescent="0.35">
      <c r="A124" s="1" t="str">
        <f t="shared" si="2"/>
        <v>RC0603FR-0782KL</v>
      </c>
      <c r="B124" s="1" t="str">
        <f t="shared" si="3"/>
        <v>Резистор номиналом 82 к Ом 1% 0603</v>
      </c>
      <c r="C124" s="3" t="s">
        <v>26</v>
      </c>
      <c r="D124" s="3" t="s">
        <v>29</v>
      </c>
      <c r="E124" s="3" t="s">
        <v>26</v>
      </c>
      <c r="F124" s="60" t="s">
        <v>352</v>
      </c>
      <c r="G124" s="54" t="s">
        <v>132</v>
      </c>
      <c r="H124" s="3" t="s">
        <v>133</v>
      </c>
      <c r="I124" s="3" t="s">
        <v>32</v>
      </c>
      <c r="J124" s="1"/>
      <c r="K124" s="1"/>
      <c r="L124" s="1"/>
      <c r="M124" s="1"/>
      <c r="N124" s="22"/>
      <c r="O124" s="1"/>
    </row>
    <row r="125" spans="1:15" ht="15.5" x14ac:dyDescent="0.35">
      <c r="A125" s="1" t="str">
        <f t="shared" si="2"/>
        <v>RC0603FR-0791KL</v>
      </c>
      <c r="B125" s="1" t="str">
        <f t="shared" si="3"/>
        <v>Резистор номиналом 91 к Ом 1% 0603</v>
      </c>
      <c r="C125" s="3" t="s">
        <v>26</v>
      </c>
      <c r="D125" s="3" t="s">
        <v>29</v>
      </c>
      <c r="E125" s="3" t="s">
        <v>26</v>
      </c>
      <c r="F125" s="60" t="s">
        <v>177</v>
      </c>
      <c r="G125" s="54" t="s">
        <v>132</v>
      </c>
      <c r="H125" s="3" t="s">
        <v>133</v>
      </c>
      <c r="I125" s="3" t="s">
        <v>32</v>
      </c>
      <c r="J125" s="1"/>
      <c r="K125" s="1"/>
      <c r="L125" s="1"/>
      <c r="M125" s="1"/>
      <c r="N125" s="23"/>
      <c r="O125" s="1"/>
    </row>
    <row r="126" spans="1:15" ht="15.5" x14ac:dyDescent="0.35">
      <c r="A126" s="1" t="str">
        <f t="shared" si="2"/>
        <v>RC0603FR-07100KL</v>
      </c>
      <c r="B126" s="1" t="str">
        <f t="shared" si="3"/>
        <v>Резистор номиналом 100 к Ом 1% 0603</v>
      </c>
      <c r="C126" s="3" t="s">
        <v>26</v>
      </c>
      <c r="D126" s="3" t="s">
        <v>29</v>
      </c>
      <c r="E126" s="3" t="s">
        <v>26</v>
      </c>
      <c r="F126" s="60" t="s">
        <v>178</v>
      </c>
      <c r="G126" s="54" t="s">
        <v>132</v>
      </c>
      <c r="H126" s="3" t="s">
        <v>133</v>
      </c>
      <c r="I126" s="3" t="s">
        <v>32</v>
      </c>
      <c r="J126" s="1" t="s">
        <v>843</v>
      </c>
      <c r="K126" s="1" t="s">
        <v>850</v>
      </c>
      <c r="L126" s="1"/>
      <c r="M126" s="1"/>
      <c r="N126" s="22"/>
      <c r="O126" s="1"/>
    </row>
    <row r="127" spans="1:15" ht="15.5" x14ac:dyDescent="0.35">
      <c r="A127" s="1" t="str">
        <f t="shared" si="2"/>
        <v>RC0603FR-07110KL</v>
      </c>
      <c r="B127" s="1" t="str">
        <f t="shared" si="3"/>
        <v>Резистор номиналом 110 к Ом 1% 0603</v>
      </c>
      <c r="C127" s="3" t="s">
        <v>26</v>
      </c>
      <c r="D127" s="3" t="s">
        <v>29</v>
      </c>
      <c r="E127" s="3" t="s">
        <v>26</v>
      </c>
      <c r="F127" s="60" t="s">
        <v>179</v>
      </c>
      <c r="G127" s="54" t="s">
        <v>132</v>
      </c>
      <c r="H127" s="3" t="s">
        <v>133</v>
      </c>
      <c r="I127" s="3" t="s">
        <v>32</v>
      </c>
      <c r="J127" s="1"/>
      <c r="K127" s="1"/>
      <c r="L127" s="1"/>
      <c r="M127" s="1"/>
      <c r="N127" s="23"/>
      <c r="O127" s="1"/>
    </row>
    <row r="128" spans="1:15" ht="15.5" x14ac:dyDescent="0.35">
      <c r="A128" s="1" t="str">
        <f t="shared" si="2"/>
        <v>RC0603FR-07120KL</v>
      </c>
      <c r="B128" s="1" t="str">
        <f t="shared" si="3"/>
        <v>Резистор номиналом 120 к Ом 1% 0603</v>
      </c>
      <c r="C128" s="3" t="s">
        <v>26</v>
      </c>
      <c r="D128" s="3" t="s">
        <v>29</v>
      </c>
      <c r="E128" s="3" t="s">
        <v>26</v>
      </c>
      <c r="F128" s="60" t="s">
        <v>180</v>
      </c>
      <c r="G128" s="54" t="s">
        <v>132</v>
      </c>
      <c r="H128" s="3" t="s">
        <v>133</v>
      </c>
      <c r="I128" s="3" t="s">
        <v>32</v>
      </c>
      <c r="J128" s="1"/>
      <c r="K128" s="1"/>
      <c r="L128" s="1"/>
      <c r="M128" s="1"/>
      <c r="N128" s="22"/>
      <c r="O128" s="1"/>
    </row>
    <row r="129" spans="1:15" ht="15.5" x14ac:dyDescent="0.35">
      <c r="A129" s="1" t="str">
        <f t="shared" si="2"/>
        <v>RC0603FR-07130KL</v>
      </c>
      <c r="B129" s="1" t="str">
        <f t="shared" si="3"/>
        <v>Резистор номиналом 130 к Ом 1% 0603</v>
      </c>
      <c r="C129" s="3" t="s">
        <v>26</v>
      </c>
      <c r="D129" s="3" t="s">
        <v>29</v>
      </c>
      <c r="E129" s="3" t="s">
        <v>26</v>
      </c>
      <c r="F129" s="60" t="s">
        <v>181</v>
      </c>
      <c r="G129" s="54" t="s">
        <v>132</v>
      </c>
      <c r="H129" s="3" t="s">
        <v>133</v>
      </c>
      <c r="I129" s="3" t="s">
        <v>32</v>
      </c>
      <c r="J129" s="1"/>
      <c r="K129" s="1"/>
      <c r="L129" s="1"/>
      <c r="M129" s="1"/>
      <c r="N129" s="23"/>
      <c r="O129" s="1"/>
    </row>
    <row r="130" spans="1:15" ht="15.5" x14ac:dyDescent="0.35">
      <c r="A130" s="1" t="str">
        <f t="shared" si="2"/>
        <v>RC0603FR-07150KL</v>
      </c>
      <c r="B130" s="1" t="str">
        <f t="shared" si="3"/>
        <v>Резистор номиналом 150 к Ом 1% 0603</v>
      </c>
      <c r="C130" s="3" t="s">
        <v>26</v>
      </c>
      <c r="D130" s="3" t="s">
        <v>29</v>
      </c>
      <c r="E130" s="3" t="s">
        <v>26</v>
      </c>
      <c r="F130" s="60" t="s">
        <v>182</v>
      </c>
      <c r="G130" s="54" t="s">
        <v>132</v>
      </c>
      <c r="H130" s="3" t="s">
        <v>133</v>
      </c>
      <c r="I130" s="3" t="s">
        <v>32</v>
      </c>
      <c r="J130" s="1"/>
      <c r="K130" s="1"/>
      <c r="L130" s="1"/>
      <c r="M130" s="1"/>
      <c r="N130" s="22"/>
      <c r="O130" s="1"/>
    </row>
    <row r="131" spans="1:15" ht="15.5" x14ac:dyDescent="0.35">
      <c r="A131" s="1" t="str">
        <f t="shared" ref="A131:A194" si="4">_xlfn.LET(
    _xlpm.raw, SUBSTITUTE(F131,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LEFT(I131, 4) &amp; "FR-07" &amp; _xlpm.yCode &amp; "L"
)</f>
        <v>RC0603FR-07160KL</v>
      </c>
      <c r="B131" s="1" t="str">
        <f t="shared" ref="B131:B194" si="5">"Резистор номиналом " &amp; F131 &amp; " Ом " &amp; G131 &amp; " " &amp; LEFT(I131, 4)</f>
        <v>Резистор номиналом 160 к Ом 1% 0603</v>
      </c>
      <c r="C131" s="3" t="s">
        <v>26</v>
      </c>
      <c r="D131" s="3" t="s">
        <v>29</v>
      </c>
      <c r="E131" s="3" t="s">
        <v>26</v>
      </c>
      <c r="F131" s="60" t="s">
        <v>183</v>
      </c>
      <c r="G131" s="54" t="s">
        <v>132</v>
      </c>
      <c r="H131" s="3" t="s">
        <v>133</v>
      </c>
      <c r="I131" s="3" t="s">
        <v>32</v>
      </c>
      <c r="J131" s="1"/>
      <c r="K131" s="1"/>
      <c r="L131" s="1"/>
      <c r="M131" s="1"/>
      <c r="N131" s="23"/>
      <c r="O131" s="1"/>
    </row>
    <row r="132" spans="1:15" ht="15.5" x14ac:dyDescent="0.35">
      <c r="A132" s="1" t="str">
        <f t="shared" si="4"/>
        <v>RC0603FR-07180KL</v>
      </c>
      <c r="B132" s="1" t="str">
        <f t="shared" si="5"/>
        <v>Резистор номиналом 180 к Ом 1% 0603</v>
      </c>
      <c r="C132" s="3" t="s">
        <v>26</v>
      </c>
      <c r="D132" s="3" t="s">
        <v>29</v>
      </c>
      <c r="E132" s="3" t="s">
        <v>26</v>
      </c>
      <c r="F132" s="60" t="s">
        <v>184</v>
      </c>
      <c r="G132" s="54" t="s">
        <v>132</v>
      </c>
      <c r="H132" s="3" t="s">
        <v>133</v>
      </c>
      <c r="I132" s="3" t="s">
        <v>32</v>
      </c>
      <c r="J132" s="1"/>
      <c r="K132" s="1"/>
      <c r="L132" s="1"/>
      <c r="M132" s="1"/>
      <c r="N132" s="22"/>
      <c r="O132" s="1"/>
    </row>
    <row r="133" spans="1:15" ht="15.5" x14ac:dyDescent="0.35">
      <c r="A133" s="1" t="str">
        <f t="shared" si="4"/>
        <v>RC0603FR-07200KL</v>
      </c>
      <c r="B133" s="1" t="str">
        <f t="shared" si="5"/>
        <v>Резистор номиналом 200 к Ом 1% 0603</v>
      </c>
      <c r="C133" s="3" t="s">
        <v>26</v>
      </c>
      <c r="D133" s="3" t="s">
        <v>29</v>
      </c>
      <c r="E133" s="3" t="s">
        <v>26</v>
      </c>
      <c r="F133" s="60" t="s">
        <v>185</v>
      </c>
      <c r="G133" s="54" t="s">
        <v>132</v>
      </c>
      <c r="H133" s="3" t="s">
        <v>133</v>
      </c>
      <c r="I133" s="3" t="s">
        <v>32</v>
      </c>
      <c r="J133" s="1"/>
      <c r="K133" s="1"/>
      <c r="L133" s="1"/>
      <c r="M133" s="1"/>
      <c r="N133" s="23"/>
      <c r="O133" s="1"/>
    </row>
    <row r="134" spans="1:15" ht="15.5" x14ac:dyDescent="0.35">
      <c r="A134" s="1" t="str">
        <f t="shared" si="4"/>
        <v>RC0603FR-07220KL</v>
      </c>
      <c r="B134" s="1" t="str">
        <f t="shared" si="5"/>
        <v>Резистор номиналом 220 к Ом 1% 0603</v>
      </c>
      <c r="C134" s="3" t="s">
        <v>26</v>
      </c>
      <c r="D134" s="3" t="s">
        <v>29</v>
      </c>
      <c r="E134" s="3" t="s">
        <v>26</v>
      </c>
      <c r="F134" s="60" t="s">
        <v>186</v>
      </c>
      <c r="G134" s="54" t="s">
        <v>132</v>
      </c>
      <c r="H134" s="3" t="s">
        <v>133</v>
      </c>
      <c r="I134" s="3" t="s">
        <v>32</v>
      </c>
      <c r="J134" s="1"/>
      <c r="K134" s="1"/>
      <c r="L134" s="1"/>
      <c r="M134" s="1"/>
      <c r="N134" s="22"/>
      <c r="O134" s="1"/>
    </row>
    <row r="135" spans="1:15" ht="15.5" x14ac:dyDescent="0.35">
      <c r="A135" s="1" t="str">
        <f t="shared" si="4"/>
        <v>RC0603FR-07240KL</v>
      </c>
      <c r="B135" s="1" t="str">
        <f t="shared" si="5"/>
        <v>Резистор номиналом 240 к Ом 1% 0603</v>
      </c>
      <c r="C135" s="3" t="s">
        <v>26</v>
      </c>
      <c r="D135" s="3" t="s">
        <v>29</v>
      </c>
      <c r="E135" s="3" t="s">
        <v>26</v>
      </c>
      <c r="F135" s="60" t="s">
        <v>187</v>
      </c>
      <c r="G135" s="54" t="s">
        <v>132</v>
      </c>
      <c r="H135" s="3" t="s">
        <v>133</v>
      </c>
      <c r="I135" s="3" t="s">
        <v>32</v>
      </c>
      <c r="J135" s="1"/>
      <c r="K135" s="1"/>
      <c r="L135" s="1"/>
      <c r="M135" s="1"/>
      <c r="N135" s="23"/>
      <c r="O135" s="1"/>
    </row>
    <row r="136" spans="1:15" ht="15.5" x14ac:dyDescent="0.35">
      <c r="A136" s="1" t="str">
        <f t="shared" si="4"/>
        <v>RC0603FR-07270KL</v>
      </c>
      <c r="B136" s="1" t="str">
        <f t="shared" si="5"/>
        <v>Резистор номиналом 270 к Ом 1% 0603</v>
      </c>
      <c r="C136" s="3" t="s">
        <v>26</v>
      </c>
      <c r="D136" s="3" t="s">
        <v>29</v>
      </c>
      <c r="E136" s="3" t="s">
        <v>26</v>
      </c>
      <c r="F136" s="60" t="s">
        <v>333</v>
      </c>
      <c r="G136" s="54" t="s">
        <v>132</v>
      </c>
      <c r="H136" s="3" t="s">
        <v>133</v>
      </c>
      <c r="I136" s="3" t="s">
        <v>32</v>
      </c>
      <c r="J136" s="1"/>
      <c r="K136" s="1"/>
      <c r="L136" s="1"/>
      <c r="M136" s="1"/>
      <c r="N136" s="22"/>
      <c r="O136" s="1"/>
    </row>
    <row r="137" spans="1:15" ht="15.5" x14ac:dyDescent="0.35">
      <c r="A137" s="1" t="str">
        <f t="shared" si="4"/>
        <v>RC0603FR-07300KL</v>
      </c>
      <c r="B137" s="1" t="str">
        <f t="shared" si="5"/>
        <v>Резистор номиналом 300 к Ом 1% 0603</v>
      </c>
      <c r="C137" s="3" t="s">
        <v>26</v>
      </c>
      <c r="D137" s="3" t="s">
        <v>29</v>
      </c>
      <c r="E137" s="3" t="s">
        <v>26</v>
      </c>
      <c r="F137" s="60" t="s">
        <v>334</v>
      </c>
      <c r="G137" s="54" t="s">
        <v>132</v>
      </c>
      <c r="H137" s="3" t="s">
        <v>133</v>
      </c>
      <c r="I137" s="3" t="s">
        <v>32</v>
      </c>
      <c r="J137" s="1"/>
      <c r="K137" s="1"/>
      <c r="L137" s="1"/>
      <c r="M137" s="1"/>
      <c r="N137" s="23"/>
      <c r="O137" s="1"/>
    </row>
    <row r="138" spans="1:15" ht="15.5" x14ac:dyDescent="0.35">
      <c r="A138" s="1" t="str">
        <f t="shared" si="4"/>
        <v>RC0603FR-07330KL</v>
      </c>
      <c r="B138" s="1" t="str">
        <f t="shared" si="5"/>
        <v>Резистор номиналом 330 к Ом 1% 0603</v>
      </c>
      <c r="C138" s="3" t="s">
        <v>26</v>
      </c>
      <c r="D138" s="3" t="s">
        <v>29</v>
      </c>
      <c r="E138" s="3" t="s">
        <v>26</v>
      </c>
      <c r="F138" s="60" t="s">
        <v>335</v>
      </c>
      <c r="G138" s="54" t="s">
        <v>132</v>
      </c>
      <c r="H138" s="3" t="s">
        <v>133</v>
      </c>
      <c r="I138" s="3" t="s">
        <v>32</v>
      </c>
      <c r="J138" s="1"/>
      <c r="K138" s="1"/>
      <c r="L138" s="1"/>
      <c r="M138" s="1"/>
      <c r="N138" s="22"/>
      <c r="O138" s="1"/>
    </row>
    <row r="139" spans="1:15" ht="15.5" x14ac:dyDescent="0.35">
      <c r="A139" s="1" t="str">
        <f t="shared" si="4"/>
        <v>RC0603FR-07360KL</v>
      </c>
      <c r="B139" s="1" t="str">
        <f t="shared" si="5"/>
        <v>Резистор номиналом 360 к Ом 1% 0603</v>
      </c>
      <c r="C139" s="3" t="s">
        <v>26</v>
      </c>
      <c r="D139" s="3" t="s">
        <v>29</v>
      </c>
      <c r="E139" s="3" t="s">
        <v>26</v>
      </c>
      <c r="F139" s="60" t="s">
        <v>336</v>
      </c>
      <c r="G139" s="54" t="s">
        <v>132</v>
      </c>
      <c r="H139" s="3" t="s">
        <v>133</v>
      </c>
      <c r="I139" s="3" t="s">
        <v>32</v>
      </c>
      <c r="J139" s="1"/>
      <c r="K139" s="1"/>
      <c r="L139" s="1"/>
      <c r="M139" s="1"/>
      <c r="N139" s="23"/>
      <c r="O139" s="1"/>
    </row>
    <row r="140" spans="1:15" ht="15.5" x14ac:dyDescent="0.35">
      <c r="A140" s="1" t="str">
        <f t="shared" si="4"/>
        <v>RC0603FR-07390KL</v>
      </c>
      <c r="B140" s="1" t="str">
        <f t="shared" si="5"/>
        <v>Резистор номиналом 390 к Ом 1% 0603</v>
      </c>
      <c r="C140" s="3" t="s">
        <v>26</v>
      </c>
      <c r="D140" s="3" t="s">
        <v>29</v>
      </c>
      <c r="E140" s="3" t="s">
        <v>26</v>
      </c>
      <c r="F140" s="60" t="s">
        <v>337</v>
      </c>
      <c r="G140" s="54" t="s">
        <v>132</v>
      </c>
      <c r="H140" s="3" t="s">
        <v>133</v>
      </c>
      <c r="I140" s="3" t="s">
        <v>32</v>
      </c>
      <c r="J140" s="1"/>
      <c r="K140" s="1"/>
      <c r="L140" s="1"/>
      <c r="M140" s="1"/>
      <c r="N140" s="22"/>
      <c r="O140" s="1"/>
    </row>
    <row r="141" spans="1:15" ht="15.5" x14ac:dyDescent="0.35">
      <c r="A141" s="1" t="str">
        <f t="shared" si="4"/>
        <v>RC0603FR-07430KL</v>
      </c>
      <c r="B141" s="1" t="str">
        <f t="shared" si="5"/>
        <v>Резистор номиналом 430 к Ом 1% 0603</v>
      </c>
      <c r="C141" s="3" t="s">
        <v>26</v>
      </c>
      <c r="D141" s="3" t="s">
        <v>29</v>
      </c>
      <c r="E141" s="3" t="s">
        <v>26</v>
      </c>
      <c r="F141" s="60" t="s">
        <v>338</v>
      </c>
      <c r="G141" s="54" t="s">
        <v>132</v>
      </c>
      <c r="H141" s="3" t="s">
        <v>133</v>
      </c>
      <c r="I141" s="3" t="s">
        <v>32</v>
      </c>
      <c r="J141" s="1"/>
      <c r="K141" s="1"/>
      <c r="L141" s="1"/>
      <c r="M141" s="1"/>
      <c r="N141" s="23"/>
      <c r="O141" s="1"/>
    </row>
    <row r="142" spans="1:15" ht="15.5" x14ac:dyDescent="0.35">
      <c r="A142" s="1" t="str">
        <f t="shared" si="4"/>
        <v>RC0603FR-07470KL</v>
      </c>
      <c r="B142" s="1" t="str">
        <f t="shared" si="5"/>
        <v>Резистор номиналом 470 к Ом 1% 0603</v>
      </c>
      <c r="C142" s="3" t="s">
        <v>26</v>
      </c>
      <c r="D142" s="3" t="s">
        <v>29</v>
      </c>
      <c r="E142" s="3" t="s">
        <v>26</v>
      </c>
      <c r="F142" s="60" t="s">
        <v>339</v>
      </c>
      <c r="G142" s="54" t="s">
        <v>132</v>
      </c>
      <c r="H142" s="3" t="s">
        <v>133</v>
      </c>
      <c r="I142" s="3" t="s">
        <v>32</v>
      </c>
      <c r="J142" s="1"/>
      <c r="K142" s="1"/>
      <c r="L142" s="1"/>
      <c r="M142" s="1"/>
      <c r="N142" s="22"/>
      <c r="O142" s="1"/>
    </row>
    <row r="143" spans="1:15" ht="15.5" x14ac:dyDescent="0.35">
      <c r="A143" s="1" t="str">
        <f t="shared" si="4"/>
        <v>RC0603FR-07510KL</v>
      </c>
      <c r="B143" s="1" t="str">
        <f t="shared" si="5"/>
        <v>Резистор номиналом 510 к Ом 1% 0603</v>
      </c>
      <c r="C143" s="3" t="s">
        <v>26</v>
      </c>
      <c r="D143" s="3" t="s">
        <v>29</v>
      </c>
      <c r="E143" s="3" t="s">
        <v>26</v>
      </c>
      <c r="F143" s="60" t="s">
        <v>188</v>
      </c>
      <c r="G143" s="54" t="s">
        <v>132</v>
      </c>
      <c r="H143" s="3" t="s">
        <v>133</v>
      </c>
      <c r="I143" s="3" t="s">
        <v>32</v>
      </c>
      <c r="J143" s="1"/>
      <c r="K143" s="1"/>
      <c r="L143" s="1"/>
      <c r="M143" s="1"/>
      <c r="N143" s="23"/>
      <c r="O143" s="1"/>
    </row>
    <row r="144" spans="1:15" ht="15.5" x14ac:dyDescent="0.35">
      <c r="A144" s="1" t="str">
        <f t="shared" si="4"/>
        <v>RC0603FR-07560KL</v>
      </c>
      <c r="B144" s="1" t="str">
        <f t="shared" si="5"/>
        <v>Резистор номиналом 560 к Ом 1% 0603</v>
      </c>
      <c r="C144" s="3" t="s">
        <v>26</v>
      </c>
      <c r="D144" s="3" t="s">
        <v>29</v>
      </c>
      <c r="E144" s="3" t="s">
        <v>26</v>
      </c>
      <c r="F144" s="60" t="s">
        <v>189</v>
      </c>
      <c r="G144" s="54" t="s">
        <v>132</v>
      </c>
      <c r="H144" s="3" t="s">
        <v>133</v>
      </c>
      <c r="I144" s="3" t="s">
        <v>32</v>
      </c>
      <c r="J144" s="1"/>
      <c r="K144" s="1"/>
      <c r="L144" s="1"/>
      <c r="M144" s="1"/>
      <c r="N144" s="22"/>
      <c r="O144" s="1"/>
    </row>
    <row r="145" spans="1:15" ht="15.5" x14ac:dyDescent="0.35">
      <c r="A145" s="1" t="str">
        <f t="shared" si="4"/>
        <v>RC0603FR-07620KL</v>
      </c>
      <c r="B145" s="1" t="str">
        <f t="shared" si="5"/>
        <v>Резистор номиналом 620 к Ом 1% 0603</v>
      </c>
      <c r="C145" s="3" t="s">
        <v>26</v>
      </c>
      <c r="D145" s="3" t="s">
        <v>29</v>
      </c>
      <c r="E145" s="3" t="s">
        <v>26</v>
      </c>
      <c r="F145" s="60" t="s">
        <v>190</v>
      </c>
      <c r="G145" s="54" t="s">
        <v>132</v>
      </c>
      <c r="H145" s="3" t="s">
        <v>133</v>
      </c>
      <c r="I145" s="3" t="s">
        <v>32</v>
      </c>
      <c r="J145" s="1"/>
      <c r="K145" s="1"/>
      <c r="L145" s="1"/>
      <c r="M145" s="1"/>
      <c r="N145" s="23"/>
      <c r="O145" s="1"/>
    </row>
    <row r="146" spans="1:15" ht="15.5" x14ac:dyDescent="0.35">
      <c r="A146" s="1" t="str">
        <f t="shared" si="4"/>
        <v>RC0603FR-07680KL</v>
      </c>
      <c r="B146" s="1" t="str">
        <f t="shared" si="5"/>
        <v>Резистор номиналом 680 к Ом 1% 0603</v>
      </c>
      <c r="C146" s="3" t="s">
        <v>26</v>
      </c>
      <c r="D146" s="3" t="s">
        <v>29</v>
      </c>
      <c r="E146" s="3" t="s">
        <v>26</v>
      </c>
      <c r="F146" s="60" t="s">
        <v>191</v>
      </c>
      <c r="G146" s="54" t="s">
        <v>132</v>
      </c>
      <c r="H146" s="3" t="s">
        <v>133</v>
      </c>
      <c r="I146" s="3" t="s">
        <v>32</v>
      </c>
      <c r="J146" s="1"/>
      <c r="K146" s="1"/>
      <c r="L146" s="1"/>
      <c r="M146" s="1"/>
      <c r="N146" s="22"/>
      <c r="O146" s="1"/>
    </row>
    <row r="147" spans="1:15" ht="15.5" x14ac:dyDescent="0.35">
      <c r="A147" s="1" t="str">
        <f t="shared" si="4"/>
        <v>RC0603FR-07750KL</v>
      </c>
      <c r="B147" s="1" t="str">
        <f t="shared" si="5"/>
        <v>Резистор номиналом 750 к Ом 1% 0603</v>
      </c>
      <c r="C147" s="3" t="s">
        <v>26</v>
      </c>
      <c r="D147" s="3" t="s">
        <v>29</v>
      </c>
      <c r="E147" s="3" t="s">
        <v>26</v>
      </c>
      <c r="F147" s="60" t="s">
        <v>192</v>
      </c>
      <c r="G147" s="54" t="s">
        <v>132</v>
      </c>
      <c r="H147" s="3" t="s">
        <v>133</v>
      </c>
      <c r="I147" s="3" t="s">
        <v>32</v>
      </c>
      <c r="J147" s="1"/>
      <c r="K147" s="1"/>
      <c r="L147" s="1"/>
      <c r="M147" s="1"/>
      <c r="N147" s="23"/>
      <c r="O147" s="1"/>
    </row>
    <row r="148" spans="1:15" ht="15.5" x14ac:dyDescent="0.35">
      <c r="A148" s="1" t="str">
        <f t="shared" si="4"/>
        <v>RC0603FR-07820KL</v>
      </c>
      <c r="B148" s="1" t="str">
        <f t="shared" si="5"/>
        <v>Резистор номиналом 820 к Ом 1% 0603</v>
      </c>
      <c r="C148" s="3" t="s">
        <v>26</v>
      </c>
      <c r="D148" s="3" t="s">
        <v>29</v>
      </c>
      <c r="E148" s="3" t="s">
        <v>26</v>
      </c>
      <c r="F148" s="60" t="s">
        <v>353</v>
      </c>
      <c r="G148" s="54" t="s">
        <v>132</v>
      </c>
      <c r="H148" s="3" t="s">
        <v>133</v>
      </c>
      <c r="I148" s="3" t="s">
        <v>32</v>
      </c>
      <c r="J148" s="1"/>
      <c r="K148" s="1"/>
      <c r="L148" s="1"/>
      <c r="M148" s="1"/>
      <c r="N148" s="22"/>
      <c r="O148" s="1"/>
    </row>
    <row r="149" spans="1:15" ht="15.5" x14ac:dyDescent="0.35">
      <c r="A149" s="1" t="str">
        <f t="shared" si="4"/>
        <v>RC0603FR-07910KL</v>
      </c>
      <c r="B149" s="1" t="str">
        <f t="shared" si="5"/>
        <v>Резистор номиналом 910 к Ом 1% 0603</v>
      </c>
      <c r="C149" s="3" t="s">
        <v>26</v>
      </c>
      <c r="D149" s="3" t="s">
        <v>29</v>
      </c>
      <c r="E149" s="3" t="s">
        <v>26</v>
      </c>
      <c r="F149" s="60" t="s">
        <v>193</v>
      </c>
      <c r="G149" s="54" t="s">
        <v>132</v>
      </c>
      <c r="H149" s="3" t="s">
        <v>133</v>
      </c>
      <c r="I149" s="3" t="s">
        <v>32</v>
      </c>
      <c r="J149" s="1"/>
      <c r="K149" s="1"/>
      <c r="L149" s="1"/>
      <c r="M149" s="1"/>
      <c r="N149" s="23"/>
      <c r="O149" s="1"/>
    </row>
    <row r="150" spans="1:15" ht="15.5" x14ac:dyDescent="0.35">
      <c r="A150" s="1" t="str">
        <f t="shared" si="4"/>
        <v>RC0603FR-071ML</v>
      </c>
      <c r="B150" s="1" t="str">
        <f t="shared" si="5"/>
        <v>Резистор номиналом 1,0 М Ом 1% 0603</v>
      </c>
      <c r="C150" s="3" t="s">
        <v>26</v>
      </c>
      <c r="D150" s="3" t="s">
        <v>29</v>
      </c>
      <c r="E150" s="3" t="s">
        <v>26</v>
      </c>
      <c r="F150" s="60" t="s">
        <v>194</v>
      </c>
      <c r="G150" s="54" t="s">
        <v>132</v>
      </c>
      <c r="H150" s="3" t="s">
        <v>133</v>
      </c>
      <c r="I150" s="3" t="s">
        <v>32</v>
      </c>
      <c r="J150" s="1"/>
      <c r="K150" s="1"/>
      <c r="L150" s="1"/>
      <c r="M150" s="1"/>
      <c r="N150" s="22"/>
      <c r="O150" s="1"/>
    </row>
    <row r="151" spans="1:15" ht="15.5" x14ac:dyDescent="0.35">
      <c r="A151" s="1" t="str">
        <f t="shared" si="4"/>
        <v>RC0603FR-071M1L</v>
      </c>
      <c r="B151" s="1" t="str">
        <f t="shared" si="5"/>
        <v>Резистор номиналом 1,1 М Ом 1% 0603</v>
      </c>
      <c r="C151" s="3" t="s">
        <v>26</v>
      </c>
      <c r="D151" s="3" t="s">
        <v>29</v>
      </c>
      <c r="E151" s="3" t="s">
        <v>26</v>
      </c>
      <c r="F151" s="60" t="s">
        <v>195</v>
      </c>
      <c r="G151" s="54" t="s">
        <v>132</v>
      </c>
      <c r="H151" s="3" t="s">
        <v>133</v>
      </c>
      <c r="I151" s="3" t="s">
        <v>32</v>
      </c>
      <c r="J151" s="1"/>
      <c r="K151" s="1"/>
      <c r="L151" s="1"/>
      <c r="M151" s="1"/>
      <c r="N151" s="23"/>
      <c r="O151" s="1"/>
    </row>
    <row r="152" spans="1:15" ht="15.5" x14ac:dyDescent="0.35">
      <c r="A152" s="1" t="str">
        <f t="shared" si="4"/>
        <v>RC0603FR-071M2L</v>
      </c>
      <c r="B152" s="1" t="str">
        <f t="shared" si="5"/>
        <v>Резистор номиналом 1,2 М Ом 1% 0603</v>
      </c>
      <c r="C152" s="3" t="s">
        <v>26</v>
      </c>
      <c r="D152" s="3" t="s">
        <v>29</v>
      </c>
      <c r="E152" s="3" t="s">
        <v>26</v>
      </c>
      <c r="F152" s="60" t="s">
        <v>196</v>
      </c>
      <c r="G152" s="54" t="s">
        <v>132</v>
      </c>
      <c r="H152" s="3" t="s">
        <v>133</v>
      </c>
      <c r="I152" s="3" t="s">
        <v>32</v>
      </c>
      <c r="J152" s="1"/>
      <c r="K152" s="1"/>
      <c r="L152" s="1"/>
      <c r="M152" s="1"/>
      <c r="N152" s="22"/>
      <c r="O152" s="1"/>
    </row>
    <row r="153" spans="1:15" ht="15.5" x14ac:dyDescent="0.35">
      <c r="A153" s="1" t="str">
        <f t="shared" si="4"/>
        <v>RC0603FR-071M3L</v>
      </c>
      <c r="B153" s="1" t="str">
        <f t="shared" si="5"/>
        <v>Резистор номиналом 1,3 М Ом 1% 0603</v>
      </c>
      <c r="C153" s="3" t="s">
        <v>26</v>
      </c>
      <c r="D153" s="3" t="s">
        <v>29</v>
      </c>
      <c r="E153" s="3" t="s">
        <v>26</v>
      </c>
      <c r="F153" s="60" t="s">
        <v>197</v>
      </c>
      <c r="G153" s="54" t="s">
        <v>132</v>
      </c>
      <c r="H153" s="3" t="s">
        <v>133</v>
      </c>
      <c r="I153" s="3" t="s">
        <v>32</v>
      </c>
      <c r="J153" s="1"/>
      <c r="K153" s="1"/>
      <c r="L153" s="1"/>
      <c r="M153" s="1"/>
      <c r="N153" s="23"/>
      <c r="O153" s="1"/>
    </row>
    <row r="154" spans="1:15" ht="15.5" x14ac:dyDescent="0.35">
      <c r="A154" s="1" t="str">
        <f t="shared" si="4"/>
        <v>RC0603FR-071M5L</v>
      </c>
      <c r="B154" s="1" t="str">
        <f t="shared" si="5"/>
        <v>Резистор номиналом 1,5 М Ом 1% 0603</v>
      </c>
      <c r="C154" s="3" t="s">
        <v>26</v>
      </c>
      <c r="D154" s="3" t="s">
        <v>29</v>
      </c>
      <c r="E154" s="3" t="s">
        <v>26</v>
      </c>
      <c r="F154" s="60" t="s">
        <v>198</v>
      </c>
      <c r="G154" s="54" t="s">
        <v>132</v>
      </c>
      <c r="H154" s="3" t="s">
        <v>133</v>
      </c>
      <c r="I154" s="3" t="s">
        <v>32</v>
      </c>
      <c r="J154" s="1"/>
      <c r="K154" s="1"/>
      <c r="L154" s="1"/>
      <c r="M154" s="1"/>
      <c r="N154" s="22"/>
      <c r="O154" s="1"/>
    </row>
    <row r="155" spans="1:15" ht="15.5" x14ac:dyDescent="0.35">
      <c r="A155" s="1" t="str">
        <f t="shared" si="4"/>
        <v>RC0603FR-071M6L</v>
      </c>
      <c r="B155" s="1" t="str">
        <f t="shared" si="5"/>
        <v>Резистор номиналом 1,6 М Ом 1% 0603</v>
      </c>
      <c r="C155" s="3" t="s">
        <v>26</v>
      </c>
      <c r="D155" s="3" t="s">
        <v>29</v>
      </c>
      <c r="E155" s="3" t="s">
        <v>26</v>
      </c>
      <c r="F155" s="60" t="s">
        <v>199</v>
      </c>
      <c r="G155" s="54" t="s">
        <v>132</v>
      </c>
      <c r="H155" s="3" t="s">
        <v>133</v>
      </c>
      <c r="I155" s="3" t="s">
        <v>32</v>
      </c>
      <c r="J155" s="1"/>
      <c r="K155" s="1"/>
      <c r="L155" s="1"/>
      <c r="M155" s="1"/>
      <c r="N155" s="23"/>
      <c r="O155" s="1"/>
    </row>
    <row r="156" spans="1:15" ht="15.5" x14ac:dyDescent="0.35">
      <c r="A156" s="1" t="str">
        <f t="shared" si="4"/>
        <v>RC0603FR-071M8L</v>
      </c>
      <c r="B156" s="1" t="str">
        <f t="shared" si="5"/>
        <v>Резистор номиналом 1,8 М Ом 1% 0603</v>
      </c>
      <c r="C156" s="3" t="s">
        <v>26</v>
      </c>
      <c r="D156" s="3" t="s">
        <v>29</v>
      </c>
      <c r="E156" s="3" t="s">
        <v>26</v>
      </c>
      <c r="F156" s="60" t="s">
        <v>200</v>
      </c>
      <c r="G156" s="54" t="s">
        <v>132</v>
      </c>
      <c r="H156" s="3" t="s">
        <v>133</v>
      </c>
      <c r="I156" s="3" t="s">
        <v>32</v>
      </c>
      <c r="J156" s="1"/>
      <c r="K156" s="1"/>
      <c r="L156" s="1"/>
      <c r="M156" s="1"/>
      <c r="N156" s="22"/>
      <c r="O156" s="1"/>
    </row>
    <row r="157" spans="1:15" ht="15.5" x14ac:dyDescent="0.35">
      <c r="A157" s="1" t="str">
        <f t="shared" si="4"/>
        <v>RC0603FR-072ML</v>
      </c>
      <c r="B157" s="1" t="str">
        <f t="shared" si="5"/>
        <v>Резистор номиналом 2,0 М Ом 1% 0603</v>
      </c>
      <c r="C157" s="3" t="s">
        <v>26</v>
      </c>
      <c r="D157" s="3" t="s">
        <v>29</v>
      </c>
      <c r="E157" s="3" t="s">
        <v>26</v>
      </c>
      <c r="F157" s="60" t="s">
        <v>340</v>
      </c>
      <c r="G157" s="54" t="s">
        <v>132</v>
      </c>
      <c r="H157" s="3" t="s">
        <v>133</v>
      </c>
      <c r="I157" s="3" t="s">
        <v>32</v>
      </c>
      <c r="J157" s="1"/>
      <c r="K157" s="1"/>
      <c r="L157" s="1"/>
      <c r="M157" s="1"/>
      <c r="N157" s="23"/>
      <c r="O157" s="1"/>
    </row>
    <row r="158" spans="1:15" ht="15.5" x14ac:dyDescent="0.35">
      <c r="A158" s="1" t="str">
        <f t="shared" si="4"/>
        <v>RC0603FR-072M2L</v>
      </c>
      <c r="B158" s="1" t="str">
        <f t="shared" si="5"/>
        <v>Резистор номиналом 2,2 М Ом 1% 0603</v>
      </c>
      <c r="C158" s="3" t="s">
        <v>26</v>
      </c>
      <c r="D158" s="3" t="s">
        <v>29</v>
      </c>
      <c r="E158" s="3" t="s">
        <v>26</v>
      </c>
      <c r="F158" s="60" t="s">
        <v>201</v>
      </c>
      <c r="G158" s="54" t="s">
        <v>132</v>
      </c>
      <c r="H158" s="3" t="s">
        <v>133</v>
      </c>
      <c r="I158" s="3" t="s">
        <v>32</v>
      </c>
      <c r="J158" s="1"/>
      <c r="K158" s="1"/>
      <c r="L158" s="1"/>
      <c r="M158" s="1"/>
      <c r="N158" s="22"/>
      <c r="O158" s="1"/>
    </row>
    <row r="159" spans="1:15" ht="15.5" x14ac:dyDescent="0.35">
      <c r="A159" s="1" t="str">
        <f t="shared" si="4"/>
        <v>RC0603FR-072M4L</v>
      </c>
      <c r="B159" s="1" t="str">
        <f t="shared" si="5"/>
        <v>Резистор номиналом 2,4 М Ом 1% 0603</v>
      </c>
      <c r="C159" s="3" t="s">
        <v>26</v>
      </c>
      <c r="D159" s="3" t="s">
        <v>29</v>
      </c>
      <c r="E159" s="3" t="s">
        <v>26</v>
      </c>
      <c r="F159" s="60" t="s">
        <v>202</v>
      </c>
      <c r="G159" s="54" t="s">
        <v>132</v>
      </c>
      <c r="H159" s="3" t="s">
        <v>133</v>
      </c>
      <c r="I159" s="3" t="s">
        <v>32</v>
      </c>
      <c r="J159" s="1"/>
      <c r="K159" s="1"/>
      <c r="L159" s="1"/>
      <c r="M159" s="1"/>
      <c r="N159" s="23"/>
      <c r="O159" s="1"/>
    </row>
    <row r="160" spans="1:15" ht="15.5" x14ac:dyDescent="0.35">
      <c r="A160" s="1" t="str">
        <f t="shared" si="4"/>
        <v>RC0603FR-072M7L</v>
      </c>
      <c r="B160" s="1" t="str">
        <f t="shared" si="5"/>
        <v>Резистор номиналом 2,7 М Ом 1% 0603</v>
      </c>
      <c r="C160" s="3" t="s">
        <v>26</v>
      </c>
      <c r="D160" s="3" t="s">
        <v>29</v>
      </c>
      <c r="E160" s="3" t="s">
        <v>26</v>
      </c>
      <c r="F160" s="60" t="s">
        <v>341</v>
      </c>
      <c r="G160" s="54" t="s">
        <v>132</v>
      </c>
      <c r="H160" s="3" t="s">
        <v>133</v>
      </c>
      <c r="I160" s="3" t="s">
        <v>32</v>
      </c>
      <c r="J160" s="1"/>
      <c r="K160" s="1"/>
      <c r="L160" s="1"/>
      <c r="M160" s="1"/>
      <c r="N160" s="22"/>
      <c r="O160" s="1"/>
    </row>
    <row r="161" spans="1:15" ht="15.5" x14ac:dyDescent="0.35">
      <c r="A161" s="1" t="str">
        <f t="shared" si="4"/>
        <v>RC0603FR-073ML</v>
      </c>
      <c r="B161" s="1" t="str">
        <f t="shared" si="5"/>
        <v>Резистор номиналом 3,0 М Ом 1% 0603</v>
      </c>
      <c r="C161" s="3" t="s">
        <v>26</v>
      </c>
      <c r="D161" s="3" t="s">
        <v>29</v>
      </c>
      <c r="E161" s="3" t="s">
        <v>26</v>
      </c>
      <c r="F161" s="60" t="s">
        <v>342</v>
      </c>
      <c r="G161" s="54" t="s">
        <v>132</v>
      </c>
      <c r="H161" s="3" t="s">
        <v>133</v>
      </c>
      <c r="I161" s="3" t="s">
        <v>32</v>
      </c>
      <c r="J161" s="1"/>
      <c r="K161" s="1"/>
      <c r="L161" s="1"/>
      <c r="M161" s="1"/>
      <c r="N161" s="23"/>
      <c r="O161" s="1"/>
    </row>
    <row r="162" spans="1:15" ht="15.5" x14ac:dyDescent="0.35">
      <c r="A162" s="1" t="str">
        <f t="shared" si="4"/>
        <v>RC0603FR-073M3L</v>
      </c>
      <c r="B162" s="1" t="str">
        <f t="shared" si="5"/>
        <v>Резистор номиналом 3,3 М Ом 1% 0603</v>
      </c>
      <c r="C162" s="3" t="s">
        <v>26</v>
      </c>
      <c r="D162" s="3" t="s">
        <v>29</v>
      </c>
      <c r="E162" s="3" t="s">
        <v>26</v>
      </c>
      <c r="F162" s="60" t="s">
        <v>343</v>
      </c>
      <c r="G162" s="54" t="s">
        <v>132</v>
      </c>
      <c r="H162" s="3" t="s">
        <v>133</v>
      </c>
      <c r="I162" s="3" t="s">
        <v>32</v>
      </c>
      <c r="J162" s="1"/>
      <c r="K162" s="1"/>
      <c r="L162" s="1"/>
      <c r="M162" s="1"/>
      <c r="N162" s="22"/>
      <c r="O162" s="1"/>
    </row>
    <row r="163" spans="1:15" ht="15.5" x14ac:dyDescent="0.35">
      <c r="A163" s="1" t="str">
        <f t="shared" si="4"/>
        <v>RC0603FR-073M6L</v>
      </c>
      <c r="B163" s="1" t="str">
        <f t="shared" si="5"/>
        <v>Резистор номиналом 3,6 М Ом 1% 0603</v>
      </c>
      <c r="C163" s="3" t="s">
        <v>26</v>
      </c>
      <c r="D163" s="3" t="s">
        <v>29</v>
      </c>
      <c r="E163" s="3" t="s">
        <v>26</v>
      </c>
      <c r="F163" s="60" t="s">
        <v>344</v>
      </c>
      <c r="G163" s="54" t="s">
        <v>132</v>
      </c>
      <c r="H163" s="3" t="s">
        <v>133</v>
      </c>
      <c r="I163" s="3" t="s">
        <v>32</v>
      </c>
      <c r="J163" s="1"/>
      <c r="K163" s="1"/>
      <c r="L163" s="1"/>
      <c r="M163" s="1"/>
      <c r="N163" s="23"/>
      <c r="O163" s="1"/>
    </row>
    <row r="164" spans="1:15" ht="15.5" x14ac:dyDescent="0.35">
      <c r="A164" s="1" t="str">
        <f t="shared" si="4"/>
        <v>RC0603FR-073M9L</v>
      </c>
      <c r="B164" s="1" t="str">
        <f t="shared" si="5"/>
        <v>Резистор номиналом 3,9 М Ом 1% 0603</v>
      </c>
      <c r="C164" s="3" t="s">
        <v>26</v>
      </c>
      <c r="D164" s="3" t="s">
        <v>29</v>
      </c>
      <c r="E164" s="3" t="s">
        <v>26</v>
      </c>
      <c r="F164" s="60" t="s">
        <v>345</v>
      </c>
      <c r="G164" s="54" t="s">
        <v>132</v>
      </c>
      <c r="H164" s="3" t="s">
        <v>133</v>
      </c>
      <c r="I164" s="3" t="s">
        <v>32</v>
      </c>
      <c r="J164" s="1"/>
      <c r="K164" s="1"/>
      <c r="L164" s="1"/>
      <c r="M164" s="1"/>
      <c r="N164" s="22"/>
      <c r="O164" s="1"/>
    </row>
    <row r="165" spans="1:15" ht="15.5" x14ac:dyDescent="0.35">
      <c r="A165" s="1" t="str">
        <f t="shared" si="4"/>
        <v>RC0603FR-074M3L</v>
      </c>
      <c r="B165" s="1" t="str">
        <f t="shared" si="5"/>
        <v>Резистор номиналом 4,3 М Ом 1% 0603</v>
      </c>
      <c r="C165" s="3" t="s">
        <v>26</v>
      </c>
      <c r="D165" s="3" t="s">
        <v>29</v>
      </c>
      <c r="E165" s="3" t="s">
        <v>26</v>
      </c>
      <c r="F165" s="60" t="s">
        <v>346</v>
      </c>
      <c r="G165" s="54" t="s">
        <v>132</v>
      </c>
      <c r="H165" s="3" t="s">
        <v>133</v>
      </c>
      <c r="I165" s="3" t="s">
        <v>32</v>
      </c>
      <c r="J165" s="1"/>
      <c r="K165" s="1"/>
      <c r="L165" s="1"/>
      <c r="M165" s="1"/>
      <c r="N165" s="23"/>
      <c r="O165" s="1"/>
    </row>
    <row r="166" spans="1:15" ht="15.5" x14ac:dyDescent="0.35">
      <c r="A166" s="1" t="str">
        <f t="shared" si="4"/>
        <v>RC0603FR-074M7L</v>
      </c>
      <c r="B166" s="1" t="str">
        <f t="shared" si="5"/>
        <v>Резистор номиналом 4,7 М Ом 1% 0603</v>
      </c>
      <c r="C166" s="3" t="s">
        <v>26</v>
      </c>
      <c r="D166" s="3" t="s">
        <v>29</v>
      </c>
      <c r="E166" s="3" t="s">
        <v>26</v>
      </c>
      <c r="F166" s="60" t="s">
        <v>347</v>
      </c>
      <c r="G166" s="54" t="s">
        <v>132</v>
      </c>
      <c r="H166" s="3" t="s">
        <v>133</v>
      </c>
      <c r="I166" s="3" t="s">
        <v>32</v>
      </c>
      <c r="J166" s="1"/>
      <c r="K166" s="1"/>
      <c r="L166" s="1"/>
      <c r="M166" s="1"/>
      <c r="N166" s="22"/>
      <c r="O166" s="1"/>
    </row>
    <row r="167" spans="1:15" ht="15.5" x14ac:dyDescent="0.35">
      <c r="A167" s="1" t="str">
        <f t="shared" si="4"/>
        <v>RC0603FR-075M1L</v>
      </c>
      <c r="B167" s="1" t="str">
        <f t="shared" si="5"/>
        <v>Резистор номиналом 5,1 М Ом 1% 0603</v>
      </c>
      <c r="C167" s="3" t="s">
        <v>26</v>
      </c>
      <c r="D167" s="3" t="s">
        <v>29</v>
      </c>
      <c r="E167" s="3" t="s">
        <v>26</v>
      </c>
      <c r="F167" s="60" t="s">
        <v>203</v>
      </c>
      <c r="G167" s="54" t="s">
        <v>132</v>
      </c>
      <c r="H167" s="3" t="s">
        <v>133</v>
      </c>
      <c r="I167" s="3" t="s">
        <v>32</v>
      </c>
      <c r="J167" s="1"/>
      <c r="K167" s="1"/>
      <c r="L167" s="1"/>
      <c r="M167" s="1"/>
      <c r="N167" s="23"/>
      <c r="O167" s="1"/>
    </row>
    <row r="168" spans="1:15" ht="15.5" x14ac:dyDescent="0.35">
      <c r="A168" s="1" t="str">
        <f t="shared" si="4"/>
        <v>RC0603FR-075M6L</v>
      </c>
      <c r="B168" s="1" t="str">
        <f t="shared" si="5"/>
        <v>Резистор номиналом 5,6 М Ом 1% 0603</v>
      </c>
      <c r="C168" s="3" t="s">
        <v>26</v>
      </c>
      <c r="D168" s="3" t="s">
        <v>29</v>
      </c>
      <c r="E168" s="3" t="s">
        <v>26</v>
      </c>
      <c r="F168" s="60" t="s">
        <v>204</v>
      </c>
      <c r="G168" s="54" t="s">
        <v>132</v>
      </c>
      <c r="H168" s="3" t="s">
        <v>133</v>
      </c>
      <c r="I168" s="3" t="s">
        <v>32</v>
      </c>
      <c r="J168" s="1"/>
      <c r="K168" s="1"/>
      <c r="L168" s="1"/>
      <c r="M168" s="1"/>
      <c r="N168" s="22"/>
      <c r="O168" s="1"/>
    </row>
    <row r="169" spans="1:15" ht="15.5" x14ac:dyDescent="0.35">
      <c r="A169" s="1" t="str">
        <f t="shared" si="4"/>
        <v>RC0603FR-076M2L</v>
      </c>
      <c r="B169" s="1" t="str">
        <f t="shared" si="5"/>
        <v>Резистор номиналом 6,2 М Ом 1% 0603</v>
      </c>
      <c r="C169" s="3" t="s">
        <v>26</v>
      </c>
      <c r="D169" s="3" t="s">
        <v>29</v>
      </c>
      <c r="E169" s="3" t="s">
        <v>26</v>
      </c>
      <c r="F169" s="60" t="s">
        <v>205</v>
      </c>
      <c r="G169" s="54" t="s">
        <v>132</v>
      </c>
      <c r="H169" s="3" t="s">
        <v>133</v>
      </c>
      <c r="I169" s="3" t="s">
        <v>32</v>
      </c>
      <c r="J169" s="1"/>
      <c r="K169" s="1"/>
      <c r="L169" s="1"/>
      <c r="M169" s="1"/>
      <c r="N169" s="23"/>
      <c r="O169" s="1"/>
    </row>
    <row r="170" spans="1:15" ht="15.5" x14ac:dyDescent="0.35">
      <c r="A170" s="1" t="str">
        <f t="shared" si="4"/>
        <v>RC0603FR-076M8L</v>
      </c>
      <c r="B170" s="1" t="str">
        <f t="shared" si="5"/>
        <v>Резистор номиналом 6,8 М Ом 1% 0603</v>
      </c>
      <c r="C170" s="3" t="s">
        <v>26</v>
      </c>
      <c r="D170" s="3" t="s">
        <v>29</v>
      </c>
      <c r="E170" s="3" t="s">
        <v>26</v>
      </c>
      <c r="F170" s="60" t="s">
        <v>206</v>
      </c>
      <c r="G170" s="54" t="s">
        <v>132</v>
      </c>
      <c r="H170" s="3" t="s">
        <v>133</v>
      </c>
      <c r="I170" s="3" t="s">
        <v>32</v>
      </c>
      <c r="J170" s="1"/>
      <c r="K170" s="1"/>
      <c r="L170" s="1"/>
      <c r="M170" s="1"/>
      <c r="N170" s="22"/>
      <c r="O170" s="1"/>
    </row>
    <row r="171" spans="1:15" ht="15.5" x14ac:dyDescent="0.35">
      <c r="A171" s="1" t="str">
        <f t="shared" si="4"/>
        <v>RC0603FR-077M5L</v>
      </c>
      <c r="B171" s="1" t="str">
        <f t="shared" si="5"/>
        <v>Резистор номиналом 7,5 М Ом 1% 0603</v>
      </c>
      <c r="C171" s="3" t="s">
        <v>26</v>
      </c>
      <c r="D171" s="3" t="s">
        <v>29</v>
      </c>
      <c r="E171" s="3" t="s">
        <v>26</v>
      </c>
      <c r="F171" s="60" t="s">
        <v>207</v>
      </c>
      <c r="G171" s="54" t="s">
        <v>132</v>
      </c>
      <c r="H171" s="3" t="s">
        <v>133</v>
      </c>
      <c r="I171" s="3" t="s">
        <v>32</v>
      </c>
      <c r="J171" s="1"/>
      <c r="K171" s="1"/>
      <c r="L171" s="1"/>
      <c r="M171" s="1"/>
      <c r="N171" s="23"/>
      <c r="O171" s="1"/>
    </row>
    <row r="172" spans="1:15" ht="15.5" x14ac:dyDescent="0.35">
      <c r="A172" s="1" t="str">
        <f t="shared" si="4"/>
        <v>RC0603FR-078M2L</v>
      </c>
      <c r="B172" s="1" t="str">
        <f t="shared" si="5"/>
        <v>Резистор номиналом 8,2 М Ом 1% 0603</v>
      </c>
      <c r="C172" s="3" t="s">
        <v>26</v>
      </c>
      <c r="D172" s="3" t="s">
        <v>29</v>
      </c>
      <c r="E172" s="3" t="s">
        <v>26</v>
      </c>
      <c r="F172" s="60" t="s">
        <v>354</v>
      </c>
      <c r="G172" s="54" t="s">
        <v>132</v>
      </c>
      <c r="H172" s="3" t="s">
        <v>133</v>
      </c>
      <c r="I172" s="3" t="s">
        <v>32</v>
      </c>
      <c r="J172" s="1"/>
      <c r="K172" s="1"/>
      <c r="L172" s="1"/>
      <c r="M172" s="1"/>
      <c r="N172" s="22"/>
      <c r="O172" s="1"/>
    </row>
    <row r="173" spans="1:15" ht="15.5" x14ac:dyDescent="0.35">
      <c r="A173" s="1" t="str">
        <f t="shared" si="4"/>
        <v>RC0603FR-079M1L</v>
      </c>
      <c r="B173" s="1" t="str">
        <f t="shared" si="5"/>
        <v>Резистор номиналом 9,1 М Ом 1% 0603</v>
      </c>
      <c r="C173" s="3" t="s">
        <v>26</v>
      </c>
      <c r="D173" s="3" t="s">
        <v>29</v>
      </c>
      <c r="E173" s="3" t="s">
        <v>26</v>
      </c>
      <c r="F173" s="60" t="s">
        <v>208</v>
      </c>
      <c r="G173" s="54" t="s">
        <v>132</v>
      </c>
      <c r="H173" s="3" t="s">
        <v>133</v>
      </c>
      <c r="I173" s="3" t="s">
        <v>32</v>
      </c>
      <c r="J173" s="1"/>
      <c r="K173" s="1"/>
      <c r="L173" s="1"/>
      <c r="M173" s="1"/>
      <c r="N173" s="23"/>
      <c r="O173" s="1"/>
    </row>
    <row r="174" spans="1:15" ht="15.5" x14ac:dyDescent="0.35">
      <c r="A174" s="1" t="str">
        <f t="shared" si="4"/>
        <v>RC0603FR-0710ML</v>
      </c>
      <c r="B174" s="1" t="str">
        <f t="shared" si="5"/>
        <v>Резистор номиналом 10 М Ом 1% 0603</v>
      </c>
      <c r="C174" s="3" t="s">
        <v>26</v>
      </c>
      <c r="D174" s="3" t="s">
        <v>29</v>
      </c>
      <c r="E174" s="3" t="s">
        <v>26</v>
      </c>
      <c r="F174" s="60" t="s">
        <v>209</v>
      </c>
      <c r="G174" s="54" t="s">
        <v>132</v>
      </c>
      <c r="H174" s="3" t="s">
        <v>133</v>
      </c>
      <c r="I174" s="3" t="s">
        <v>32</v>
      </c>
      <c r="J174" s="1"/>
      <c r="K174" s="1"/>
      <c r="L174" s="1"/>
      <c r="M174" s="1"/>
      <c r="N174" s="22"/>
      <c r="O174" s="1"/>
    </row>
    <row r="175" spans="1:15" ht="15.5" x14ac:dyDescent="0.35">
      <c r="A175" s="1" t="str">
        <f t="shared" si="4"/>
        <v>RC0402FR-071RL</v>
      </c>
      <c r="B175" s="1" t="str">
        <f t="shared" si="5"/>
        <v>Резистор номиналом 1 Ом 1% 0402</v>
      </c>
      <c r="C175" s="3" t="s">
        <v>26</v>
      </c>
      <c r="D175" s="3" t="s">
        <v>29</v>
      </c>
      <c r="E175" s="3" t="s">
        <v>26</v>
      </c>
      <c r="F175" s="63">
        <v>1</v>
      </c>
      <c r="G175" s="54" t="s">
        <v>132</v>
      </c>
      <c r="H175" s="3" t="s">
        <v>1085</v>
      </c>
      <c r="I175" s="3" t="s">
        <v>1086</v>
      </c>
      <c r="J175" s="1"/>
      <c r="K175" s="1"/>
      <c r="L175" s="1"/>
      <c r="M175" s="1"/>
      <c r="N175" s="1"/>
      <c r="O175" s="1"/>
    </row>
    <row r="176" spans="1:15" ht="15.5" x14ac:dyDescent="0.35">
      <c r="A176" s="1" t="str">
        <f t="shared" si="4"/>
        <v>RC0402FR-071R2L</v>
      </c>
      <c r="B176" s="1" t="str">
        <f t="shared" si="5"/>
        <v>Резистор номиналом 1,2 Ом 1% 0402</v>
      </c>
      <c r="C176" s="3" t="s">
        <v>26</v>
      </c>
      <c r="D176" s="3" t="s">
        <v>29</v>
      </c>
      <c r="E176" s="3" t="s">
        <v>26</v>
      </c>
      <c r="F176" s="63">
        <v>1.2</v>
      </c>
      <c r="G176" s="54" t="s">
        <v>132</v>
      </c>
      <c r="H176" s="3" t="s">
        <v>1085</v>
      </c>
      <c r="I176" s="3" t="s">
        <v>1086</v>
      </c>
      <c r="J176" s="1"/>
      <c r="K176" s="1"/>
      <c r="L176" s="1"/>
      <c r="M176" s="1"/>
      <c r="N176" s="1"/>
      <c r="O176" s="1"/>
    </row>
    <row r="177" spans="1:15" ht="15.5" x14ac:dyDescent="0.35">
      <c r="A177" s="1" t="str">
        <f t="shared" si="4"/>
        <v>RC0402FR-071R5L</v>
      </c>
      <c r="B177" s="1" t="str">
        <f t="shared" si="5"/>
        <v>Резистор номиналом 1,5 Ом 1% 0402</v>
      </c>
      <c r="C177" s="3" t="s">
        <v>26</v>
      </c>
      <c r="D177" s="3" t="s">
        <v>29</v>
      </c>
      <c r="E177" s="3" t="s">
        <v>26</v>
      </c>
      <c r="F177" s="63">
        <v>1.5</v>
      </c>
      <c r="G177" s="54" t="s">
        <v>132</v>
      </c>
      <c r="H177" s="3" t="s">
        <v>1085</v>
      </c>
      <c r="I177" s="3" t="s">
        <v>1086</v>
      </c>
      <c r="J177" s="1"/>
      <c r="K177" s="1"/>
      <c r="L177" s="1"/>
      <c r="M177" s="1"/>
      <c r="N177" s="1"/>
      <c r="O177" s="1"/>
    </row>
    <row r="178" spans="1:15" ht="15.5" x14ac:dyDescent="0.35">
      <c r="A178" s="1" t="str">
        <f t="shared" si="4"/>
        <v>RC0402FR-071R8L</v>
      </c>
      <c r="B178" s="1" t="str">
        <f t="shared" si="5"/>
        <v>Резистор номиналом 1,8 Ом 1% 0402</v>
      </c>
      <c r="C178" s="3" t="s">
        <v>26</v>
      </c>
      <c r="D178" s="3" t="s">
        <v>29</v>
      </c>
      <c r="E178" s="3" t="s">
        <v>26</v>
      </c>
      <c r="F178" s="63">
        <v>1.8</v>
      </c>
      <c r="G178" s="54" t="s">
        <v>132</v>
      </c>
      <c r="H178" s="3" t="s">
        <v>1085</v>
      </c>
      <c r="I178" s="3" t="s">
        <v>1086</v>
      </c>
      <c r="J178" s="1"/>
      <c r="K178" s="1"/>
      <c r="L178" s="1"/>
      <c r="M178" s="1"/>
      <c r="N178" s="1"/>
      <c r="O178" s="1"/>
    </row>
    <row r="179" spans="1:15" ht="15.5" x14ac:dyDescent="0.35">
      <c r="A179" s="1" t="str">
        <f t="shared" si="4"/>
        <v>RC0402FR-072R2L</v>
      </c>
      <c r="B179" s="1" t="str">
        <f t="shared" si="5"/>
        <v>Резистор номиналом 2,2 Ом 1% 0402</v>
      </c>
      <c r="C179" s="3" t="s">
        <v>26</v>
      </c>
      <c r="D179" s="3" t="s">
        <v>29</v>
      </c>
      <c r="E179" s="3" t="s">
        <v>26</v>
      </c>
      <c r="F179" s="63">
        <v>2.2000000000000002</v>
      </c>
      <c r="G179" s="54" t="s">
        <v>132</v>
      </c>
      <c r="H179" s="3" t="s">
        <v>1085</v>
      </c>
      <c r="I179" s="3" t="s">
        <v>1086</v>
      </c>
      <c r="J179" s="1"/>
      <c r="K179" s="1"/>
      <c r="L179" s="1"/>
      <c r="M179" s="1"/>
      <c r="N179" s="1"/>
      <c r="O179" s="1"/>
    </row>
    <row r="180" spans="1:15" ht="15.5" x14ac:dyDescent="0.35">
      <c r="A180" s="1" t="str">
        <f t="shared" si="4"/>
        <v>RC0402FR-072R7L</v>
      </c>
      <c r="B180" s="1" t="str">
        <f t="shared" si="5"/>
        <v>Резистор номиналом 2,7 Ом 1% 0402</v>
      </c>
      <c r="C180" s="3" t="s">
        <v>26</v>
      </c>
      <c r="D180" s="3" t="s">
        <v>29</v>
      </c>
      <c r="E180" s="3" t="s">
        <v>26</v>
      </c>
      <c r="F180" s="63">
        <v>2.7</v>
      </c>
      <c r="G180" s="54" t="s">
        <v>132</v>
      </c>
      <c r="H180" s="3" t="s">
        <v>1085</v>
      </c>
      <c r="I180" s="3" t="s">
        <v>1086</v>
      </c>
      <c r="J180" s="1"/>
      <c r="K180" s="1"/>
      <c r="L180" s="1"/>
      <c r="M180" s="1"/>
      <c r="N180" s="1"/>
      <c r="O180" s="1"/>
    </row>
    <row r="181" spans="1:15" ht="15.5" x14ac:dyDescent="0.35">
      <c r="A181" s="1" t="str">
        <f t="shared" si="4"/>
        <v>RC0402FR-073R3L</v>
      </c>
      <c r="B181" s="1" t="str">
        <f t="shared" si="5"/>
        <v>Резистор номиналом 3,3 Ом 1% 0402</v>
      </c>
      <c r="C181" s="3" t="s">
        <v>26</v>
      </c>
      <c r="D181" s="3" t="s">
        <v>29</v>
      </c>
      <c r="E181" s="3" t="s">
        <v>26</v>
      </c>
      <c r="F181" s="63">
        <v>3.3</v>
      </c>
      <c r="G181" s="54" t="s">
        <v>132</v>
      </c>
      <c r="H181" s="3" t="s">
        <v>1085</v>
      </c>
      <c r="I181" s="3" t="s">
        <v>1086</v>
      </c>
      <c r="J181" s="1"/>
      <c r="K181" s="1"/>
      <c r="L181" s="1"/>
      <c r="M181" s="1"/>
      <c r="N181" s="1"/>
      <c r="O181" s="1"/>
    </row>
    <row r="182" spans="1:15" ht="15.5" x14ac:dyDescent="0.35">
      <c r="A182" s="1" t="str">
        <f t="shared" si="4"/>
        <v>RC0402FR-073R9L</v>
      </c>
      <c r="B182" s="1" t="str">
        <f t="shared" si="5"/>
        <v>Резистор номиналом 3,9 Ом 1% 0402</v>
      </c>
      <c r="C182" s="3" t="s">
        <v>26</v>
      </c>
      <c r="D182" s="3" t="s">
        <v>29</v>
      </c>
      <c r="E182" s="3" t="s">
        <v>26</v>
      </c>
      <c r="F182" s="63">
        <v>3.9</v>
      </c>
      <c r="G182" s="54" t="s">
        <v>132</v>
      </c>
      <c r="H182" s="3" t="s">
        <v>1085</v>
      </c>
      <c r="I182" s="3" t="s">
        <v>1086</v>
      </c>
      <c r="J182" s="1"/>
      <c r="K182" s="1"/>
      <c r="L182" s="1"/>
      <c r="M182" s="1"/>
      <c r="N182" s="1"/>
      <c r="O182" s="1"/>
    </row>
    <row r="183" spans="1:15" ht="15.5" x14ac:dyDescent="0.35">
      <c r="A183" s="1" t="str">
        <f t="shared" si="4"/>
        <v>RC0402FR-074R7L</v>
      </c>
      <c r="B183" s="1" t="str">
        <f t="shared" si="5"/>
        <v>Резистор номиналом 4,7 Ом 1% 0402</v>
      </c>
      <c r="C183" s="3" t="s">
        <v>26</v>
      </c>
      <c r="D183" s="3" t="s">
        <v>29</v>
      </c>
      <c r="E183" s="3" t="s">
        <v>26</v>
      </c>
      <c r="F183" s="63">
        <v>4.7</v>
      </c>
      <c r="G183" s="54" t="s">
        <v>132</v>
      </c>
      <c r="H183" s="3" t="s">
        <v>1085</v>
      </c>
      <c r="I183" s="3" t="s">
        <v>1086</v>
      </c>
      <c r="J183" s="1"/>
      <c r="K183" s="1"/>
      <c r="L183" s="1"/>
      <c r="M183" s="1"/>
      <c r="N183" s="1"/>
      <c r="O183" s="1"/>
    </row>
    <row r="184" spans="1:15" ht="15.5" x14ac:dyDescent="0.35">
      <c r="A184" s="1" t="str">
        <f t="shared" si="4"/>
        <v>RC0402FR-075R6L</v>
      </c>
      <c r="B184" s="1" t="str">
        <f t="shared" si="5"/>
        <v>Резистор номиналом 5,6 Ом 1% 0402</v>
      </c>
      <c r="C184" s="3" t="s">
        <v>26</v>
      </c>
      <c r="D184" s="3" t="s">
        <v>29</v>
      </c>
      <c r="E184" s="3" t="s">
        <v>26</v>
      </c>
      <c r="F184" s="63">
        <v>5.6</v>
      </c>
      <c r="G184" s="54" t="s">
        <v>132</v>
      </c>
      <c r="H184" s="3" t="s">
        <v>1085</v>
      </c>
      <c r="I184" s="3" t="s">
        <v>1086</v>
      </c>
      <c r="J184" s="1"/>
      <c r="K184" s="1"/>
      <c r="L184" s="1"/>
      <c r="M184" s="1"/>
      <c r="N184" s="1"/>
      <c r="O184" s="1"/>
    </row>
    <row r="185" spans="1:15" ht="15.5" x14ac:dyDescent="0.35">
      <c r="A185" s="1" t="str">
        <f t="shared" si="4"/>
        <v>RC0402FR-076R8L</v>
      </c>
      <c r="B185" s="1" t="str">
        <f t="shared" si="5"/>
        <v>Резистор номиналом 6,8 Ом 1% 0402</v>
      </c>
      <c r="C185" s="3" t="s">
        <v>26</v>
      </c>
      <c r="D185" s="3" t="s">
        <v>29</v>
      </c>
      <c r="E185" s="3" t="s">
        <v>26</v>
      </c>
      <c r="F185" s="63">
        <v>6.8</v>
      </c>
      <c r="G185" s="54" t="s">
        <v>132</v>
      </c>
      <c r="H185" s="3" t="s">
        <v>1085</v>
      </c>
      <c r="I185" s="3" t="s">
        <v>1086</v>
      </c>
      <c r="J185" s="1"/>
      <c r="K185" s="1"/>
      <c r="L185" s="1"/>
      <c r="M185" s="1"/>
      <c r="N185" s="1"/>
      <c r="O185" s="1"/>
    </row>
    <row r="186" spans="1:15" ht="15.5" x14ac:dyDescent="0.35">
      <c r="A186" s="1" t="str">
        <f t="shared" si="4"/>
        <v>RC0402FR-078R2L</v>
      </c>
      <c r="B186" s="1" t="str">
        <f t="shared" si="5"/>
        <v>Резистор номиналом 8,2 Ом 1% 0402</v>
      </c>
      <c r="C186" s="3" t="s">
        <v>26</v>
      </c>
      <c r="D186" s="3" t="s">
        <v>29</v>
      </c>
      <c r="E186" s="3" t="s">
        <v>26</v>
      </c>
      <c r="F186" s="63">
        <v>8.1999999999999993</v>
      </c>
      <c r="G186" s="54" t="s">
        <v>132</v>
      </c>
      <c r="H186" s="3" t="s">
        <v>1085</v>
      </c>
      <c r="I186" s="3" t="s">
        <v>1086</v>
      </c>
      <c r="J186" s="1"/>
      <c r="K186" s="1"/>
      <c r="L186" s="1"/>
      <c r="M186" s="1"/>
      <c r="N186" s="1"/>
      <c r="O186" s="1"/>
    </row>
    <row r="187" spans="1:15" ht="15.5" x14ac:dyDescent="0.35">
      <c r="A187" s="1" t="str">
        <f t="shared" si="4"/>
        <v>RC0402FR-0710RL</v>
      </c>
      <c r="B187" s="1" t="str">
        <f t="shared" si="5"/>
        <v>Резистор номиналом 10 Ом 1% 0402</v>
      </c>
      <c r="C187" s="3" t="s">
        <v>26</v>
      </c>
      <c r="D187" s="3" t="s">
        <v>29</v>
      </c>
      <c r="E187" s="3" t="s">
        <v>26</v>
      </c>
      <c r="F187" s="63">
        <v>10</v>
      </c>
      <c r="G187" s="54" t="s">
        <v>132</v>
      </c>
      <c r="H187" s="3" t="s">
        <v>1085</v>
      </c>
      <c r="I187" s="3" t="s">
        <v>1086</v>
      </c>
      <c r="J187" s="1"/>
      <c r="K187" s="1"/>
      <c r="L187" s="1"/>
      <c r="M187" s="1"/>
      <c r="N187" s="1"/>
      <c r="O187" s="1"/>
    </row>
    <row r="188" spans="1:15" ht="15.5" x14ac:dyDescent="0.35">
      <c r="A188" s="1" t="str">
        <f t="shared" si="4"/>
        <v>RC0402FR-0712RL</v>
      </c>
      <c r="B188" s="1" t="str">
        <f t="shared" si="5"/>
        <v>Резистор номиналом 12 Ом 1% 0402</v>
      </c>
      <c r="C188" s="3" t="s">
        <v>26</v>
      </c>
      <c r="D188" s="3" t="s">
        <v>29</v>
      </c>
      <c r="E188" s="3" t="s">
        <v>26</v>
      </c>
      <c r="F188" s="63">
        <v>12</v>
      </c>
      <c r="G188" s="54" t="s">
        <v>132</v>
      </c>
      <c r="H188" s="3" t="s">
        <v>1085</v>
      </c>
      <c r="I188" s="3" t="s">
        <v>1086</v>
      </c>
      <c r="J188" s="1"/>
      <c r="K188" s="1"/>
      <c r="L188" s="1"/>
      <c r="M188" s="1"/>
      <c r="N188" s="1"/>
      <c r="O188" s="1"/>
    </row>
    <row r="189" spans="1:15" ht="15.5" x14ac:dyDescent="0.35">
      <c r="A189" s="1" t="str">
        <f t="shared" si="4"/>
        <v>RC0402FR-0715RL</v>
      </c>
      <c r="B189" s="1" t="str">
        <f t="shared" si="5"/>
        <v>Резистор номиналом 15 Ом 1% 0402</v>
      </c>
      <c r="C189" s="3" t="s">
        <v>26</v>
      </c>
      <c r="D189" s="3" t="s">
        <v>29</v>
      </c>
      <c r="E189" s="3" t="s">
        <v>26</v>
      </c>
      <c r="F189" s="63">
        <v>15</v>
      </c>
      <c r="G189" s="54" t="s">
        <v>132</v>
      </c>
      <c r="H189" s="3" t="s">
        <v>1085</v>
      </c>
      <c r="I189" s="3" t="s">
        <v>1086</v>
      </c>
      <c r="J189" s="1"/>
      <c r="K189" s="1"/>
      <c r="L189" s="1"/>
      <c r="M189" s="1"/>
      <c r="N189" s="1"/>
      <c r="O189" s="1"/>
    </row>
    <row r="190" spans="1:15" ht="15.5" x14ac:dyDescent="0.35">
      <c r="A190" s="1" t="str">
        <f t="shared" si="4"/>
        <v>RC0402FR-0718RL</v>
      </c>
      <c r="B190" s="1" t="str">
        <f t="shared" si="5"/>
        <v>Резистор номиналом 18 Ом 1% 0402</v>
      </c>
      <c r="C190" s="3" t="s">
        <v>26</v>
      </c>
      <c r="D190" s="3" t="s">
        <v>29</v>
      </c>
      <c r="E190" s="3" t="s">
        <v>26</v>
      </c>
      <c r="F190" s="63">
        <v>18</v>
      </c>
      <c r="G190" s="54" t="s">
        <v>132</v>
      </c>
      <c r="H190" s="3" t="s">
        <v>1085</v>
      </c>
      <c r="I190" s="3" t="s">
        <v>1086</v>
      </c>
      <c r="J190" s="1"/>
      <c r="K190" s="1"/>
      <c r="L190" s="1"/>
      <c r="M190" s="1"/>
      <c r="N190" s="1"/>
      <c r="O190" s="1"/>
    </row>
    <row r="191" spans="1:15" ht="15.5" x14ac:dyDescent="0.35">
      <c r="A191" s="1" t="str">
        <f t="shared" si="4"/>
        <v>RC0402FR-0722RL</v>
      </c>
      <c r="B191" s="1" t="str">
        <f t="shared" si="5"/>
        <v>Резистор номиналом 22 Ом 1% 0402</v>
      </c>
      <c r="C191" s="3" t="s">
        <v>26</v>
      </c>
      <c r="D191" s="3" t="s">
        <v>29</v>
      </c>
      <c r="E191" s="3" t="s">
        <v>26</v>
      </c>
      <c r="F191" s="63">
        <v>22</v>
      </c>
      <c r="G191" s="54" t="s">
        <v>132</v>
      </c>
      <c r="H191" s="3" t="s">
        <v>1085</v>
      </c>
      <c r="I191" s="3" t="s">
        <v>1086</v>
      </c>
      <c r="J191" s="1"/>
      <c r="K191" s="1"/>
      <c r="L191" s="1"/>
      <c r="M191" s="1"/>
      <c r="N191" s="1"/>
      <c r="O191" s="1"/>
    </row>
    <row r="192" spans="1:15" ht="15.5" x14ac:dyDescent="0.35">
      <c r="A192" s="1" t="str">
        <f t="shared" si="4"/>
        <v>RC0402FR-0727RL</v>
      </c>
      <c r="B192" s="1" t="str">
        <f t="shared" si="5"/>
        <v>Резистор номиналом 27 Ом 1% 0402</v>
      </c>
      <c r="C192" s="3" t="s">
        <v>26</v>
      </c>
      <c r="D192" s="3" t="s">
        <v>29</v>
      </c>
      <c r="E192" s="3" t="s">
        <v>26</v>
      </c>
      <c r="F192" s="63">
        <v>27</v>
      </c>
      <c r="G192" s="54" t="s">
        <v>132</v>
      </c>
      <c r="H192" s="3" t="s">
        <v>1085</v>
      </c>
      <c r="I192" s="3" t="s">
        <v>1086</v>
      </c>
      <c r="J192" s="1"/>
      <c r="K192" s="1"/>
      <c r="L192" s="1"/>
      <c r="M192" s="1"/>
      <c r="N192" s="1"/>
      <c r="O192" s="1"/>
    </row>
    <row r="193" spans="1:15" ht="15.5" x14ac:dyDescent="0.35">
      <c r="A193" s="1" t="str">
        <f t="shared" si="4"/>
        <v>RC0402FR-0733RL</v>
      </c>
      <c r="B193" s="1" t="str">
        <f t="shared" si="5"/>
        <v>Резистор номиналом 33 Ом 1% 0402</v>
      </c>
      <c r="C193" s="3" t="s">
        <v>26</v>
      </c>
      <c r="D193" s="3" t="s">
        <v>29</v>
      </c>
      <c r="E193" s="3" t="s">
        <v>26</v>
      </c>
      <c r="F193" s="63">
        <v>33</v>
      </c>
      <c r="G193" s="54" t="s">
        <v>132</v>
      </c>
      <c r="H193" s="3" t="s">
        <v>1085</v>
      </c>
      <c r="I193" s="3" t="s">
        <v>1086</v>
      </c>
      <c r="J193" s="1"/>
      <c r="K193" s="1"/>
      <c r="L193" s="1"/>
      <c r="M193" s="1"/>
      <c r="N193" s="1"/>
      <c r="O193" s="1"/>
    </row>
    <row r="194" spans="1:15" ht="15.5" x14ac:dyDescent="0.35">
      <c r="A194" s="1" t="str">
        <f t="shared" si="4"/>
        <v>RC0402FR-0739RL</v>
      </c>
      <c r="B194" s="1" t="str">
        <f t="shared" si="5"/>
        <v>Резистор номиналом 39 Ом 1% 0402</v>
      </c>
      <c r="C194" s="3" t="s">
        <v>26</v>
      </c>
      <c r="D194" s="3" t="s">
        <v>29</v>
      </c>
      <c r="E194" s="3" t="s">
        <v>26</v>
      </c>
      <c r="F194" s="63">
        <v>39</v>
      </c>
      <c r="G194" s="54" t="s">
        <v>132</v>
      </c>
      <c r="H194" s="3" t="s">
        <v>1085</v>
      </c>
      <c r="I194" s="3" t="s">
        <v>1086</v>
      </c>
      <c r="J194" s="1"/>
      <c r="K194" s="1"/>
      <c r="L194" s="1"/>
      <c r="M194" s="1"/>
      <c r="N194" s="1"/>
      <c r="O194" s="1"/>
    </row>
    <row r="195" spans="1:15" ht="15.5" x14ac:dyDescent="0.35">
      <c r="A195" s="1" t="str">
        <f t="shared" ref="A195:A258" si="6">_xlfn.LET(
    _xlpm.raw, SUBSTITUTE(F195,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LEFT(I195, 4) &amp; "FR-07" &amp; _xlpm.yCode &amp; "L"
)</f>
        <v>RC0402FR-0747RL</v>
      </c>
      <c r="B195" s="1" t="str">
        <f t="shared" ref="B195:B258" si="7">"Резистор номиналом " &amp; F195 &amp; " Ом " &amp; G195 &amp; " " &amp; LEFT(I195, 4)</f>
        <v>Резистор номиналом 47 Ом 1% 0402</v>
      </c>
      <c r="C195" s="3" t="s">
        <v>26</v>
      </c>
      <c r="D195" s="3" t="s">
        <v>29</v>
      </c>
      <c r="E195" s="3" t="s">
        <v>26</v>
      </c>
      <c r="F195" s="63">
        <v>47</v>
      </c>
      <c r="G195" s="54" t="s">
        <v>132</v>
      </c>
      <c r="H195" s="3" t="s">
        <v>1085</v>
      </c>
      <c r="I195" s="3" t="s">
        <v>1086</v>
      </c>
      <c r="J195" s="1"/>
      <c r="K195" s="1"/>
      <c r="L195" s="1"/>
      <c r="M195" s="1"/>
      <c r="N195" s="1"/>
      <c r="O195" s="1"/>
    </row>
    <row r="196" spans="1:15" ht="15.5" x14ac:dyDescent="0.35">
      <c r="A196" s="1" t="str">
        <f t="shared" si="6"/>
        <v>RC0402FR-0756RL</v>
      </c>
      <c r="B196" s="1" t="str">
        <f t="shared" si="7"/>
        <v>Резистор номиналом 56 Ом 1% 0402</v>
      </c>
      <c r="C196" s="3" t="s">
        <v>26</v>
      </c>
      <c r="D196" s="3" t="s">
        <v>29</v>
      </c>
      <c r="E196" s="3" t="s">
        <v>26</v>
      </c>
      <c r="F196" s="63">
        <v>56</v>
      </c>
      <c r="G196" s="54" t="s">
        <v>132</v>
      </c>
      <c r="H196" s="3" t="s">
        <v>1085</v>
      </c>
      <c r="I196" s="3" t="s">
        <v>1086</v>
      </c>
      <c r="J196" s="1"/>
      <c r="K196" s="1"/>
      <c r="L196" s="1"/>
      <c r="M196" s="1"/>
      <c r="N196" s="1"/>
      <c r="O196" s="1"/>
    </row>
    <row r="197" spans="1:15" ht="15.5" x14ac:dyDescent="0.35">
      <c r="A197" s="1" t="str">
        <f t="shared" si="6"/>
        <v>RC0402FR-0768RL</v>
      </c>
      <c r="B197" s="1" t="str">
        <f t="shared" si="7"/>
        <v>Резистор номиналом 68 Ом 1% 0402</v>
      </c>
      <c r="C197" s="3" t="s">
        <v>26</v>
      </c>
      <c r="D197" s="3" t="s">
        <v>29</v>
      </c>
      <c r="E197" s="3" t="s">
        <v>26</v>
      </c>
      <c r="F197" s="63">
        <v>68</v>
      </c>
      <c r="G197" s="54" t="s">
        <v>132</v>
      </c>
      <c r="H197" s="3" t="s">
        <v>1085</v>
      </c>
      <c r="I197" s="3" t="s">
        <v>1086</v>
      </c>
      <c r="J197" s="1"/>
      <c r="K197" s="1"/>
      <c r="L197" s="1"/>
      <c r="M197" s="1"/>
      <c r="N197" s="1"/>
      <c r="O197" s="1"/>
    </row>
    <row r="198" spans="1:15" ht="15.5" x14ac:dyDescent="0.35">
      <c r="A198" s="1" t="str">
        <f t="shared" si="6"/>
        <v>RC0402FR-0782RL</v>
      </c>
      <c r="B198" s="1" t="str">
        <f t="shared" si="7"/>
        <v>Резистор номиналом 82 Ом 1% 0402</v>
      </c>
      <c r="C198" s="3" t="s">
        <v>26</v>
      </c>
      <c r="D198" s="3" t="s">
        <v>29</v>
      </c>
      <c r="E198" s="3" t="s">
        <v>26</v>
      </c>
      <c r="F198" s="63">
        <v>82</v>
      </c>
      <c r="G198" s="54" t="s">
        <v>132</v>
      </c>
      <c r="H198" s="3" t="s">
        <v>1085</v>
      </c>
      <c r="I198" s="3" t="s">
        <v>1086</v>
      </c>
      <c r="J198" s="1"/>
      <c r="K198" s="1"/>
      <c r="L198" s="1"/>
      <c r="M198" s="1"/>
      <c r="N198" s="1"/>
      <c r="O198" s="1"/>
    </row>
    <row r="199" spans="1:15" ht="15.5" x14ac:dyDescent="0.35">
      <c r="A199" s="1" t="str">
        <f t="shared" si="6"/>
        <v>RC0402FR-07100RL</v>
      </c>
      <c r="B199" s="1" t="str">
        <f t="shared" si="7"/>
        <v>Резистор номиналом 100 Ом 1% 0402</v>
      </c>
      <c r="C199" s="3" t="s">
        <v>26</v>
      </c>
      <c r="D199" s="3" t="s">
        <v>29</v>
      </c>
      <c r="E199" s="3" t="s">
        <v>26</v>
      </c>
      <c r="F199" s="63">
        <v>100</v>
      </c>
      <c r="G199" s="54" t="s">
        <v>132</v>
      </c>
      <c r="H199" s="3" t="s">
        <v>1085</v>
      </c>
      <c r="I199" s="3" t="s">
        <v>1086</v>
      </c>
      <c r="J199" s="1"/>
      <c r="K199" s="1"/>
      <c r="L199" s="1"/>
      <c r="M199" s="1"/>
      <c r="N199" s="1"/>
      <c r="O199" s="1"/>
    </row>
    <row r="200" spans="1:15" ht="15.5" x14ac:dyDescent="0.35">
      <c r="A200" s="1" t="str">
        <f t="shared" si="6"/>
        <v>RC0402FR-07120RL</v>
      </c>
      <c r="B200" s="1" t="str">
        <f t="shared" si="7"/>
        <v>Резистор номиналом 120 Ом 1% 0402</v>
      </c>
      <c r="C200" s="3" t="s">
        <v>26</v>
      </c>
      <c r="D200" s="3" t="s">
        <v>29</v>
      </c>
      <c r="E200" s="3" t="s">
        <v>26</v>
      </c>
      <c r="F200" s="63">
        <v>120</v>
      </c>
      <c r="G200" s="54" t="s">
        <v>132</v>
      </c>
      <c r="H200" s="3" t="s">
        <v>1085</v>
      </c>
      <c r="I200" s="3" t="s">
        <v>1086</v>
      </c>
      <c r="J200" s="1"/>
      <c r="K200" s="1"/>
      <c r="L200" s="1"/>
      <c r="M200" s="1"/>
      <c r="N200" s="1"/>
      <c r="O200" s="1"/>
    </row>
    <row r="201" spans="1:15" ht="15.5" x14ac:dyDescent="0.35">
      <c r="A201" s="1" t="str">
        <f t="shared" si="6"/>
        <v>RC0402FR-07150RL</v>
      </c>
      <c r="B201" s="1" t="str">
        <f t="shared" si="7"/>
        <v>Резистор номиналом 150 Ом 1% 0402</v>
      </c>
      <c r="C201" s="3" t="s">
        <v>26</v>
      </c>
      <c r="D201" s="3" t="s">
        <v>29</v>
      </c>
      <c r="E201" s="3" t="s">
        <v>26</v>
      </c>
      <c r="F201" s="63">
        <v>150</v>
      </c>
      <c r="G201" s="54" t="s">
        <v>132</v>
      </c>
      <c r="H201" s="3" t="s">
        <v>1085</v>
      </c>
      <c r="I201" s="3" t="s">
        <v>1086</v>
      </c>
      <c r="J201" s="1"/>
      <c r="K201" s="1"/>
      <c r="L201" s="1"/>
      <c r="M201" s="1"/>
      <c r="N201" s="1"/>
      <c r="O201" s="1"/>
    </row>
    <row r="202" spans="1:15" ht="15.5" x14ac:dyDescent="0.35">
      <c r="A202" s="1" t="str">
        <f t="shared" si="6"/>
        <v>RC0402FR-07180RL</v>
      </c>
      <c r="B202" s="1" t="str">
        <f t="shared" si="7"/>
        <v>Резистор номиналом 180 Ом 1% 0402</v>
      </c>
      <c r="C202" s="3" t="s">
        <v>26</v>
      </c>
      <c r="D202" s="3" t="s">
        <v>29</v>
      </c>
      <c r="E202" s="3" t="s">
        <v>26</v>
      </c>
      <c r="F202" s="63">
        <v>180</v>
      </c>
      <c r="G202" s="54" t="s">
        <v>132</v>
      </c>
      <c r="H202" s="3" t="s">
        <v>1085</v>
      </c>
      <c r="I202" s="3" t="s">
        <v>1086</v>
      </c>
      <c r="J202" s="1"/>
      <c r="K202" s="1"/>
      <c r="L202" s="1"/>
      <c r="M202" s="1"/>
      <c r="N202" s="1"/>
      <c r="O202" s="1"/>
    </row>
    <row r="203" spans="1:15" ht="15.5" x14ac:dyDescent="0.35">
      <c r="A203" s="1" t="str">
        <f t="shared" si="6"/>
        <v>RC0402FR-07220RL</v>
      </c>
      <c r="B203" s="1" t="str">
        <f t="shared" si="7"/>
        <v>Резистор номиналом 220 Ом 1% 0402</v>
      </c>
      <c r="C203" s="3" t="s">
        <v>26</v>
      </c>
      <c r="D203" s="3" t="s">
        <v>29</v>
      </c>
      <c r="E203" s="3" t="s">
        <v>26</v>
      </c>
      <c r="F203" s="63">
        <v>220</v>
      </c>
      <c r="G203" s="54" t="s">
        <v>132</v>
      </c>
      <c r="H203" s="3" t="s">
        <v>1085</v>
      </c>
      <c r="I203" s="3" t="s">
        <v>1086</v>
      </c>
      <c r="J203" s="1"/>
      <c r="K203" s="1"/>
      <c r="L203" s="1"/>
      <c r="M203" s="1"/>
      <c r="N203" s="1"/>
      <c r="O203" s="1"/>
    </row>
    <row r="204" spans="1:15" ht="15.5" x14ac:dyDescent="0.35">
      <c r="A204" s="1" t="str">
        <f t="shared" si="6"/>
        <v>RC0402FR-07270RL</v>
      </c>
      <c r="B204" s="1" t="str">
        <f t="shared" si="7"/>
        <v>Резистор номиналом 270 Ом 1% 0402</v>
      </c>
      <c r="C204" s="3" t="s">
        <v>26</v>
      </c>
      <c r="D204" s="3" t="s">
        <v>29</v>
      </c>
      <c r="E204" s="3" t="s">
        <v>26</v>
      </c>
      <c r="F204" s="63">
        <v>270</v>
      </c>
      <c r="G204" s="54" t="s">
        <v>132</v>
      </c>
      <c r="H204" s="3" t="s">
        <v>1085</v>
      </c>
      <c r="I204" s="3" t="s">
        <v>1086</v>
      </c>
      <c r="J204" s="1"/>
      <c r="K204" s="1"/>
      <c r="L204" s="1"/>
      <c r="M204" s="1"/>
      <c r="N204" s="1"/>
      <c r="O204" s="1"/>
    </row>
    <row r="205" spans="1:15" ht="15.5" x14ac:dyDescent="0.35">
      <c r="A205" s="1" t="str">
        <f t="shared" si="6"/>
        <v>RC0402FR-07330RL</v>
      </c>
      <c r="B205" s="1" t="str">
        <f t="shared" si="7"/>
        <v>Резистор номиналом 330 Ом 1% 0402</v>
      </c>
      <c r="C205" s="3" t="s">
        <v>26</v>
      </c>
      <c r="D205" s="3" t="s">
        <v>29</v>
      </c>
      <c r="E205" s="3" t="s">
        <v>26</v>
      </c>
      <c r="F205" s="63">
        <v>330</v>
      </c>
      <c r="G205" s="54" t="s">
        <v>132</v>
      </c>
      <c r="H205" s="3" t="s">
        <v>1085</v>
      </c>
      <c r="I205" s="3" t="s">
        <v>1086</v>
      </c>
      <c r="J205" s="1"/>
      <c r="K205" s="1"/>
      <c r="L205" s="1"/>
      <c r="M205" s="1"/>
      <c r="N205" s="1"/>
      <c r="O205" s="1"/>
    </row>
    <row r="206" spans="1:15" ht="15.5" x14ac:dyDescent="0.35">
      <c r="A206" s="1" t="str">
        <f t="shared" si="6"/>
        <v>RC0402FR-07390RL</v>
      </c>
      <c r="B206" s="1" t="str">
        <f t="shared" si="7"/>
        <v>Резистор номиналом 390 Ом 1% 0402</v>
      </c>
      <c r="C206" s="3" t="s">
        <v>26</v>
      </c>
      <c r="D206" s="3" t="s">
        <v>29</v>
      </c>
      <c r="E206" s="3" t="s">
        <v>26</v>
      </c>
      <c r="F206" s="63">
        <v>390</v>
      </c>
      <c r="G206" s="54" t="s">
        <v>132</v>
      </c>
      <c r="H206" s="3" t="s">
        <v>1085</v>
      </c>
      <c r="I206" s="3" t="s">
        <v>1086</v>
      </c>
      <c r="J206" s="1"/>
      <c r="K206" s="1"/>
      <c r="L206" s="1"/>
      <c r="M206" s="1"/>
      <c r="N206" s="1"/>
      <c r="O206" s="1"/>
    </row>
    <row r="207" spans="1:15" ht="15.5" x14ac:dyDescent="0.35">
      <c r="A207" s="1" t="str">
        <f t="shared" si="6"/>
        <v>RC0402FR-07470RL</v>
      </c>
      <c r="B207" s="1" t="str">
        <f t="shared" si="7"/>
        <v>Резистор номиналом 470 Ом 1% 0402</v>
      </c>
      <c r="C207" s="3" t="s">
        <v>26</v>
      </c>
      <c r="D207" s="3" t="s">
        <v>29</v>
      </c>
      <c r="E207" s="3" t="s">
        <v>26</v>
      </c>
      <c r="F207" s="63">
        <v>470</v>
      </c>
      <c r="G207" s="54" t="s">
        <v>132</v>
      </c>
      <c r="H207" s="3" t="s">
        <v>1085</v>
      </c>
      <c r="I207" s="3" t="s">
        <v>1086</v>
      </c>
      <c r="J207" s="1"/>
      <c r="K207" s="1"/>
      <c r="L207" s="1"/>
      <c r="M207" s="1"/>
      <c r="N207" s="1"/>
      <c r="O207" s="1"/>
    </row>
    <row r="208" spans="1:15" ht="15.5" x14ac:dyDescent="0.35">
      <c r="A208" s="1" t="str">
        <f t="shared" si="6"/>
        <v>RC0402FR-07560RL</v>
      </c>
      <c r="B208" s="1" t="str">
        <f t="shared" si="7"/>
        <v>Резистор номиналом 560 Ом 1% 0402</v>
      </c>
      <c r="C208" s="3" t="s">
        <v>26</v>
      </c>
      <c r="D208" s="3" t="s">
        <v>29</v>
      </c>
      <c r="E208" s="3" t="s">
        <v>26</v>
      </c>
      <c r="F208" s="63">
        <v>560</v>
      </c>
      <c r="G208" s="54" t="s">
        <v>132</v>
      </c>
      <c r="H208" s="3" t="s">
        <v>1085</v>
      </c>
      <c r="I208" s="3" t="s">
        <v>1086</v>
      </c>
      <c r="J208" s="1"/>
      <c r="K208" s="1"/>
      <c r="L208" s="1"/>
      <c r="M208" s="1"/>
      <c r="N208" s="1"/>
      <c r="O208" s="1"/>
    </row>
    <row r="209" spans="1:15" ht="15.5" x14ac:dyDescent="0.35">
      <c r="A209" s="1" t="str">
        <f t="shared" si="6"/>
        <v>RC0402FR-07680RL</v>
      </c>
      <c r="B209" s="1" t="str">
        <f t="shared" si="7"/>
        <v>Резистор номиналом 680 Ом 1% 0402</v>
      </c>
      <c r="C209" s="3" t="s">
        <v>26</v>
      </c>
      <c r="D209" s="3" t="s">
        <v>29</v>
      </c>
      <c r="E209" s="3" t="s">
        <v>26</v>
      </c>
      <c r="F209" s="63">
        <v>680</v>
      </c>
      <c r="G209" s="54" t="s">
        <v>132</v>
      </c>
      <c r="H209" s="3" t="s">
        <v>1085</v>
      </c>
      <c r="I209" s="3" t="s">
        <v>1086</v>
      </c>
      <c r="J209" s="1"/>
      <c r="K209" s="1"/>
      <c r="L209" s="1"/>
      <c r="M209" s="1"/>
      <c r="N209" s="1"/>
      <c r="O209" s="1"/>
    </row>
    <row r="210" spans="1:15" ht="15.5" x14ac:dyDescent="0.35">
      <c r="A210" s="1" t="str">
        <f t="shared" si="6"/>
        <v>RC0402FR-07820RL</v>
      </c>
      <c r="B210" s="1" t="str">
        <f t="shared" si="7"/>
        <v>Резистор номиналом 820 Ом 1% 0402</v>
      </c>
      <c r="C210" s="3" t="s">
        <v>26</v>
      </c>
      <c r="D210" s="3" t="s">
        <v>29</v>
      </c>
      <c r="E210" s="3" t="s">
        <v>26</v>
      </c>
      <c r="F210" s="63">
        <v>820</v>
      </c>
      <c r="G210" s="54" t="s">
        <v>132</v>
      </c>
      <c r="H210" s="3" t="s">
        <v>1085</v>
      </c>
      <c r="I210" s="3" t="s">
        <v>1086</v>
      </c>
      <c r="J210" s="1"/>
      <c r="K210" s="1"/>
      <c r="L210" s="1"/>
      <c r="M210" s="1"/>
      <c r="N210" s="1"/>
      <c r="O210" s="1"/>
    </row>
    <row r="211" spans="1:15" ht="15.5" x14ac:dyDescent="0.35">
      <c r="A211" s="1" t="str">
        <f t="shared" si="6"/>
        <v>RC0402FR-071KL</v>
      </c>
      <c r="B211" s="1" t="str">
        <f t="shared" si="7"/>
        <v>Резистор номиналом 1 к Ом 1% 0402</v>
      </c>
      <c r="C211" s="3" t="s">
        <v>26</v>
      </c>
      <c r="D211" s="3" t="s">
        <v>29</v>
      </c>
      <c r="E211" s="3" t="s">
        <v>26</v>
      </c>
      <c r="F211" s="63" t="s">
        <v>544</v>
      </c>
      <c r="G211" s="54" t="s">
        <v>132</v>
      </c>
      <c r="H211" s="3" t="s">
        <v>1085</v>
      </c>
      <c r="I211" s="3" t="s">
        <v>1086</v>
      </c>
      <c r="J211" s="1"/>
      <c r="K211" s="1"/>
      <c r="L211" s="1"/>
      <c r="M211" s="1"/>
      <c r="N211" s="1"/>
      <c r="O211" s="1"/>
    </row>
    <row r="212" spans="1:15" ht="15.5" x14ac:dyDescent="0.35">
      <c r="A212" s="1" t="str">
        <f t="shared" si="6"/>
        <v>RC0402FR-0746M054L</v>
      </c>
      <c r="B212" s="1" t="str">
        <f t="shared" si="7"/>
        <v>Резистор номиналом 1.2 к Ом 1% 0402</v>
      </c>
      <c r="C212" s="3" t="s">
        <v>26</v>
      </c>
      <c r="D212" s="3" t="s">
        <v>29</v>
      </c>
      <c r="E212" s="3" t="s">
        <v>26</v>
      </c>
      <c r="F212" s="63" t="s">
        <v>1386</v>
      </c>
      <c r="G212" s="54" t="s">
        <v>132</v>
      </c>
      <c r="H212" s="3" t="s">
        <v>1085</v>
      </c>
      <c r="I212" s="3" t="s">
        <v>1086</v>
      </c>
      <c r="J212" s="1"/>
      <c r="K212" s="1"/>
      <c r="L212" s="1"/>
      <c r="M212" s="1"/>
      <c r="N212" s="1"/>
      <c r="O212" s="1"/>
    </row>
    <row r="213" spans="1:15" ht="15.5" x14ac:dyDescent="0.35">
      <c r="A213" s="1" t="str">
        <f t="shared" si="6"/>
        <v>RC0402FR-0746M143L</v>
      </c>
      <c r="B213" s="1" t="str">
        <f t="shared" si="7"/>
        <v>Резистор номиналом 1.5 к Ом 1% 0402</v>
      </c>
      <c r="C213" s="3" t="s">
        <v>26</v>
      </c>
      <c r="D213" s="3" t="s">
        <v>29</v>
      </c>
      <c r="E213" s="3" t="s">
        <v>26</v>
      </c>
      <c r="F213" s="63" t="s">
        <v>1387</v>
      </c>
      <c r="G213" s="54" t="s">
        <v>132</v>
      </c>
      <c r="H213" s="3" t="s">
        <v>1085</v>
      </c>
      <c r="I213" s="3" t="s">
        <v>1086</v>
      </c>
      <c r="J213" s="1"/>
      <c r="K213" s="1"/>
      <c r="L213" s="1"/>
      <c r="M213" s="1"/>
      <c r="N213" s="1"/>
      <c r="O213" s="1"/>
    </row>
    <row r="214" spans="1:15" ht="15.5" x14ac:dyDescent="0.35">
      <c r="A214" s="1" t="str">
        <f t="shared" si="6"/>
        <v>RC0402FR-0746M235L</v>
      </c>
      <c r="B214" s="1" t="str">
        <f t="shared" si="7"/>
        <v>Резистор номиналом 1.8 к Ом 1% 0402</v>
      </c>
      <c r="C214" s="3" t="s">
        <v>26</v>
      </c>
      <c r="D214" s="3" t="s">
        <v>29</v>
      </c>
      <c r="E214" s="3" t="s">
        <v>26</v>
      </c>
      <c r="F214" s="63" t="s">
        <v>1388</v>
      </c>
      <c r="G214" s="54" t="s">
        <v>132</v>
      </c>
      <c r="H214" s="3" t="s">
        <v>1085</v>
      </c>
      <c r="I214" s="3" t="s">
        <v>1086</v>
      </c>
      <c r="J214" s="1"/>
      <c r="K214" s="1"/>
      <c r="L214" s="1"/>
      <c r="M214" s="1"/>
      <c r="N214" s="1"/>
      <c r="O214" s="1"/>
    </row>
    <row r="215" spans="1:15" ht="15.5" x14ac:dyDescent="0.35">
      <c r="A215" s="1" t="str">
        <f t="shared" si="6"/>
        <v>RC0402FR-0746M055L</v>
      </c>
      <c r="B215" s="1" t="str">
        <f t="shared" si="7"/>
        <v>Резистор номиналом 2.2 к Ом 1% 0402</v>
      </c>
      <c r="C215" s="3" t="s">
        <v>26</v>
      </c>
      <c r="D215" s="3" t="s">
        <v>29</v>
      </c>
      <c r="E215" s="3" t="s">
        <v>26</v>
      </c>
      <c r="F215" s="63" t="s">
        <v>1389</v>
      </c>
      <c r="G215" s="54" t="s">
        <v>132</v>
      </c>
      <c r="H215" s="3" t="s">
        <v>1085</v>
      </c>
      <c r="I215" s="3" t="s">
        <v>1086</v>
      </c>
      <c r="J215" s="1"/>
      <c r="K215" s="1"/>
      <c r="L215" s="1"/>
      <c r="M215" s="1"/>
      <c r="N215" s="1"/>
      <c r="O215" s="1"/>
    </row>
    <row r="216" spans="1:15" ht="15.5" x14ac:dyDescent="0.35">
      <c r="A216" s="1" t="str">
        <f t="shared" si="6"/>
        <v>RC0402FR-0746M205L</v>
      </c>
      <c r="B216" s="1" t="str">
        <f t="shared" si="7"/>
        <v>Резистор номиналом 2.7 к Ом 1% 0402</v>
      </c>
      <c r="C216" s="3" t="s">
        <v>26</v>
      </c>
      <c r="D216" s="3" t="s">
        <v>29</v>
      </c>
      <c r="E216" s="3" t="s">
        <v>26</v>
      </c>
      <c r="F216" s="63" t="s">
        <v>1390</v>
      </c>
      <c r="G216" s="54" t="s">
        <v>132</v>
      </c>
      <c r="H216" s="3" t="s">
        <v>1085</v>
      </c>
      <c r="I216" s="3" t="s">
        <v>1086</v>
      </c>
      <c r="J216" s="1"/>
      <c r="K216" s="1"/>
      <c r="L216" s="1"/>
      <c r="M216" s="1"/>
      <c r="N216" s="1"/>
      <c r="O216" s="1"/>
    </row>
    <row r="217" spans="1:15" ht="15.5" x14ac:dyDescent="0.35">
      <c r="A217" s="1" t="str">
        <f t="shared" si="6"/>
        <v>RC0402FR-0746M084L</v>
      </c>
      <c r="B217" s="1" t="str">
        <f t="shared" si="7"/>
        <v>Резистор номиналом 3.3 к Ом 1% 0402</v>
      </c>
      <c r="C217" s="3" t="s">
        <v>26</v>
      </c>
      <c r="D217" s="3" t="s">
        <v>29</v>
      </c>
      <c r="E217" s="3" t="s">
        <v>26</v>
      </c>
      <c r="F217" s="63" t="s">
        <v>1391</v>
      </c>
      <c r="G217" s="54" t="s">
        <v>132</v>
      </c>
      <c r="H217" s="3" t="s">
        <v>1085</v>
      </c>
      <c r="I217" s="3" t="s">
        <v>1086</v>
      </c>
      <c r="J217" s="1"/>
      <c r="K217" s="1"/>
      <c r="L217" s="1"/>
      <c r="M217" s="1"/>
      <c r="N217" s="1"/>
      <c r="O217" s="1"/>
    </row>
    <row r="218" spans="1:15" ht="15.5" x14ac:dyDescent="0.35">
      <c r="A218" s="1" t="str">
        <f t="shared" si="6"/>
        <v>RC0402FR-0746M268L</v>
      </c>
      <c r="B218" s="1" t="str">
        <f t="shared" si="7"/>
        <v>Резистор номиналом 3.9 к Ом 1% 0402</v>
      </c>
      <c r="C218" s="3" t="s">
        <v>26</v>
      </c>
      <c r="D218" s="3" t="s">
        <v>29</v>
      </c>
      <c r="E218" s="3" t="s">
        <v>26</v>
      </c>
      <c r="F218" s="63" t="s">
        <v>1392</v>
      </c>
      <c r="G218" s="54" t="s">
        <v>132</v>
      </c>
      <c r="H218" s="3" t="s">
        <v>1085</v>
      </c>
      <c r="I218" s="3" t="s">
        <v>1086</v>
      </c>
      <c r="J218" s="1"/>
      <c r="K218" s="1"/>
      <c r="L218" s="1"/>
      <c r="M218" s="1"/>
      <c r="N218" s="1"/>
      <c r="O218" s="1"/>
    </row>
    <row r="219" spans="1:15" ht="15.5" x14ac:dyDescent="0.35">
      <c r="A219" s="1" t="str">
        <f t="shared" si="6"/>
        <v>RC0402FR-0746M207L</v>
      </c>
      <c r="B219" s="1" t="str">
        <f t="shared" si="7"/>
        <v>Резистор номиналом 4.7 к Ом 1% 0402</v>
      </c>
      <c r="C219" s="3" t="s">
        <v>26</v>
      </c>
      <c r="D219" s="3" t="s">
        <v>29</v>
      </c>
      <c r="E219" s="3" t="s">
        <v>26</v>
      </c>
      <c r="F219" s="63" t="s">
        <v>1393</v>
      </c>
      <c r="G219" s="54" t="s">
        <v>132</v>
      </c>
      <c r="H219" s="3" t="s">
        <v>1085</v>
      </c>
      <c r="I219" s="3" t="s">
        <v>1086</v>
      </c>
      <c r="J219" s="1"/>
      <c r="K219" s="1"/>
      <c r="L219" s="1"/>
      <c r="M219" s="1"/>
      <c r="N219" s="1"/>
      <c r="O219" s="1"/>
    </row>
    <row r="220" spans="1:15" ht="15.5" x14ac:dyDescent="0.35">
      <c r="A220" s="1" t="str">
        <f t="shared" si="6"/>
        <v>RC0402FR-0746M178L</v>
      </c>
      <c r="B220" s="1" t="str">
        <f t="shared" si="7"/>
        <v>Резистор номиналом 5.6 к Ом 1% 0402</v>
      </c>
      <c r="C220" s="3" t="s">
        <v>26</v>
      </c>
      <c r="D220" s="3" t="s">
        <v>29</v>
      </c>
      <c r="E220" s="3" t="s">
        <v>26</v>
      </c>
      <c r="F220" s="63" t="s">
        <v>1394</v>
      </c>
      <c r="G220" s="54" t="s">
        <v>132</v>
      </c>
      <c r="H220" s="3" t="s">
        <v>1085</v>
      </c>
      <c r="I220" s="3" t="s">
        <v>1086</v>
      </c>
      <c r="J220" s="1"/>
      <c r="K220" s="1"/>
      <c r="L220" s="1"/>
      <c r="M220" s="1"/>
      <c r="N220" s="1"/>
      <c r="O220" s="1"/>
    </row>
    <row r="221" spans="1:15" ht="15.5" x14ac:dyDescent="0.35">
      <c r="A221" s="1" t="str">
        <f t="shared" si="6"/>
        <v>RC0402FR-0746M24L</v>
      </c>
      <c r="B221" s="1" t="str">
        <f t="shared" si="7"/>
        <v>Резистор номиналом 6.8 к Ом 1% 0402</v>
      </c>
      <c r="C221" s="3" t="s">
        <v>26</v>
      </c>
      <c r="D221" s="3" t="s">
        <v>29</v>
      </c>
      <c r="E221" s="3" t="s">
        <v>26</v>
      </c>
      <c r="F221" s="63" t="s">
        <v>1395</v>
      </c>
      <c r="G221" s="54" t="s">
        <v>132</v>
      </c>
      <c r="H221" s="3" t="s">
        <v>1085</v>
      </c>
      <c r="I221" s="3" t="s">
        <v>1086</v>
      </c>
      <c r="J221" s="1"/>
      <c r="K221" s="1"/>
      <c r="L221" s="1"/>
      <c r="M221" s="1"/>
      <c r="N221" s="1"/>
      <c r="O221" s="1"/>
    </row>
    <row r="222" spans="1:15" ht="15.5" x14ac:dyDescent="0.35">
      <c r="A222" s="1" t="str">
        <f t="shared" si="6"/>
        <v>RC0402FR-0746M061L</v>
      </c>
      <c r="B222" s="1" t="str">
        <f t="shared" si="7"/>
        <v>Резистор номиналом 8.2 к Ом 1% 0402</v>
      </c>
      <c r="C222" s="3" t="s">
        <v>26</v>
      </c>
      <c r="D222" s="3" t="s">
        <v>29</v>
      </c>
      <c r="E222" s="3" t="s">
        <v>26</v>
      </c>
      <c r="F222" s="63" t="s">
        <v>1396</v>
      </c>
      <c r="G222" s="54" t="s">
        <v>132</v>
      </c>
      <c r="H222" s="3" t="s">
        <v>1085</v>
      </c>
      <c r="I222" s="3" t="s">
        <v>1086</v>
      </c>
      <c r="J222" s="1"/>
      <c r="K222" s="1"/>
      <c r="L222" s="1"/>
      <c r="M222" s="1"/>
      <c r="N222" s="1"/>
      <c r="O222" s="1"/>
    </row>
    <row r="223" spans="1:15" ht="15.5" x14ac:dyDescent="0.35">
      <c r="A223" s="1" t="str">
        <f t="shared" si="6"/>
        <v>RC0402FR-0710KL</v>
      </c>
      <c r="B223" s="1" t="str">
        <f t="shared" si="7"/>
        <v>Резистор номиналом 10 к Ом 1% 0402</v>
      </c>
      <c r="C223" s="3" t="s">
        <v>26</v>
      </c>
      <c r="D223" s="3" t="s">
        <v>29</v>
      </c>
      <c r="E223" s="3" t="s">
        <v>26</v>
      </c>
      <c r="F223" s="63" t="s">
        <v>163</v>
      </c>
      <c r="G223" s="54" t="s">
        <v>132</v>
      </c>
      <c r="H223" s="3" t="s">
        <v>1085</v>
      </c>
      <c r="I223" s="3" t="s">
        <v>1086</v>
      </c>
      <c r="J223" s="1"/>
      <c r="K223" s="1"/>
      <c r="L223" s="1"/>
      <c r="M223" s="1"/>
      <c r="N223" s="1"/>
      <c r="O223" s="1"/>
    </row>
    <row r="224" spans="1:15" ht="15.5" x14ac:dyDescent="0.35">
      <c r="A224" s="1" t="str">
        <f t="shared" si="6"/>
        <v>RC0402FR-0712KL</v>
      </c>
      <c r="B224" s="1" t="str">
        <f t="shared" si="7"/>
        <v>Резистор номиналом 12 к Ом 1% 0402</v>
      </c>
      <c r="C224" s="3" t="s">
        <v>26</v>
      </c>
      <c r="D224" s="3" t="s">
        <v>29</v>
      </c>
      <c r="E224" s="3" t="s">
        <v>26</v>
      </c>
      <c r="F224" s="63" t="s">
        <v>325</v>
      </c>
      <c r="G224" s="54" t="s">
        <v>132</v>
      </c>
      <c r="H224" s="3" t="s">
        <v>1085</v>
      </c>
      <c r="I224" s="3" t="s">
        <v>1086</v>
      </c>
      <c r="J224" s="1"/>
      <c r="K224" s="1"/>
      <c r="L224" s="1"/>
      <c r="M224" s="1"/>
      <c r="N224" s="1"/>
      <c r="O224" s="1"/>
    </row>
    <row r="225" spans="1:15" ht="15.5" x14ac:dyDescent="0.35">
      <c r="A225" s="1" t="str">
        <f t="shared" si="6"/>
        <v>RC0402FR-0715KL</v>
      </c>
      <c r="B225" s="1" t="str">
        <f t="shared" si="7"/>
        <v>Резистор номиналом 15 к Ом 1% 0402</v>
      </c>
      <c r="C225" s="3" t="s">
        <v>26</v>
      </c>
      <c r="D225" s="3" t="s">
        <v>29</v>
      </c>
      <c r="E225" s="3" t="s">
        <v>26</v>
      </c>
      <c r="F225" s="63" t="s">
        <v>166</v>
      </c>
      <c r="G225" s="54" t="s">
        <v>132</v>
      </c>
      <c r="H225" s="3" t="s">
        <v>1085</v>
      </c>
      <c r="I225" s="3" t="s">
        <v>1086</v>
      </c>
      <c r="J225" s="1"/>
      <c r="K225" s="1"/>
      <c r="L225" s="1"/>
      <c r="M225" s="1"/>
      <c r="N225" s="1"/>
      <c r="O225" s="1"/>
    </row>
    <row r="226" spans="1:15" ht="15.5" x14ac:dyDescent="0.35">
      <c r="A226" s="1" t="str">
        <f t="shared" si="6"/>
        <v>RC0402FR-0718KL</v>
      </c>
      <c r="B226" s="1" t="str">
        <f t="shared" si="7"/>
        <v>Резистор номиналом 18 к Ом 1% 0402</v>
      </c>
      <c r="C226" s="3" t="s">
        <v>26</v>
      </c>
      <c r="D226" s="3" t="s">
        <v>29</v>
      </c>
      <c r="E226" s="3" t="s">
        <v>26</v>
      </c>
      <c r="F226" s="63" t="s">
        <v>168</v>
      </c>
      <c r="G226" s="54" t="s">
        <v>132</v>
      </c>
      <c r="H226" s="3" t="s">
        <v>1085</v>
      </c>
      <c r="I226" s="3" t="s">
        <v>1086</v>
      </c>
      <c r="J226" s="1"/>
      <c r="K226" s="1"/>
      <c r="L226" s="1"/>
      <c r="M226" s="1"/>
      <c r="N226" s="1"/>
      <c r="O226" s="1"/>
    </row>
    <row r="227" spans="1:15" ht="15.5" x14ac:dyDescent="0.35">
      <c r="A227" s="1" t="str">
        <f t="shared" si="6"/>
        <v>RC0402FR-0722KL</v>
      </c>
      <c r="B227" s="1" t="str">
        <f t="shared" si="7"/>
        <v>Резистор номиналом 22 к Ом 1% 0402</v>
      </c>
      <c r="C227" s="3" t="s">
        <v>26</v>
      </c>
      <c r="D227" s="3" t="s">
        <v>29</v>
      </c>
      <c r="E227" s="3" t="s">
        <v>26</v>
      </c>
      <c r="F227" s="63" t="s">
        <v>170</v>
      </c>
      <c r="G227" s="54" t="s">
        <v>132</v>
      </c>
      <c r="H227" s="3" t="s">
        <v>1085</v>
      </c>
      <c r="I227" s="3" t="s">
        <v>1086</v>
      </c>
      <c r="J227" s="1"/>
      <c r="K227" s="1"/>
      <c r="L227" s="1"/>
      <c r="M227" s="1"/>
      <c r="N227" s="1"/>
      <c r="O227" s="1"/>
    </row>
    <row r="228" spans="1:15" ht="15.5" x14ac:dyDescent="0.35">
      <c r="A228" s="1" t="str">
        <f t="shared" si="6"/>
        <v>RC0402FR-0727KL</v>
      </c>
      <c r="B228" s="1" t="str">
        <f t="shared" si="7"/>
        <v>Резистор номиналом 27 к Ом 1% 0402</v>
      </c>
      <c r="C228" s="3" t="s">
        <v>26</v>
      </c>
      <c r="D228" s="3" t="s">
        <v>29</v>
      </c>
      <c r="E228" s="3" t="s">
        <v>26</v>
      </c>
      <c r="F228" s="63" t="s">
        <v>326</v>
      </c>
      <c r="G228" s="54" t="s">
        <v>132</v>
      </c>
      <c r="H228" s="3" t="s">
        <v>1085</v>
      </c>
      <c r="I228" s="3" t="s">
        <v>1086</v>
      </c>
      <c r="J228" s="1"/>
      <c r="K228" s="1"/>
      <c r="L228" s="1"/>
      <c r="M228" s="1"/>
      <c r="N228" s="1"/>
      <c r="O228" s="1"/>
    </row>
    <row r="229" spans="1:15" ht="15.5" x14ac:dyDescent="0.35">
      <c r="A229" s="1" t="str">
        <f t="shared" si="6"/>
        <v>RC0402FR-0733KL</v>
      </c>
      <c r="B229" s="1" t="str">
        <f t="shared" si="7"/>
        <v>Резистор номиналом 33 к Ом 1% 0402</v>
      </c>
      <c r="C229" s="3" t="s">
        <v>26</v>
      </c>
      <c r="D229" s="3" t="s">
        <v>29</v>
      </c>
      <c r="E229" s="3" t="s">
        <v>26</v>
      </c>
      <c r="F229" s="63" t="s">
        <v>328</v>
      </c>
      <c r="G229" s="54" t="s">
        <v>132</v>
      </c>
      <c r="H229" s="3" t="s">
        <v>1085</v>
      </c>
      <c r="I229" s="3" t="s">
        <v>1086</v>
      </c>
      <c r="J229" s="1"/>
      <c r="K229" s="1"/>
      <c r="L229" s="1"/>
      <c r="M229" s="1"/>
      <c r="N229" s="1"/>
      <c r="O229" s="1"/>
    </row>
    <row r="230" spans="1:15" ht="15.5" x14ac:dyDescent="0.35">
      <c r="A230" s="1" t="str">
        <f t="shared" si="6"/>
        <v>RC0402FR-0739KL</v>
      </c>
      <c r="B230" s="1" t="str">
        <f t="shared" si="7"/>
        <v>Резистор номиналом 39 к Ом 1% 0402</v>
      </c>
      <c r="C230" s="3" t="s">
        <v>26</v>
      </c>
      <c r="D230" s="3" t="s">
        <v>29</v>
      </c>
      <c r="E230" s="3" t="s">
        <v>26</v>
      </c>
      <c r="F230" s="63" t="s">
        <v>330</v>
      </c>
      <c r="G230" s="54" t="s">
        <v>132</v>
      </c>
      <c r="H230" s="3" t="s">
        <v>1085</v>
      </c>
      <c r="I230" s="3" t="s">
        <v>1086</v>
      </c>
      <c r="J230" s="1"/>
      <c r="K230" s="1"/>
      <c r="L230" s="1"/>
      <c r="M230" s="1"/>
      <c r="N230" s="1"/>
      <c r="O230" s="1"/>
    </row>
    <row r="231" spans="1:15" ht="15.5" x14ac:dyDescent="0.35">
      <c r="A231" s="1" t="str">
        <f t="shared" si="6"/>
        <v>RC0402FR-0747KL</v>
      </c>
      <c r="B231" s="1" t="str">
        <f t="shared" si="7"/>
        <v>Резистор номиналом 47 к Ом 1% 0402</v>
      </c>
      <c r="C231" s="3" t="s">
        <v>26</v>
      </c>
      <c r="D231" s="3" t="s">
        <v>29</v>
      </c>
      <c r="E231" s="3" t="s">
        <v>26</v>
      </c>
      <c r="F231" s="63" t="s">
        <v>332</v>
      </c>
      <c r="G231" s="54" t="s">
        <v>132</v>
      </c>
      <c r="H231" s="3" t="s">
        <v>1085</v>
      </c>
      <c r="I231" s="3" t="s">
        <v>1086</v>
      </c>
      <c r="J231" s="1"/>
      <c r="K231" s="1"/>
      <c r="L231" s="1"/>
      <c r="M231" s="1"/>
      <c r="N231" s="1"/>
      <c r="O231" s="1"/>
    </row>
    <row r="232" spans="1:15" ht="15.5" x14ac:dyDescent="0.35">
      <c r="A232" s="1" t="str">
        <f t="shared" si="6"/>
        <v>RC0402FR-0756KL</v>
      </c>
      <c r="B232" s="1" t="str">
        <f t="shared" si="7"/>
        <v>Резистор номиналом 56 к Ом 1% 0402</v>
      </c>
      <c r="C232" s="3" t="s">
        <v>26</v>
      </c>
      <c r="D232" s="3" t="s">
        <v>29</v>
      </c>
      <c r="E232" s="3" t="s">
        <v>26</v>
      </c>
      <c r="F232" s="63" t="s">
        <v>173</v>
      </c>
      <c r="G232" s="54" t="s">
        <v>132</v>
      </c>
      <c r="H232" s="3" t="s">
        <v>1085</v>
      </c>
      <c r="I232" s="3" t="s">
        <v>1086</v>
      </c>
      <c r="J232" s="1"/>
      <c r="K232" s="1"/>
      <c r="L232" s="1"/>
      <c r="M232" s="1"/>
      <c r="N232" s="1"/>
      <c r="O232" s="1"/>
    </row>
    <row r="233" spans="1:15" ht="15.5" x14ac:dyDescent="0.35">
      <c r="A233" s="1" t="str">
        <f t="shared" si="6"/>
        <v>RC0402FR-0768KL</v>
      </c>
      <c r="B233" s="1" t="str">
        <f t="shared" si="7"/>
        <v>Резистор номиналом 68 к Ом 1% 0402</v>
      </c>
      <c r="C233" s="3" t="s">
        <v>26</v>
      </c>
      <c r="D233" s="3" t="s">
        <v>29</v>
      </c>
      <c r="E233" s="3" t="s">
        <v>26</v>
      </c>
      <c r="F233" s="63" t="s">
        <v>175</v>
      </c>
      <c r="G233" s="54" t="s">
        <v>132</v>
      </c>
      <c r="H233" s="3" t="s">
        <v>1085</v>
      </c>
      <c r="I233" s="3" t="s">
        <v>1086</v>
      </c>
      <c r="J233" s="1"/>
      <c r="K233" s="1"/>
      <c r="L233" s="1"/>
      <c r="M233" s="1"/>
      <c r="N233" s="1"/>
      <c r="O233" s="1"/>
    </row>
    <row r="234" spans="1:15" ht="15.5" x14ac:dyDescent="0.35">
      <c r="A234" s="1" t="str">
        <f t="shared" si="6"/>
        <v>RC0402FR-0782KL</v>
      </c>
      <c r="B234" s="1" t="str">
        <f t="shared" si="7"/>
        <v>Резистор номиналом 82 к Ом 1% 0402</v>
      </c>
      <c r="C234" s="3" t="s">
        <v>26</v>
      </c>
      <c r="D234" s="3" t="s">
        <v>29</v>
      </c>
      <c r="E234" s="3" t="s">
        <v>26</v>
      </c>
      <c r="F234" s="63" t="s">
        <v>352</v>
      </c>
      <c r="G234" s="54" t="s">
        <v>132</v>
      </c>
      <c r="H234" s="3" t="s">
        <v>1085</v>
      </c>
      <c r="I234" s="3" t="s">
        <v>1086</v>
      </c>
      <c r="J234" s="1"/>
      <c r="K234" s="1"/>
      <c r="L234" s="1"/>
      <c r="M234" s="1"/>
      <c r="N234" s="1"/>
      <c r="O234" s="1"/>
    </row>
    <row r="235" spans="1:15" ht="15.5" x14ac:dyDescent="0.35">
      <c r="A235" s="1" t="str">
        <f t="shared" si="6"/>
        <v>RC0402FR-07100KL</v>
      </c>
      <c r="B235" s="1" t="str">
        <f t="shared" si="7"/>
        <v>Резистор номиналом 100 к Ом 1% 0402</v>
      </c>
      <c r="C235" s="3" t="s">
        <v>26</v>
      </c>
      <c r="D235" s="3" t="s">
        <v>29</v>
      </c>
      <c r="E235" s="3" t="s">
        <v>26</v>
      </c>
      <c r="F235" s="63" t="s">
        <v>178</v>
      </c>
      <c r="G235" s="54" t="s">
        <v>132</v>
      </c>
      <c r="H235" s="3" t="s">
        <v>1085</v>
      </c>
      <c r="I235" s="3" t="s">
        <v>1086</v>
      </c>
      <c r="J235" s="1"/>
      <c r="K235" s="1"/>
      <c r="L235" s="1"/>
      <c r="M235" s="1"/>
      <c r="N235" s="1"/>
      <c r="O235" s="1"/>
    </row>
    <row r="236" spans="1:15" ht="15.5" x14ac:dyDescent="0.35">
      <c r="A236" s="1" t="str">
        <f t="shared" si="6"/>
        <v>RC0402FR-07120KL</v>
      </c>
      <c r="B236" s="1" t="str">
        <f t="shared" si="7"/>
        <v>Резистор номиналом 120 к Ом 1% 0402</v>
      </c>
      <c r="C236" s="3" t="s">
        <v>26</v>
      </c>
      <c r="D236" s="3" t="s">
        <v>29</v>
      </c>
      <c r="E236" s="3" t="s">
        <v>26</v>
      </c>
      <c r="F236" s="63" t="s">
        <v>180</v>
      </c>
      <c r="G236" s="54" t="s">
        <v>132</v>
      </c>
      <c r="H236" s="3" t="s">
        <v>1085</v>
      </c>
      <c r="I236" s="3" t="s">
        <v>1086</v>
      </c>
      <c r="J236" s="1"/>
      <c r="K236" s="1"/>
      <c r="L236" s="1"/>
      <c r="M236" s="1"/>
      <c r="N236" s="1"/>
      <c r="O236" s="1"/>
    </row>
    <row r="237" spans="1:15" ht="15.5" x14ac:dyDescent="0.35">
      <c r="A237" s="1" t="str">
        <f t="shared" si="6"/>
        <v>RC0402FR-07150KL</v>
      </c>
      <c r="B237" s="1" t="str">
        <f t="shared" si="7"/>
        <v>Резистор номиналом 150 к Ом 1% 0402</v>
      </c>
      <c r="C237" s="3" t="s">
        <v>26</v>
      </c>
      <c r="D237" s="3" t="s">
        <v>29</v>
      </c>
      <c r="E237" s="3" t="s">
        <v>26</v>
      </c>
      <c r="F237" s="63" t="s">
        <v>182</v>
      </c>
      <c r="G237" s="54" t="s">
        <v>132</v>
      </c>
      <c r="H237" s="3" t="s">
        <v>1085</v>
      </c>
      <c r="I237" s="3" t="s">
        <v>1086</v>
      </c>
      <c r="J237" s="1"/>
      <c r="K237" s="1"/>
      <c r="L237" s="1"/>
      <c r="M237" s="1"/>
      <c r="N237" s="1"/>
      <c r="O237" s="1"/>
    </row>
    <row r="238" spans="1:15" ht="15.5" x14ac:dyDescent="0.35">
      <c r="A238" s="1" t="str">
        <f t="shared" si="6"/>
        <v>RC0402FR-07180KL</v>
      </c>
      <c r="B238" s="1" t="str">
        <f t="shared" si="7"/>
        <v>Резистор номиналом 180 к Ом 1% 0402</v>
      </c>
      <c r="C238" s="3" t="s">
        <v>26</v>
      </c>
      <c r="D238" s="3" t="s">
        <v>29</v>
      </c>
      <c r="E238" s="3" t="s">
        <v>26</v>
      </c>
      <c r="F238" s="63" t="s">
        <v>184</v>
      </c>
      <c r="G238" s="54" t="s">
        <v>132</v>
      </c>
      <c r="H238" s="3" t="s">
        <v>1085</v>
      </c>
      <c r="I238" s="3" t="s">
        <v>1086</v>
      </c>
      <c r="J238" s="1"/>
      <c r="K238" s="1"/>
      <c r="L238" s="1"/>
      <c r="M238" s="1"/>
      <c r="N238" s="1"/>
      <c r="O238" s="1"/>
    </row>
    <row r="239" spans="1:15" ht="15.5" x14ac:dyDescent="0.35">
      <c r="A239" s="1" t="str">
        <f t="shared" si="6"/>
        <v>RC0402FR-07220KL</v>
      </c>
      <c r="B239" s="1" t="str">
        <f t="shared" si="7"/>
        <v>Резистор номиналом 220 к Ом 1% 0402</v>
      </c>
      <c r="C239" s="3" t="s">
        <v>26</v>
      </c>
      <c r="D239" s="3" t="s">
        <v>29</v>
      </c>
      <c r="E239" s="3" t="s">
        <v>26</v>
      </c>
      <c r="F239" s="63" t="s">
        <v>186</v>
      </c>
      <c r="G239" s="54" t="s">
        <v>132</v>
      </c>
      <c r="H239" s="3" t="s">
        <v>1085</v>
      </c>
      <c r="I239" s="3" t="s">
        <v>1086</v>
      </c>
      <c r="J239" s="1"/>
      <c r="K239" s="1"/>
      <c r="L239" s="1"/>
      <c r="M239" s="1"/>
      <c r="N239" s="1"/>
      <c r="O239" s="1"/>
    </row>
    <row r="240" spans="1:15" ht="15.5" x14ac:dyDescent="0.35">
      <c r="A240" s="1" t="str">
        <f t="shared" si="6"/>
        <v>RC0402FR-07270KL</v>
      </c>
      <c r="B240" s="1" t="str">
        <f t="shared" si="7"/>
        <v>Резистор номиналом 270 к Ом 1% 0402</v>
      </c>
      <c r="C240" s="3" t="s">
        <v>26</v>
      </c>
      <c r="D240" s="3" t="s">
        <v>29</v>
      </c>
      <c r="E240" s="3" t="s">
        <v>26</v>
      </c>
      <c r="F240" s="63" t="s">
        <v>333</v>
      </c>
      <c r="G240" s="54" t="s">
        <v>132</v>
      </c>
      <c r="H240" s="3" t="s">
        <v>1085</v>
      </c>
      <c r="I240" s="3" t="s">
        <v>1086</v>
      </c>
      <c r="J240" s="1"/>
      <c r="K240" s="1"/>
      <c r="L240" s="1"/>
      <c r="M240" s="1"/>
      <c r="N240" s="1"/>
      <c r="O240" s="1"/>
    </row>
    <row r="241" spans="1:15" ht="15.5" x14ac:dyDescent="0.35">
      <c r="A241" s="1" t="str">
        <f t="shared" si="6"/>
        <v>RC0402FR-07330KL</v>
      </c>
      <c r="B241" s="1" t="str">
        <f t="shared" si="7"/>
        <v>Резистор номиналом 330 к Ом 1% 0402</v>
      </c>
      <c r="C241" s="3" t="s">
        <v>26</v>
      </c>
      <c r="D241" s="3" t="s">
        <v>29</v>
      </c>
      <c r="E241" s="3" t="s">
        <v>26</v>
      </c>
      <c r="F241" s="63" t="s">
        <v>335</v>
      </c>
      <c r="G241" s="54" t="s">
        <v>132</v>
      </c>
      <c r="H241" s="3" t="s">
        <v>1085</v>
      </c>
      <c r="I241" s="3" t="s">
        <v>1086</v>
      </c>
      <c r="J241" s="1"/>
      <c r="K241" s="1"/>
      <c r="L241" s="1"/>
      <c r="M241" s="1"/>
      <c r="N241" s="1"/>
      <c r="O241" s="1"/>
    </row>
    <row r="242" spans="1:15" ht="15.5" x14ac:dyDescent="0.35">
      <c r="A242" s="1" t="str">
        <f t="shared" si="6"/>
        <v>RC0402FR-07390KL</v>
      </c>
      <c r="B242" s="1" t="str">
        <f t="shared" si="7"/>
        <v>Резистор номиналом 390 к Ом 1% 0402</v>
      </c>
      <c r="C242" s="3" t="s">
        <v>26</v>
      </c>
      <c r="D242" s="3" t="s">
        <v>29</v>
      </c>
      <c r="E242" s="3" t="s">
        <v>26</v>
      </c>
      <c r="F242" s="63" t="s">
        <v>337</v>
      </c>
      <c r="G242" s="54" t="s">
        <v>132</v>
      </c>
      <c r="H242" s="3" t="s">
        <v>1085</v>
      </c>
      <c r="I242" s="3" t="s">
        <v>1086</v>
      </c>
      <c r="J242" s="1"/>
      <c r="K242" s="1"/>
      <c r="L242" s="1"/>
      <c r="M242" s="1"/>
      <c r="N242" s="1"/>
      <c r="O242" s="1"/>
    </row>
    <row r="243" spans="1:15" ht="15.5" x14ac:dyDescent="0.35">
      <c r="A243" s="1" t="str">
        <f t="shared" si="6"/>
        <v>RC0402FR-07470KL</v>
      </c>
      <c r="B243" s="1" t="str">
        <f t="shared" si="7"/>
        <v>Резистор номиналом 470 к Ом 1% 0402</v>
      </c>
      <c r="C243" s="3" t="s">
        <v>26</v>
      </c>
      <c r="D243" s="3" t="s">
        <v>29</v>
      </c>
      <c r="E243" s="3" t="s">
        <v>26</v>
      </c>
      <c r="F243" s="63" t="s">
        <v>339</v>
      </c>
      <c r="G243" s="54" t="s">
        <v>132</v>
      </c>
      <c r="H243" s="3" t="s">
        <v>1085</v>
      </c>
      <c r="I243" s="3" t="s">
        <v>1086</v>
      </c>
      <c r="J243" s="1"/>
      <c r="K243" s="1"/>
      <c r="L243" s="1"/>
      <c r="M243" s="1"/>
      <c r="N243" s="1"/>
      <c r="O243" s="1"/>
    </row>
    <row r="244" spans="1:15" ht="15.5" x14ac:dyDescent="0.35">
      <c r="A244" s="1" t="str">
        <f t="shared" si="6"/>
        <v>RC0402FR-07560KL</v>
      </c>
      <c r="B244" s="1" t="str">
        <f t="shared" si="7"/>
        <v>Резистор номиналом 560 к Ом 1% 0402</v>
      </c>
      <c r="C244" s="3" t="s">
        <v>26</v>
      </c>
      <c r="D244" s="3" t="s">
        <v>29</v>
      </c>
      <c r="E244" s="3" t="s">
        <v>26</v>
      </c>
      <c r="F244" s="63" t="s">
        <v>189</v>
      </c>
      <c r="G244" s="54" t="s">
        <v>132</v>
      </c>
      <c r="H244" s="3" t="s">
        <v>1085</v>
      </c>
      <c r="I244" s="3" t="s">
        <v>1086</v>
      </c>
      <c r="J244" s="1"/>
      <c r="K244" s="1"/>
      <c r="L244" s="1"/>
      <c r="M244" s="1"/>
      <c r="N244" s="1"/>
      <c r="O244" s="1"/>
    </row>
    <row r="245" spans="1:15" ht="15.5" x14ac:dyDescent="0.35">
      <c r="A245" s="1" t="str">
        <f t="shared" si="6"/>
        <v>RC0402FR-07680KL</v>
      </c>
      <c r="B245" s="1" t="str">
        <f t="shared" si="7"/>
        <v>Резистор номиналом 680 к Ом 1% 0402</v>
      </c>
      <c r="C245" s="3" t="s">
        <v>26</v>
      </c>
      <c r="D245" s="3" t="s">
        <v>29</v>
      </c>
      <c r="E245" s="3" t="s">
        <v>26</v>
      </c>
      <c r="F245" s="63" t="s">
        <v>191</v>
      </c>
      <c r="G245" s="54" t="s">
        <v>132</v>
      </c>
      <c r="H245" s="3" t="s">
        <v>1085</v>
      </c>
      <c r="I245" s="3" t="s">
        <v>1086</v>
      </c>
      <c r="J245" s="1"/>
      <c r="K245" s="1"/>
      <c r="L245" s="1"/>
      <c r="M245" s="1"/>
      <c r="N245" s="1"/>
      <c r="O245" s="1"/>
    </row>
    <row r="246" spans="1:15" ht="15.5" x14ac:dyDescent="0.35">
      <c r="A246" s="1" t="str">
        <f t="shared" si="6"/>
        <v>RC0402FR-07820KL</v>
      </c>
      <c r="B246" s="1" t="str">
        <f t="shared" si="7"/>
        <v>Резистор номиналом 820 к Ом 1% 0402</v>
      </c>
      <c r="C246" s="3" t="s">
        <v>26</v>
      </c>
      <c r="D246" s="3" t="s">
        <v>29</v>
      </c>
      <c r="E246" s="3" t="s">
        <v>26</v>
      </c>
      <c r="F246" s="63" t="s">
        <v>353</v>
      </c>
      <c r="G246" s="54" t="s">
        <v>132</v>
      </c>
      <c r="H246" s="3" t="s">
        <v>1085</v>
      </c>
      <c r="I246" s="3" t="s">
        <v>1086</v>
      </c>
      <c r="J246" s="1"/>
      <c r="K246" s="1"/>
      <c r="L246" s="1"/>
      <c r="M246" s="1"/>
      <c r="N246" s="1"/>
      <c r="O246" s="1"/>
    </row>
    <row r="247" spans="1:15" ht="15.5" x14ac:dyDescent="0.35">
      <c r="A247" s="1" t="str">
        <f t="shared" si="6"/>
        <v>RC0402FR-071ML</v>
      </c>
      <c r="B247" s="1" t="str">
        <f t="shared" si="7"/>
        <v>Резистор номиналом 1 М Ом 1% 0402</v>
      </c>
      <c r="C247" s="3" t="s">
        <v>26</v>
      </c>
      <c r="D247" s="3" t="s">
        <v>29</v>
      </c>
      <c r="E247" s="3" t="s">
        <v>26</v>
      </c>
      <c r="F247" s="63" t="s">
        <v>1397</v>
      </c>
      <c r="G247" s="54" t="s">
        <v>132</v>
      </c>
      <c r="H247" s="3" t="s">
        <v>1085</v>
      </c>
      <c r="I247" s="3" t="s">
        <v>1086</v>
      </c>
      <c r="J247" s="1"/>
      <c r="K247" s="1"/>
      <c r="L247" s="1"/>
      <c r="M247" s="1"/>
      <c r="N247" s="1"/>
      <c r="O247" s="1"/>
    </row>
    <row r="248" spans="1:15" ht="15.5" x14ac:dyDescent="0.35">
      <c r="A248" s="1" t="str">
        <f t="shared" si="6"/>
        <v>RC0805FR-071RL</v>
      </c>
      <c r="B248" s="1" t="str">
        <f t="shared" si="7"/>
        <v>Резистор номиналом 1 Ом 1% 0805</v>
      </c>
      <c r="C248" s="3" t="s">
        <v>26</v>
      </c>
      <c r="D248" s="3" t="s">
        <v>29</v>
      </c>
      <c r="E248" s="3" t="s">
        <v>26</v>
      </c>
      <c r="F248" s="63">
        <v>1</v>
      </c>
      <c r="G248" s="54" t="s">
        <v>132</v>
      </c>
      <c r="H248" s="3" t="s">
        <v>1288</v>
      </c>
      <c r="I248" s="3" t="s">
        <v>1287</v>
      </c>
      <c r="J248" s="1"/>
      <c r="K248" s="1"/>
      <c r="L248" s="1"/>
      <c r="M248" s="1"/>
      <c r="N248" s="1"/>
      <c r="O248" s="1"/>
    </row>
    <row r="249" spans="1:15" ht="15.5" x14ac:dyDescent="0.35">
      <c r="A249" s="1" t="str">
        <f t="shared" si="6"/>
        <v>RC0805FR-071R2L</v>
      </c>
      <c r="B249" s="1" t="str">
        <f t="shared" si="7"/>
        <v>Резистор номиналом 1,2 Ом 1% 0805</v>
      </c>
      <c r="C249" s="3" t="s">
        <v>26</v>
      </c>
      <c r="D249" s="3" t="s">
        <v>29</v>
      </c>
      <c r="E249" s="3" t="s">
        <v>26</v>
      </c>
      <c r="F249" s="63">
        <v>1.2</v>
      </c>
      <c r="G249" s="54" t="s">
        <v>132</v>
      </c>
      <c r="H249" s="3" t="s">
        <v>1288</v>
      </c>
      <c r="I249" s="3" t="s">
        <v>1287</v>
      </c>
      <c r="J249" s="1"/>
      <c r="K249" s="1"/>
      <c r="L249" s="1"/>
      <c r="M249" s="1"/>
      <c r="N249" s="1"/>
      <c r="O249" s="1"/>
    </row>
    <row r="250" spans="1:15" ht="15.5" x14ac:dyDescent="0.35">
      <c r="A250" s="1" t="str">
        <f t="shared" si="6"/>
        <v>RC0805FR-071R5L</v>
      </c>
      <c r="B250" s="1" t="str">
        <f t="shared" si="7"/>
        <v>Резистор номиналом 1,5 Ом 1% 0805</v>
      </c>
      <c r="C250" s="3" t="s">
        <v>26</v>
      </c>
      <c r="D250" s="3" t="s">
        <v>29</v>
      </c>
      <c r="E250" s="3" t="s">
        <v>26</v>
      </c>
      <c r="F250" s="63">
        <v>1.5</v>
      </c>
      <c r="G250" s="54" t="s">
        <v>132</v>
      </c>
      <c r="H250" s="3" t="s">
        <v>1288</v>
      </c>
      <c r="I250" s="3" t="s">
        <v>1287</v>
      </c>
      <c r="J250" s="1"/>
      <c r="K250" s="1"/>
      <c r="L250" s="1"/>
      <c r="M250" s="1"/>
      <c r="N250" s="1"/>
      <c r="O250" s="1"/>
    </row>
    <row r="251" spans="1:15" ht="15.5" x14ac:dyDescent="0.35">
      <c r="A251" s="1" t="str">
        <f t="shared" si="6"/>
        <v>RC0805FR-071R8L</v>
      </c>
      <c r="B251" s="1" t="str">
        <f t="shared" si="7"/>
        <v>Резистор номиналом 1,8 Ом 1% 0805</v>
      </c>
      <c r="C251" s="3" t="s">
        <v>26</v>
      </c>
      <c r="D251" s="3" t="s">
        <v>29</v>
      </c>
      <c r="E251" s="3" t="s">
        <v>26</v>
      </c>
      <c r="F251" s="63">
        <v>1.8</v>
      </c>
      <c r="G251" s="54" t="s">
        <v>132</v>
      </c>
      <c r="H251" s="3" t="s">
        <v>1288</v>
      </c>
      <c r="I251" s="3" t="s">
        <v>1287</v>
      </c>
      <c r="J251" s="1"/>
      <c r="K251" s="1"/>
      <c r="L251" s="1"/>
      <c r="M251" s="1"/>
      <c r="N251" s="1"/>
      <c r="O251" s="1"/>
    </row>
    <row r="252" spans="1:15" ht="15.5" x14ac:dyDescent="0.35">
      <c r="A252" s="1" t="str">
        <f t="shared" si="6"/>
        <v>RC0805FR-072R2L</v>
      </c>
      <c r="B252" s="1" t="str">
        <f t="shared" si="7"/>
        <v>Резистор номиналом 2,2 Ом 1% 0805</v>
      </c>
      <c r="C252" s="3" t="s">
        <v>26</v>
      </c>
      <c r="D252" s="3" t="s">
        <v>29</v>
      </c>
      <c r="E252" s="3" t="s">
        <v>26</v>
      </c>
      <c r="F252" s="63">
        <v>2.2000000000000002</v>
      </c>
      <c r="G252" s="54" t="s">
        <v>132</v>
      </c>
      <c r="H252" s="3" t="s">
        <v>1288</v>
      </c>
      <c r="I252" s="3" t="s">
        <v>1287</v>
      </c>
      <c r="J252" s="1"/>
      <c r="K252" s="1"/>
      <c r="L252" s="1"/>
      <c r="M252" s="1"/>
      <c r="N252" s="1"/>
      <c r="O252" s="1"/>
    </row>
    <row r="253" spans="1:15" ht="15.5" x14ac:dyDescent="0.35">
      <c r="A253" s="1" t="str">
        <f t="shared" si="6"/>
        <v>RC0805FR-072R7L</v>
      </c>
      <c r="B253" s="1" t="str">
        <f t="shared" si="7"/>
        <v>Резистор номиналом 2,7 Ом 1% 0805</v>
      </c>
      <c r="C253" s="3" t="s">
        <v>26</v>
      </c>
      <c r="D253" s="3" t="s">
        <v>29</v>
      </c>
      <c r="E253" s="3" t="s">
        <v>26</v>
      </c>
      <c r="F253" s="63">
        <v>2.7</v>
      </c>
      <c r="G253" s="54" t="s">
        <v>132</v>
      </c>
      <c r="H253" s="3" t="s">
        <v>1288</v>
      </c>
      <c r="I253" s="3" t="s">
        <v>1287</v>
      </c>
      <c r="J253" s="1"/>
      <c r="K253" s="1"/>
      <c r="L253" s="1"/>
      <c r="M253" s="1"/>
      <c r="N253" s="1"/>
      <c r="O253" s="1"/>
    </row>
    <row r="254" spans="1:15" ht="15.5" x14ac:dyDescent="0.35">
      <c r="A254" s="1" t="str">
        <f t="shared" si="6"/>
        <v>RC0805FR-073R3L</v>
      </c>
      <c r="B254" s="1" t="str">
        <f t="shared" si="7"/>
        <v>Резистор номиналом 3,3 Ом 1% 0805</v>
      </c>
      <c r="C254" s="3" t="s">
        <v>26</v>
      </c>
      <c r="D254" s="3" t="s">
        <v>29</v>
      </c>
      <c r="E254" s="3" t="s">
        <v>26</v>
      </c>
      <c r="F254" s="63">
        <v>3.3</v>
      </c>
      <c r="G254" s="54" t="s">
        <v>132</v>
      </c>
      <c r="H254" s="3" t="s">
        <v>1288</v>
      </c>
      <c r="I254" s="3" t="s">
        <v>1287</v>
      </c>
      <c r="J254" s="1"/>
      <c r="K254" s="1"/>
      <c r="L254" s="1"/>
      <c r="M254" s="1"/>
      <c r="N254" s="1"/>
      <c r="O254" s="1"/>
    </row>
    <row r="255" spans="1:15" ht="15.5" x14ac:dyDescent="0.35">
      <c r="A255" s="1" t="str">
        <f t="shared" si="6"/>
        <v>RC0805FR-073R9L</v>
      </c>
      <c r="B255" s="1" t="str">
        <f t="shared" si="7"/>
        <v>Резистор номиналом 3,9 Ом 1% 0805</v>
      </c>
      <c r="C255" s="3" t="s">
        <v>26</v>
      </c>
      <c r="D255" s="3" t="s">
        <v>29</v>
      </c>
      <c r="E255" s="3" t="s">
        <v>26</v>
      </c>
      <c r="F255" s="63">
        <v>3.9</v>
      </c>
      <c r="G255" s="54" t="s">
        <v>132</v>
      </c>
      <c r="H255" s="3" t="s">
        <v>1288</v>
      </c>
      <c r="I255" s="3" t="s">
        <v>1287</v>
      </c>
      <c r="J255" s="1"/>
      <c r="K255" s="1"/>
      <c r="L255" s="1"/>
      <c r="M255" s="1"/>
      <c r="N255" s="1"/>
      <c r="O255" s="1"/>
    </row>
    <row r="256" spans="1:15" ht="15.5" x14ac:dyDescent="0.35">
      <c r="A256" s="1" t="str">
        <f t="shared" si="6"/>
        <v>RC0805FR-074R7L</v>
      </c>
      <c r="B256" s="1" t="str">
        <f t="shared" si="7"/>
        <v>Резистор номиналом 4,7 Ом 1% 0805</v>
      </c>
      <c r="C256" s="3" t="s">
        <v>26</v>
      </c>
      <c r="D256" s="3" t="s">
        <v>29</v>
      </c>
      <c r="E256" s="3" t="s">
        <v>26</v>
      </c>
      <c r="F256" s="63">
        <v>4.7</v>
      </c>
      <c r="G256" s="54" t="s">
        <v>132</v>
      </c>
      <c r="H256" s="3" t="s">
        <v>1288</v>
      </c>
      <c r="I256" s="3" t="s">
        <v>1287</v>
      </c>
      <c r="J256" s="1"/>
      <c r="K256" s="1"/>
      <c r="L256" s="1"/>
      <c r="M256" s="1"/>
      <c r="N256" s="1"/>
      <c r="O256" s="1"/>
    </row>
    <row r="257" spans="1:15" ht="15.5" x14ac:dyDescent="0.35">
      <c r="A257" s="1" t="str">
        <f t="shared" si="6"/>
        <v>RC0805FR-075R6L</v>
      </c>
      <c r="B257" s="1" t="str">
        <f t="shared" si="7"/>
        <v>Резистор номиналом 5,6 Ом 1% 0805</v>
      </c>
      <c r="C257" s="3" t="s">
        <v>26</v>
      </c>
      <c r="D257" s="3" t="s">
        <v>29</v>
      </c>
      <c r="E257" s="3" t="s">
        <v>26</v>
      </c>
      <c r="F257" s="63">
        <v>5.6</v>
      </c>
      <c r="G257" s="54" t="s">
        <v>132</v>
      </c>
      <c r="H257" s="3" t="s">
        <v>1288</v>
      </c>
      <c r="I257" s="3" t="s">
        <v>1287</v>
      </c>
      <c r="J257" s="1"/>
      <c r="K257" s="1"/>
      <c r="L257" s="1"/>
      <c r="M257" s="1"/>
      <c r="N257" s="1"/>
      <c r="O257" s="1"/>
    </row>
    <row r="258" spans="1:15" ht="15.5" x14ac:dyDescent="0.35">
      <c r="A258" s="1" t="str">
        <f t="shared" si="6"/>
        <v>RC0805FR-076R8L</v>
      </c>
      <c r="B258" s="1" t="str">
        <f t="shared" si="7"/>
        <v>Резистор номиналом 6,8 Ом 1% 0805</v>
      </c>
      <c r="C258" s="3" t="s">
        <v>26</v>
      </c>
      <c r="D258" s="3" t="s">
        <v>29</v>
      </c>
      <c r="E258" s="3" t="s">
        <v>26</v>
      </c>
      <c r="F258" s="63">
        <v>6.8</v>
      </c>
      <c r="G258" s="54" t="s">
        <v>132</v>
      </c>
      <c r="H258" s="3" t="s">
        <v>1288</v>
      </c>
      <c r="I258" s="3" t="s">
        <v>1287</v>
      </c>
      <c r="J258" s="1"/>
      <c r="K258" s="1"/>
      <c r="L258" s="1"/>
      <c r="M258" s="1"/>
      <c r="N258" s="1"/>
      <c r="O258" s="1"/>
    </row>
    <row r="259" spans="1:15" ht="15.5" x14ac:dyDescent="0.35">
      <c r="A259" s="1" t="str">
        <f t="shared" ref="A259:A322" si="8">_xlfn.LET(
    _xlpm.raw, SUBSTITUTE(F259,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LEFT(I259, 4) &amp; "FR-07" &amp; _xlpm.yCode &amp; "L"
)</f>
        <v>RC0805FR-078R2L</v>
      </c>
      <c r="B259" s="1" t="str">
        <f t="shared" ref="B259:B322" si="9">"Резистор номиналом " &amp; F259 &amp; " Ом " &amp; G259 &amp; " " &amp; LEFT(I259, 4)</f>
        <v>Резистор номиналом 8,2 Ом 1% 0805</v>
      </c>
      <c r="C259" s="3" t="s">
        <v>26</v>
      </c>
      <c r="D259" s="3" t="s">
        <v>29</v>
      </c>
      <c r="E259" s="3" t="s">
        <v>26</v>
      </c>
      <c r="F259" s="63">
        <v>8.1999999999999993</v>
      </c>
      <c r="G259" s="54" t="s">
        <v>132</v>
      </c>
      <c r="H259" s="3" t="s">
        <v>1288</v>
      </c>
      <c r="I259" s="3" t="s">
        <v>1287</v>
      </c>
      <c r="J259" s="1"/>
      <c r="K259" s="1"/>
      <c r="L259" s="1"/>
      <c r="M259" s="1"/>
      <c r="N259" s="1"/>
      <c r="O259" s="1"/>
    </row>
    <row r="260" spans="1:15" ht="15.5" x14ac:dyDescent="0.35">
      <c r="A260" s="1" t="str">
        <f t="shared" si="8"/>
        <v>RC0805FR-0710RL</v>
      </c>
      <c r="B260" s="1" t="str">
        <f t="shared" si="9"/>
        <v>Резистор номиналом 10 Ом 1% 0805</v>
      </c>
      <c r="C260" s="3" t="s">
        <v>26</v>
      </c>
      <c r="D260" s="3" t="s">
        <v>29</v>
      </c>
      <c r="E260" s="3" t="s">
        <v>26</v>
      </c>
      <c r="F260" s="63">
        <v>10</v>
      </c>
      <c r="G260" s="54" t="s">
        <v>132</v>
      </c>
      <c r="H260" s="3" t="s">
        <v>1288</v>
      </c>
      <c r="I260" s="3" t="s">
        <v>1287</v>
      </c>
      <c r="J260" s="1"/>
      <c r="K260" s="1"/>
      <c r="L260" s="1"/>
      <c r="M260" s="1"/>
      <c r="N260" s="1"/>
      <c r="O260" s="1"/>
    </row>
    <row r="261" spans="1:15" ht="15.5" x14ac:dyDescent="0.35">
      <c r="A261" s="1" t="str">
        <f t="shared" si="8"/>
        <v>RC0805FR-0712RL</v>
      </c>
      <c r="B261" s="1" t="str">
        <f t="shared" si="9"/>
        <v>Резистор номиналом 12 Ом 1% 0805</v>
      </c>
      <c r="C261" s="3" t="s">
        <v>26</v>
      </c>
      <c r="D261" s="3" t="s">
        <v>29</v>
      </c>
      <c r="E261" s="3" t="s">
        <v>26</v>
      </c>
      <c r="F261" s="63">
        <v>12</v>
      </c>
      <c r="G261" s="54" t="s">
        <v>132</v>
      </c>
      <c r="H261" s="3" t="s">
        <v>1288</v>
      </c>
      <c r="I261" s="3" t="s">
        <v>1287</v>
      </c>
      <c r="J261" s="1"/>
      <c r="K261" s="1"/>
      <c r="L261" s="1"/>
      <c r="M261" s="1"/>
      <c r="N261" s="1"/>
      <c r="O261" s="1"/>
    </row>
    <row r="262" spans="1:15" ht="15.5" x14ac:dyDescent="0.35">
      <c r="A262" s="1" t="str">
        <f t="shared" si="8"/>
        <v>RC0805FR-0715RL</v>
      </c>
      <c r="B262" s="1" t="str">
        <f t="shared" si="9"/>
        <v>Резистор номиналом 15 Ом 1% 0805</v>
      </c>
      <c r="C262" s="3" t="s">
        <v>26</v>
      </c>
      <c r="D262" s="3" t="s">
        <v>29</v>
      </c>
      <c r="E262" s="3" t="s">
        <v>26</v>
      </c>
      <c r="F262" s="63">
        <v>15</v>
      </c>
      <c r="G262" s="54" t="s">
        <v>132</v>
      </c>
      <c r="H262" s="3" t="s">
        <v>1288</v>
      </c>
      <c r="I262" s="3" t="s">
        <v>1287</v>
      </c>
      <c r="J262" s="1"/>
      <c r="K262" s="1"/>
      <c r="L262" s="1"/>
      <c r="M262" s="1"/>
      <c r="N262" s="1"/>
      <c r="O262" s="1"/>
    </row>
    <row r="263" spans="1:15" ht="15.5" x14ac:dyDescent="0.35">
      <c r="A263" s="1" t="str">
        <f t="shared" si="8"/>
        <v>RC0805FR-0718RL</v>
      </c>
      <c r="B263" s="1" t="str">
        <f t="shared" si="9"/>
        <v>Резистор номиналом 18 Ом 1% 0805</v>
      </c>
      <c r="C263" s="3" t="s">
        <v>26</v>
      </c>
      <c r="D263" s="3" t="s">
        <v>29</v>
      </c>
      <c r="E263" s="3" t="s">
        <v>26</v>
      </c>
      <c r="F263" s="63">
        <v>18</v>
      </c>
      <c r="G263" s="54" t="s">
        <v>132</v>
      </c>
      <c r="H263" s="3" t="s">
        <v>1288</v>
      </c>
      <c r="I263" s="3" t="s">
        <v>1287</v>
      </c>
      <c r="J263" s="1"/>
      <c r="K263" s="1"/>
      <c r="L263" s="1"/>
      <c r="M263" s="1"/>
      <c r="N263" s="1"/>
      <c r="O263" s="1"/>
    </row>
    <row r="264" spans="1:15" ht="15.5" x14ac:dyDescent="0.35">
      <c r="A264" s="1" t="str">
        <f t="shared" si="8"/>
        <v>RC0805FR-0722RL</v>
      </c>
      <c r="B264" s="1" t="str">
        <f t="shared" si="9"/>
        <v>Резистор номиналом 22 Ом 1% 0805</v>
      </c>
      <c r="C264" s="3" t="s">
        <v>26</v>
      </c>
      <c r="D264" s="3" t="s">
        <v>29</v>
      </c>
      <c r="E264" s="3" t="s">
        <v>26</v>
      </c>
      <c r="F264" s="63">
        <v>22</v>
      </c>
      <c r="G264" s="54" t="s">
        <v>132</v>
      </c>
      <c r="H264" s="3" t="s">
        <v>1288</v>
      </c>
      <c r="I264" s="3" t="s">
        <v>1287</v>
      </c>
      <c r="J264" s="1"/>
      <c r="K264" s="1"/>
      <c r="L264" s="1"/>
      <c r="M264" s="1"/>
      <c r="N264" s="1"/>
      <c r="O264" s="1"/>
    </row>
    <row r="265" spans="1:15" ht="15.5" x14ac:dyDescent="0.35">
      <c r="A265" s="1" t="str">
        <f t="shared" si="8"/>
        <v>RC0805FR-0727RL</v>
      </c>
      <c r="B265" s="1" t="str">
        <f t="shared" si="9"/>
        <v>Резистор номиналом 27 Ом 1% 0805</v>
      </c>
      <c r="C265" s="3" t="s">
        <v>26</v>
      </c>
      <c r="D265" s="3" t="s">
        <v>29</v>
      </c>
      <c r="E265" s="3" t="s">
        <v>26</v>
      </c>
      <c r="F265" s="63">
        <v>27</v>
      </c>
      <c r="G265" s="54" t="s">
        <v>132</v>
      </c>
      <c r="H265" s="3" t="s">
        <v>1288</v>
      </c>
      <c r="I265" s="3" t="s">
        <v>1287</v>
      </c>
      <c r="J265" s="1"/>
      <c r="K265" s="1"/>
      <c r="L265" s="1"/>
      <c r="M265" s="1"/>
      <c r="N265" s="1"/>
      <c r="O265" s="1"/>
    </row>
    <row r="266" spans="1:15" ht="15.5" x14ac:dyDescent="0.35">
      <c r="A266" s="1" t="str">
        <f t="shared" si="8"/>
        <v>RC0805FR-0733RL</v>
      </c>
      <c r="B266" s="1" t="str">
        <f t="shared" si="9"/>
        <v>Резистор номиналом 33 Ом 1% 0805</v>
      </c>
      <c r="C266" s="3" t="s">
        <v>26</v>
      </c>
      <c r="D266" s="3" t="s">
        <v>29</v>
      </c>
      <c r="E266" s="3" t="s">
        <v>26</v>
      </c>
      <c r="F266" s="63">
        <v>33</v>
      </c>
      <c r="G266" s="54" t="s">
        <v>132</v>
      </c>
      <c r="H266" s="3" t="s">
        <v>1288</v>
      </c>
      <c r="I266" s="3" t="s">
        <v>1287</v>
      </c>
      <c r="J266" s="1"/>
      <c r="K266" s="1"/>
      <c r="L266" s="1"/>
      <c r="M266" s="1"/>
      <c r="N266" s="1"/>
      <c r="O266" s="1"/>
    </row>
    <row r="267" spans="1:15" ht="15.5" x14ac:dyDescent="0.35">
      <c r="A267" s="1" t="str">
        <f t="shared" si="8"/>
        <v>RC0805FR-0739RL</v>
      </c>
      <c r="B267" s="1" t="str">
        <f t="shared" si="9"/>
        <v>Резистор номиналом 39 Ом 1% 0805</v>
      </c>
      <c r="C267" s="3" t="s">
        <v>26</v>
      </c>
      <c r="D267" s="3" t="s">
        <v>29</v>
      </c>
      <c r="E267" s="3" t="s">
        <v>26</v>
      </c>
      <c r="F267" s="63">
        <v>39</v>
      </c>
      <c r="G267" s="54" t="s">
        <v>132</v>
      </c>
      <c r="H267" s="3" t="s">
        <v>1288</v>
      </c>
      <c r="I267" s="3" t="s">
        <v>1287</v>
      </c>
      <c r="J267" s="1"/>
      <c r="K267" s="1"/>
      <c r="L267" s="1"/>
      <c r="M267" s="1"/>
      <c r="N267" s="1"/>
      <c r="O267" s="1"/>
    </row>
    <row r="268" spans="1:15" ht="15.5" x14ac:dyDescent="0.35">
      <c r="A268" s="1" t="str">
        <f t="shared" si="8"/>
        <v>RC0805FR-0747RL</v>
      </c>
      <c r="B268" s="1" t="str">
        <f t="shared" si="9"/>
        <v>Резистор номиналом 47 Ом 1% 0805</v>
      </c>
      <c r="C268" s="3" t="s">
        <v>26</v>
      </c>
      <c r="D268" s="3" t="s">
        <v>29</v>
      </c>
      <c r="E268" s="3" t="s">
        <v>26</v>
      </c>
      <c r="F268" s="63">
        <v>47</v>
      </c>
      <c r="G268" s="54" t="s">
        <v>132</v>
      </c>
      <c r="H268" s="3" t="s">
        <v>1288</v>
      </c>
      <c r="I268" s="3" t="s">
        <v>1287</v>
      </c>
      <c r="J268" s="1"/>
      <c r="K268" s="1"/>
      <c r="L268" s="1"/>
      <c r="M268" s="1"/>
      <c r="N268" s="1"/>
      <c r="O268" s="1"/>
    </row>
    <row r="269" spans="1:15" ht="15.5" x14ac:dyDescent="0.35">
      <c r="A269" s="1" t="str">
        <f t="shared" si="8"/>
        <v>RC0805FR-0756RL</v>
      </c>
      <c r="B269" s="1" t="str">
        <f t="shared" si="9"/>
        <v>Резистор номиналом 56 Ом 1% 0805</v>
      </c>
      <c r="C269" s="3" t="s">
        <v>26</v>
      </c>
      <c r="D269" s="3" t="s">
        <v>29</v>
      </c>
      <c r="E269" s="3" t="s">
        <v>26</v>
      </c>
      <c r="F269" s="63">
        <v>56</v>
      </c>
      <c r="G269" s="54" t="s">
        <v>132</v>
      </c>
      <c r="H269" s="3" t="s">
        <v>1288</v>
      </c>
      <c r="I269" s="3" t="s">
        <v>1287</v>
      </c>
      <c r="J269" s="1"/>
      <c r="K269" s="1"/>
      <c r="L269" s="1"/>
      <c r="M269" s="1"/>
      <c r="N269" s="1"/>
      <c r="O269" s="1"/>
    </row>
    <row r="270" spans="1:15" ht="15.5" x14ac:dyDescent="0.35">
      <c r="A270" s="1" t="str">
        <f t="shared" si="8"/>
        <v>RC0805FR-0768RL</v>
      </c>
      <c r="B270" s="1" t="str">
        <f t="shared" si="9"/>
        <v>Резистор номиналом 68 Ом 1% 0805</v>
      </c>
      <c r="C270" s="3" t="s">
        <v>26</v>
      </c>
      <c r="D270" s="3" t="s">
        <v>29</v>
      </c>
      <c r="E270" s="3" t="s">
        <v>26</v>
      </c>
      <c r="F270" s="63">
        <v>68</v>
      </c>
      <c r="G270" s="54" t="s">
        <v>132</v>
      </c>
      <c r="H270" s="3" t="s">
        <v>1288</v>
      </c>
      <c r="I270" s="3" t="s">
        <v>1287</v>
      </c>
      <c r="J270" s="1"/>
      <c r="K270" s="1"/>
      <c r="L270" s="1"/>
      <c r="M270" s="1"/>
      <c r="N270" s="1"/>
      <c r="O270" s="1"/>
    </row>
    <row r="271" spans="1:15" ht="15.5" x14ac:dyDescent="0.35">
      <c r="A271" s="1" t="str">
        <f t="shared" si="8"/>
        <v>RC0805FR-0782RL</v>
      </c>
      <c r="B271" s="1" t="str">
        <f t="shared" si="9"/>
        <v>Резистор номиналом 82 Ом 1% 0805</v>
      </c>
      <c r="C271" s="3" t="s">
        <v>26</v>
      </c>
      <c r="D271" s="3" t="s">
        <v>29</v>
      </c>
      <c r="E271" s="3" t="s">
        <v>26</v>
      </c>
      <c r="F271" s="63">
        <v>82</v>
      </c>
      <c r="G271" s="54" t="s">
        <v>132</v>
      </c>
      <c r="H271" s="3" t="s">
        <v>1288</v>
      </c>
      <c r="I271" s="3" t="s">
        <v>1287</v>
      </c>
      <c r="J271" s="1"/>
      <c r="K271" s="1"/>
      <c r="L271" s="1"/>
      <c r="M271" s="1"/>
      <c r="N271" s="1"/>
      <c r="O271" s="1"/>
    </row>
    <row r="272" spans="1:15" ht="15.5" x14ac:dyDescent="0.35">
      <c r="A272" s="1" t="str">
        <f t="shared" si="8"/>
        <v>RC0805FR-07100RL</v>
      </c>
      <c r="B272" s="1" t="str">
        <f t="shared" si="9"/>
        <v>Резистор номиналом 100 Ом 1% 0805</v>
      </c>
      <c r="C272" s="3" t="s">
        <v>26</v>
      </c>
      <c r="D272" s="3" t="s">
        <v>29</v>
      </c>
      <c r="E272" s="3" t="s">
        <v>26</v>
      </c>
      <c r="F272" s="63">
        <v>100</v>
      </c>
      <c r="G272" s="54" t="s">
        <v>132</v>
      </c>
      <c r="H272" s="3" t="s">
        <v>1288</v>
      </c>
      <c r="I272" s="3" t="s">
        <v>1287</v>
      </c>
      <c r="J272" s="1"/>
      <c r="K272" s="1"/>
      <c r="L272" s="1"/>
      <c r="M272" s="1"/>
      <c r="N272" s="1"/>
      <c r="O272" s="1"/>
    </row>
    <row r="273" spans="1:15" ht="15.5" x14ac:dyDescent="0.35">
      <c r="A273" s="1" t="str">
        <f t="shared" si="8"/>
        <v>RC0805FR-07120RL</v>
      </c>
      <c r="B273" s="1" t="str">
        <f t="shared" si="9"/>
        <v>Резистор номиналом 120 Ом 1% 0805</v>
      </c>
      <c r="C273" s="3" t="s">
        <v>26</v>
      </c>
      <c r="D273" s="3" t="s">
        <v>29</v>
      </c>
      <c r="E273" s="3" t="s">
        <v>26</v>
      </c>
      <c r="F273" s="63">
        <v>120</v>
      </c>
      <c r="G273" s="54" t="s">
        <v>132</v>
      </c>
      <c r="H273" s="3" t="s">
        <v>1288</v>
      </c>
      <c r="I273" s="3" t="s">
        <v>1287</v>
      </c>
      <c r="J273" s="1"/>
      <c r="K273" s="1"/>
      <c r="L273" s="1"/>
      <c r="M273" s="1"/>
      <c r="N273" s="1"/>
      <c r="O273" s="1"/>
    </row>
    <row r="274" spans="1:15" ht="15.5" x14ac:dyDescent="0.35">
      <c r="A274" s="1" t="str">
        <f t="shared" si="8"/>
        <v>RC0805FR-07150RL</v>
      </c>
      <c r="B274" s="1" t="str">
        <f t="shared" si="9"/>
        <v>Резистор номиналом 150 Ом 1% 0805</v>
      </c>
      <c r="C274" s="3" t="s">
        <v>26</v>
      </c>
      <c r="D274" s="3" t="s">
        <v>29</v>
      </c>
      <c r="E274" s="3" t="s">
        <v>26</v>
      </c>
      <c r="F274" s="63">
        <v>150</v>
      </c>
      <c r="G274" s="54" t="s">
        <v>132</v>
      </c>
      <c r="H274" s="3" t="s">
        <v>1288</v>
      </c>
      <c r="I274" s="3" t="s">
        <v>1287</v>
      </c>
      <c r="J274" s="1"/>
      <c r="K274" s="1"/>
      <c r="L274" s="1"/>
      <c r="M274" s="1"/>
      <c r="N274" s="1"/>
      <c r="O274" s="1"/>
    </row>
    <row r="275" spans="1:15" ht="15.5" x14ac:dyDescent="0.35">
      <c r="A275" s="1" t="str">
        <f t="shared" si="8"/>
        <v>RC0805FR-07180RL</v>
      </c>
      <c r="B275" s="1" t="str">
        <f t="shared" si="9"/>
        <v>Резистор номиналом 180 Ом 1% 0805</v>
      </c>
      <c r="C275" s="3" t="s">
        <v>26</v>
      </c>
      <c r="D275" s="3" t="s">
        <v>29</v>
      </c>
      <c r="E275" s="3" t="s">
        <v>26</v>
      </c>
      <c r="F275" s="63">
        <v>180</v>
      </c>
      <c r="G275" s="54" t="s">
        <v>132</v>
      </c>
      <c r="H275" s="3" t="s">
        <v>1288</v>
      </c>
      <c r="I275" s="3" t="s">
        <v>1287</v>
      </c>
      <c r="J275" s="1"/>
      <c r="K275" s="1"/>
      <c r="L275" s="1"/>
      <c r="M275" s="1"/>
      <c r="N275" s="1"/>
      <c r="O275" s="1"/>
    </row>
    <row r="276" spans="1:15" ht="15.5" x14ac:dyDescent="0.35">
      <c r="A276" s="1" t="str">
        <f t="shared" si="8"/>
        <v>RC0805FR-07220RL</v>
      </c>
      <c r="B276" s="1" t="str">
        <f t="shared" si="9"/>
        <v>Резистор номиналом 220 Ом 1% 0805</v>
      </c>
      <c r="C276" s="3" t="s">
        <v>26</v>
      </c>
      <c r="D276" s="3" t="s">
        <v>29</v>
      </c>
      <c r="E276" s="3" t="s">
        <v>26</v>
      </c>
      <c r="F276" s="63">
        <v>220</v>
      </c>
      <c r="G276" s="54" t="s">
        <v>132</v>
      </c>
      <c r="H276" s="3" t="s">
        <v>1288</v>
      </c>
      <c r="I276" s="3" t="s">
        <v>1287</v>
      </c>
      <c r="J276" s="1"/>
      <c r="K276" s="1"/>
      <c r="L276" s="1"/>
      <c r="M276" s="1"/>
      <c r="N276" s="1"/>
      <c r="O276" s="1"/>
    </row>
    <row r="277" spans="1:15" ht="15.5" x14ac:dyDescent="0.35">
      <c r="A277" s="1" t="str">
        <f t="shared" si="8"/>
        <v>RC0805FR-07270RL</v>
      </c>
      <c r="B277" s="1" t="str">
        <f t="shared" si="9"/>
        <v>Резистор номиналом 270 Ом 1% 0805</v>
      </c>
      <c r="C277" s="3" t="s">
        <v>26</v>
      </c>
      <c r="D277" s="3" t="s">
        <v>29</v>
      </c>
      <c r="E277" s="3" t="s">
        <v>26</v>
      </c>
      <c r="F277" s="63">
        <v>270</v>
      </c>
      <c r="G277" s="54" t="s">
        <v>132</v>
      </c>
      <c r="H277" s="3" t="s">
        <v>1288</v>
      </c>
      <c r="I277" s="3" t="s">
        <v>1287</v>
      </c>
      <c r="J277" s="1"/>
      <c r="K277" s="1"/>
      <c r="L277" s="1"/>
      <c r="M277" s="1"/>
      <c r="N277" s="1"/>
      <c r="O277" s="1"/>
    </row>
    <row r="278" spans="1:15" ht="15.5" x14ac:dyDescent="0.35">
      <c r="A278" s="1" t="str">
        <f t="shared" si="8"/>
        <v>RC0805FR-07330RL</v>
      </c>
      <c r="B278" s="1" t="str">
        <f t="shared" si="9"/>
        <v>Резистор номиналом 330 Ом 1% 0805</v>
      </c>
      <c r="C278" s="3" t="s">
        <v>26</v>
      </c>
      <c r="D278" s="3" t="s">
        <v>29</v>
      </c>
      <c r="E278" s="3" t="s">
        <v>26</v>
      </c>
      <c r="F278" s="63">
        <v>330</v>
      </c>
      <c r="G278" s="54" t="s">
        <v>132</v>
      </c>
      <c r="H278" s="3" t="s">
        <v>1288</v>
      </c>
      <c r="I278" s="3" t="s">
        <v>1287</v>
      </c>
      <c r="J278" s="1"/>
      <c r="K278" s="1"/>
      <c r="L278" s="1"/>
      <c r="M278" s="1"/>
      <c r="N278" s="1"/>
      <c r="O278" s="1"/>
    </row>
    <row r="279" spans="1:15" ht="15.5" x14ac:dyDescent="0.35">
      <c r="A279" s="1" t="str">
        <f t="shared" si="8"/>
        <v>RC0805FR-07390RL</v>
      </c>
      <c r="B279" s="1" t="str">
        <f t="shared" si="9"/>
        <v>Резистор номиналом 390 Ом 1% 0805</v>
      </c>
      <c r="C279" s="3" t="s">
        <v>26</v>
      </c>
      <c r="D279" s="3" t="s">
        <v>29</v>
      </c>
      <c r="E279" s="3" t="s">
        <v>26</v>
      </c>
      <c r="F279" s="63">
        <v>390</v>
      </c>
      <c r="G279" s="54" t="s">
        <v>132</v>
      </c>
      <c r="H279" s="3" t="s">
        <v>1288</v>
      </c>
      <c r="I279" s="3" t="s">
        <v>1287</v>
      </c>
      <c r="J279" s="1"/>
      <c r="K279" s="1"/>
      <c r="L279" s="1"/>
      <c r="M279" s="1"/>
      <c r="N279" s="1"/>
      <c r="O279" s="1"/>
    </row>
    <row r="280" spans="1:15" ht="15.5" x14ac:dyDescent="0.35">
      <c r="A280" s="1" t="str">
        <f t="shared" si="8"/>
        <v>RC0805FR-07470RL</v>
      </c>
      <c r="B280" s="1" t="str">
        <f t="shared" si="9"/>
        <v>Резистор номиналом 470 Ом 1% 0805</v>
      </c>
      <c r="C280" s="3" t="s">
        <v>26</v>
      </c>
      <c r="D280" s="3" t="s">
        <v>29</v>
      </c>
      <c r="E280" s="3" t="s">
        <v>26</v>
      </c>
      <c r="F280" s="63">
        <v>470</v>
      </c>
      <c r="G280" s="54" t="s">
        <v>132</v>
      </c>
      <c r="H280" s="3" t="s">
        <v>1288</v>
      </c>
      <c r="I280" s="3" t="s">
        <v>1287</v>
      </c>
      <c r="J280" s="1"/>
      <c r="K280" s="1"/>
      <c r="L280" s="1"/>
      <c r="M280" s="1"/>
      <c r="N280" s="1"/>
      <c r="O280" s="1"/>
    </row>
    <row r="281" spans="1:15" ht="15.5" x14ac:dyDescent="0.35">
      <c r="A281" s="1" t="str">
        <f t="shared" si="8"/>
        <v>RC0805FR-07560RL</v>
      </c>
      <c r="B281" s="1" t="str">
        <f t="shared" si="9"/>
        <v>Резистор номиналом 560 Ом 1% 0805</v>
      </c>
      <c r="C281" s="3" t="s">
        <v>26</v>
      </c>
      <c r="D281" s="3" t="s">
        <v>29</v>
      </c>
      <c r="E281" s="3" t="s">
        <v>26</v>
      </c>
      <c r="F281" s="63">
        <v>560</v>
      </c>
      <c r="G281" s="54" t="s">
        <v>132</v>
      </c>
      <c r="H281" s="3" t="s">
        <v>1288</v>
      </c>
      <c r="I281" s="3" t="s">
        <v>1287</v>
      </c>
      <c r="J281" s="1"/>
      <c r="K281" s="1"/>
      <c r="L281" s="1"/>
      <c r="M281" s="1"/>
      <c r="N281" s="1"/>
      <c r="O281" s="1"/>
    </row>
    <row r="282" spans="1:15" ht="15.5" x14ac:dyDescent="0.35">
      <c r="A282" s="1" t="str">
        <f t="shared" si="8"/>
        <v>RC0805FR-07680RL</v>
      </c>
      <c r="B282" s="1" t="str">
        <f t="shared" si="9"/>
        <v>Резистор номиналом 680 Ом 1% 0805</v>
      </c>
      <c r="C282" s="3" t="s">
        <v>26</v>
      </c>
      <c r="D282" s="3" t="s">
        <v>29</v>
      </c>
      <c r="E282" s="3" t="s">
        <v>26</v>
      </c>
      <c r="F282" s="63">
        <v>680</v>
      </c>
      <c r="G282" s="54" t="s">
        <v>132</v>
      </c>
      <c r="H282" s="3" t="s">
        <v>1288</v>
      </c>
      <c r="I282" s="3" t="s">
        <v>1287</v>
      </c>
      <c r="J282" s="1"/>
      <c r="K282" s="1"/>
      <c r="L282" s="1"/>
      <c r="M282" s="1"/>
      <c r="N282" s="1"/>
      <c r="O282" s="1"/>
    </row>
    <row r="283" spans="1:15" ht="15.5" x14ac:dyDescent="0.35">
      <c r="A283" s="1" t="str">
        <f t="shared" si="8"/>
        <v>RC0805FR-07820RL</v>
      </c>
      <c r="B283" s="1" t="str">
        <f t="shared" si="9"/>
        <v>Резистор номиналом 820 Ом 1% 0805</v>
      </c>
      <c r="C283" s="3" t="s">
        <v>26</v>
      </c>
      <c r="D283" s="3" t="s">
        <v>29</v>
      </c>
      <c r="E283" s="3" t="s">
        <v>26</v>
      </c>
      <c r="F283" s="63">
        <v>820</v>
      </c>
      <c r="G283" s="54" t="s">
        <v>132</v>
      </c>
      <c r="H283" s="3" t="s">
        <v>1288</v>
      </c>
      <c r="I283" s="3" t="s">
        <v>1287</v>
      </c>
      <c r="J283" s="1"/>
      <c r="K283" s="1"/>
      <c r="L283" s="1"/>
      <c r="M283" s="1"/>
      <c r="N283" s="1"/>
      <c r="O283" s="1"/>
    </row>
    <row r="284" spans="1:15" ht="15.5" x14ac:dyDescent="0.35">
      <c r="A284" s="1" t="str">
        <f t="shared" si="8"/>
        <v>RC0805FR-071KL</v>
      </c>
      <c r="B284" s="1" t="str">
        <f t="shared" si="9"/>
        <v>Резистор номиналом 1 к Ом 1% 0805</v>
      </c>
      <c r="C284" s="3" t="s">
        <v>26</v>
      </c>
      <c r="D284" s="3" t="s">
        <v>29</v>
      </c>
      <c r="E284" s="3" t="s">
        <v>26</v>
      </c>
      <c r="F284" s="63" t="s">
        <v>544</v>
      </c>
      <c r="G284" s="54" t="s">
        <v>132</v>
      </c>
      <c r="H284" s="3" t="s">
        <v>1288</v>
      </c>
      <c r="I284" s="3" t="s">
        <v>1287</v>
      </c>
      <c r="J284" s="1"/>
      <c r="K284" s="1"/>
      <c r="L284" s="1"/>
      <c r="M284" s="1"/>
      <c r="N284" s="1"/>
      <c r="O284" s="1"/>
    </row>
    <row r="285" spans="1:15" ht="15.5" x14ac:dyDescent="0.35">
      <c r="A285" s="1" t="str">
        <f t="shared" si="8"/>
        <v>RC0805FR-0746M054L</v>
      </c>
      <c r="B285" s="1" t="str">
        <f t="shared" si="9"/>
        <v>Резистор номиналом 1.2 к Ом 1% 0805</v>
      </c>
      <c r="C285" s="3" t="s">
        <v>26</v>
      </c>
      <c r="D285" s="3" t="s">
        <v>29</v>
      </c>
      <c r="E285" s="3" t="s">
        <v>26</v>
      </c>
      <c r="F285" s="63" t="s">
        <v>1386</v>
      </c>
      <c r="G285" s="54" t="s">
        <v>132</v>
      </c>
      <c r="H285" s="3" t="s">
        <v>1288</v>
      </c>
      <c r="I285" s="3" t="s">
        <v>1287</v>
      </c>
      <c r="J285" s="1"/>
      <c r="K285" s="1"/>
      <c r="L285" s="1"/>
      <c r="M285" s="1"/>
      <c r="N285" s="1"/>
      <c r="O285" s="1"/>
    </row>
    <row r="286" spans="1:15" ht="15.5" x14ac:dyDescent="0.35">
      <c r="A286" s="1" t="str">
        <f t="shared" si="8"/>
        <v>RC0805FR-0746M143L</v>
      </c>
      <c r="B286" s="1" t="str">
        <f t="shared" si="9"/>
        <v>Резистор номиналом 1.5 к Ом 1% 0805</v>
      </c>
      <c r="C286" s="3" t="s">
        <v>26</v>
      </c>
      <c r="D286" s="3" t="s">
        <v>29</v>
      </c>
      <c r="E286" s="3" t="s">
        <v>26</v>
      </c>
      <c r="F286" s="63" t="s">
        <v>1387</v>
      </c>
      <c r="G286" s="54" t="s">
        <v>132</v>
      </c>
      <c r="H286" s="3" t="s">
        <v>1288</v>
      </c>
      <c r="I286" s="3" t="s">
        <v>1287</v>
      </c>
      <c r="J286" s="1"/>
      <c r="K286" s="1"/>
      <c r="L286" s="1"/>
      <c r="M286" s="1"/>
      <c r="N286" s="1"/>
      <c r="O286" s="1"/>
    </row>
    <row r="287" spans="1:15" ht="15.5" x14ac:dyDescent="0.35">
      <c r="A287" s="1" t="str">
        <f t="shared" si="8"/>
        <v>RC0805FR-0746M235L</v>
      </c>
      <c r="B287" s="1" t="str">
        <f t="shared" si="9"/>
        <v>Резистор номиналом 1.8 к Ом 1% 0805</v>
      </c>
      <c r="C287" s="3" t="s">
        <v>26</v>
      </c>
      <c r="D287" s="3" t="s">
        <v>29</v>
      </c>
      <c r="E287" s="3" t="s">
        <v>26</v>
      </c>
      <c r="F287" s="63" t="s">
        <v>1388</v>
      </c>
      <c r="G287" s="54" t="s">
        <v>132</v>
      </c>
      <c r="H287" s="3" t="s">
        <v>1288</v>
      </c>
      <c r="I287" s="3" t="s">
        <v>1287</v>
      </c>
      <c r="J287" s="1"/>
      <c r="K287" s="1"/>
      <c r="L287" s="1"/>
      <c r="M287" s="1"/>
      <c r="N287" s="1"/>
      <c r="O287" s="1"/>
    </row>
    <row r="288" spans="1:15" s="40" customFormat="1" ht="15.5" x14ac:dyDescent="0.35">
      <c r="A288" s="1" t="str">
        <f t="shared" si="8"/>
        <v>RC0805FR-0746M055L</v>
      </c>
      <c r="B288" s="1" t="str">
        <f t="shared" si="9"/>
        <v>Резистор номиналом 2.2 к Ом 1% 0805</v>
      </c>
      <c r="C288" s="3" t="s">
        <v>26</v>
      </c>
      <c r="D288" s="3" t="s">
        <v>29</v>
      </c>
      <c r="E288" s="3" t="s">
        <v>26</v>
      </c>
      <c r="F288" s="63" t="s">
        <v>1389</v>
      </c>
      <c r="G288" s="54" t="s">
        <v>132</v>
      </c>
      <c r="H288" s="3" t="s">
        <v>1288</v>
      </c>
      <c r="I288" s="3" t="s">
        <v>1287</v>
      </c>
      <c r="J288" s="55"/>
      <c r="K288" s="55"/>
      <c r="L288" s="55"/>
      <c r="M288" s="55"/>
      <c r="N288" s="55"/>
      <c r="O288" s="55"/>
    </row>
    <row r="289" spans="1:15" s="40" customFormat="1" ht="15.5" x14ac:dyDescent="0.35">
      <c r="A289" s="1" t="str">
        <f t="shared" si="8"/>
        <v>RC0805FR-0746M205L</v>
      </c>
      <c r="B289" s="1" t="str">
        <f t="shared" si="9"/>
        <v>Резистор номиналом 2.7 к Ом 1% 0805</v>
      </c>
      <c r="C289" s="3" t="s">
        <v>26</v>
      </c>
      <c r="D289" s="3" t="s">
        <v>29</v>
      </c>
      <c r="E289" s="3" t="s">
        <v>26</v>
      </c>
      <c r="F289" s="63" t="s">
        <v>1390</v>
      </c>
      <c r="G289" s="54" t="s">
        <v>132</v>
      </c>
      <c r="H289" s="3" t="s">
        <v>1288</v>
      </c>
      <c r="I289" s="3" t="s">
        <v>1287</v>
      </c>
      <c r="J289" s="56"/>
      <c r="K289" s="55"/>
      <c r="L289" s="55"/>
      <c r="M289" s="55"/>
      <c r="N289" s="57"/>
      <c r="O289" s="55"/>
    </row>
    <row r="290" spans="1:15" s="40" customFormat="1" ht="15" customHeight="1" x14ac:dyDescent="0.35">
      <c r="A290" s="1" t="str">
        <f t="shared" si="8"/>
        <v>RC0805FR-0746M084L</v>
      </c>
      <c r="B290" s="1" t="str">
        <f t="shared" si="9"/>
        <v>Резистор номиналом 3.3 к Ом 1% 0805</v>
      </c>
      <c r="C290" s="3" t="s">
        <v>26</v>
      </c>
      <c r="D290" s="3" t="s">
        <v>29</v>
      </c>
      <c r="E290" s="3" t="s">
        <v>26</v>
      </c>
      <c r="F290" s="63" t="s">
        <v>1391</v>
      </c>
      <c r="G290" s="54" t="s">
        <v>132</v>
      </c>
      <c r="H290" s="3" t="s">
        <v>1288</v>
      </c>
      <c r="I290" s="3" t="s">
        <v>1287</v>
      </c>
      <c r="J290" s="55"/>
      <c r="K290" s="55"/>
      <c r="L290" s="55"/>
      <c r="M290" s="55"/>
      <c r="N290" s="58"/>
      <c r="O290" s="55"/>
    </row>
    <row r="291" spans="1:15" s="40" customFormat="1" ht="15" customHeight="1" x14ac:dyDescent="0.35">
      <c r="A291" s="1" t="str">
        <f t="shared" si="8"/>
        <v>RC0805FR-0746M268L</v>
      </c>
      <c r="B291" s="1" t="str">
        <f t="shared" si="9"/>
        <v>Резистор номиналом 3.9 к Ом 1% 0805</v>
      </c>
      <c r="C291" s="3" t="s">
        <v>26</v>
      </c>
      <c r="D291" s="3" t="s">
        <v>29</v>
      </c>
      <c r="E291" s="3" t="s">
        <v>26</v>
      </c>
      <c r="F291" s="63" t="s">
        <v>1392</v>
      </c>
      <c r="G291" s="54" t="s">
        <v>132</v>
      </c>
      <c r="H291" s="3" t="s">
        <v>1288</v>
      </c>
      <c r="I291" s="3" t="s">
        <v>1287</v>
      </c>
      <c r="J291" s="55"/>
      <c r="K291" s="55"/>
      <c r="L291" s="55"/>
      <c r="M291" s="55"/>
      <c r="N291" s="55"/>
      <c r="O291" s="55"/>
    </row>
    <row r="292" spans="1:15" s="40" customFormat="1" ht="15.5" x14ac:dyDescent="0.35">
      <c r="A292" s="1" t="str">
        <f t="shared" si="8"/>
        <v>RC0805FR-0746M207L</v>
      </c>
      <c r="B292" s="1" t="str">
        <f t="shared" si="9"/>
        <v>Резистор номиналом 4.7 к Ом 1% 0805</v>
      </c>
      <c r="C292" s="3" t="s">
        <v>26</v>
      </c>
      <c r="D292" s="3" t="s">
        <v>29</v>
      </c>
      <c r="E292" s="3" t="s">
        <v>26</v>
      </c>
      <c r="F292" s="63" t="s">
        <v>1393</v>
      </c>
      <c r="G292" s="54" t="s">
        <v>132</v>
      </c>
      <c r="H292" s="3" t="s">
        <v>1288</v>
      </c>
      <c r="I292" s="3" t="s">
        <v>1287</v>
      </c>
      <c r="J292" s="55"/>
      <c r="K292" s="55"/>
      <c r="L292" s="55"/>
      <c r="M292" s="55"/>
      <c r="N292" s="55"/>
      <c r="O292" s="55"/>
    </row>
    <row r="293" spans="1:15" s="40" customFormat="1" ht="15.5" x14ac:dyDescent="0.35">
      <c r="A293" s="1" t="str">
        <f t="shared" si="8"/>
        <v>RC0805FR-0746M178L</v>
      </c>
      <c r="B293" s="1" t="str">
        <f t="shared" si="9"/>
        <v>Резистор номиналом 5.6 к Ом 1% 0805</v>
      </c>
      <c r="C293" s="3" t="s">
        <v>26</v>
      </c>
      <c r="D293" s="3" t="s">
        <v>29</v>
      </c>
      <c r="E293" s="3" t="s">
        <v>26</v>
      </c>
      <c r="F293" s="63" t="s">
        <v>1394</v>
      </c>
      <c r="G293" s="54" t="s">
        <v>132</v>
      </c>
      <c r="H293" s="3" t="s">
        <v>1288</v>
      </c>
      <c r="I293" s="3" t="s">
        <v>1287</v>
      </c>
      <c r="J293" s="55"/>
      <c r="K293" s="55"/>
      <c r="L293" s="55"/>
      <c r="M293" s="55"/>
      <c r="N293" s="55"/>
      <c r="O293" s="55"/>
    </row>
    <row r="294" spans="1:15" s="40" customFormat="1" ht="15.5" x14ac:dyDescent="0.35">
      <c r="A294" s="1" t="str">
        <f t="shared" si="8"/>
        <v>RC0805FR-0746M24L</v>
      </c>
      <c r="B294" s="1" t="str">
        <f t="shared" si="9"/>
        <v>Резистор номиналом 6.8 к Ом 1% 0805</v>
      </c>
      <c r="C294" s="3" t="s">
        <v>26</v>
      </c>
      <c r="D294" s="3" t="s">
        <v>29</v>
      </c>
      <c r="E294" s="3" t="s">
        <v>26</v>
      </c>
      <c r="F294" s="63" t="s">
        <v>1395</v>
      </c>
      <c r="G294" s="54" t="s">
        <v>132</v>
      </c>
      <c r="H294" s="3" t="s">
        <v>1288</v>
      </c>
      <c r="I294" s="3" t="s">
        <v>1287</v>
      </c>
      <c r="J294" s="55"/>
      <c r="K294" s="55"/>
      <c r="L294" s="55"/>
      <c r="M294" s="55"/>
      <c r="N294" s="58"/>
      <c r="O294" s="55"/>
    </row>
    <row r="295" spans="1:15" s="40" customFormat="1" ht="15.5" x14ac:dyDescent="0.35">
      <c r="A295" s="1" t="str">
        <f t="shared" si="8"/>
        <v>RC0805FR-0746M061L</v>
      </c>
      <c r="B295" s="1" t="str">
        <f t="shared" si="9"/>
        <v>Резистор номиналом 8.2 к Ом 1% 0805</v>
      </c>
      <c r="C295" s="3" t="s">
        <v>26</v>
      </c>
      <c r="D295" s="3" t="s">
        <v>29</v>
      </c>
      <c r="E295" s="3" t="s">
        <v>26</v>
      </c>
      <c r="F295" s="63" t="s">
        <v>1396</v>
      </c>
      <c r="G295" s="54" t="s">
        <v>132</v>
      </c>
      <c r="H295" s="3" t="s">
        <v>1288</v>
      </c>
      <c r="I295" s="3" t="s">
        <v>1287</v>
      </c>
      <c r="J295" s="55"/>
      <c r="K295" s="55"/>
      <c r="L295" s="55"/>
      <c r="M295" s="55"/>
      <c r="N295" s="58"/>
      <c r="O295" s="55"/>
    </row>
    <row r="296" spans="1:15" s="40" customFormat="1" ht="15.5" x14ac:dyDescent="0.35">
      <c r="A296" s="1" t="str">
        <f t="shared" si="8"/>
        <v>RC0805FR-0710KL</v>
      </c>
      <c r="B296" s="1" t="str">
        <f t="shared" si="9"/>
        <v>Резистор номиналом 10 к Ом 1% 0805</v>
      </c>
      <c r="C296" s="3" t="s">
        <v>26</v>
      </c>
      <c r="D296" s="3" t="s">
        <v>29</v>
      </c>
      <c r="E296" s="3" t="s">
        <v>26</v>
      </c>
      <c r="F296" s="63" t="s">
        <v>163</v>
      </c>
      <c r="G296" s="54" t="s">
        <v>132</v>
      </c>
      <c r="H296" s="3" t="s">
        <v>1288</v>
      </c>
      <c r="I296" s="3" t="s">
        <v>1287</v>
      </c>
      <c r="J296" s="55"/>
      <c r="K296" s="55"/>
      <c r="L296" s="55"/>
      <c r="M296" s="55"/>
      <c r="N296" s="58"/>
      <c r="O296" s="55"/>
    </row>
    <row r="297" spans="1:15" s="40" customFormat="1" ht="15.5" x14ac:dyDescent="0.35">
      <c r="A297" s="1" t="str">
        <f t="shared" si="8"/>
        <v>RC0805FR-0712KL</v>
      </c>
      <c r="B297" s="1" t="str">
        <f t="shared" si="9"/>
        <v>Резистор номиналом 12 к Ом 1% 0805</v>
      </c>
      <c r="C297" s="3" t="s">
        <v>26</v>
      </c>
      <c r="D297" s="3" t="s">
        <v>29</v>
      </c>
      <c r="E297" s="3" t="s">
        <v>26</v>
      </c>
      <c r="F297" s="63" t="s">
        <v>325</v>
      </c>
      <c r="G297" s="54" t="s">
        <v>132</v>
      </c>
      <c r="H297" s="3" t="s">
        <v>1288</v>
      </c>
      <c r="I297" s="3" t="s">
        <v>1287</v>
      </c>
      <c r="J297" s="1"/>
      <c r="K297" s="1"/>
      <c r="L297" s="1"/>
      <c r="M297" s="1"/>
      <c r="N297" s="59"/>
      <c r="O297" s="1"/>
    </row>
    <row r="298" spans="1:15" s="40" customFormat="1" ht="15.5" x14ac:dyDescent="0.35">
      <c r="A298" s="1" t="str">
        <f t="shared" si="8"/>
        <v>RC0805FR-0715KL</v>
      </c>
      <c r="B298" s="1" t="str">
        <f t="shared" si="9"/>
        <v>Резистор номиналом 15 к Ом 1% 0805</v>
      </c>
      <c r="C298" s="3" t="s">
        <v>26</v>
      </c>
      <c r="D298" s="3" t="s">
        <v>29</v>
      </c>
      <c r="E298" s="3" t="s">
        <v>26</v>
      </c>
      <c r="F298" s="63" t="s">
        <v>166</v>
      </c>
      <c r="G298" s="54" t="s">
        <v>132</v>
      </c>
      <c r="H298" s="3" t="s">
        <v>1288</v>
      </c>
      <c r="I298" s="3" t="s">
        <v>1287</v>
      </c>
      <c r="J298" s="1"/>
      <c r="K298" s="1"/>
      <c r="L298" s="1"/>
      <c r="M298" s="1"/>
      <c r="N298" s="59"/>
      <c r="O298" s="1"/>
    </row>
    <row r="299" spans="1:15" s="40" customFormat="1" ht="15.5" x14ac:dyDescent="0.35">
      <c r="A299" s="1" t="str">
        <f t="shared" si="8"/>
        <v>RC0805FR-0718KL</v>
      </c>
      <c r="B299" s="1" t="str">
        <f t="shared" si="9"/>
        <v>Резистор номиналом 18 к Ом 1% 0805</v>
      </c>
      <c r="C299" s="3" t="s">
        <v>26</v>
      </c>
      <c r="D299" s="3" t="s">
        <v>29</v>
      </c>
      <c r="E299" s="3" t="s">
        <v>26</v>
      </c>
      <c r="F299" s="63" t="s">
        <v>168</v>
      </c>
      <c r="G299" s="54" t="s">
        <v>132</v>
      </c>
      <c r="H299" s="3" t="s">
        <v>1288</v>
      </c>
      <c r="I299" s="3" t="s">
        <v>1287</v>
      </c>
      <c r="J299" s="55"/>
      <c r="K299" s="55"/>
      <c r="L299" s="55"/>
      <c r="M299" s="55"/>
      <c r="N299" s="58"/>
      <c r="O299" s="55"/>
    </row>
    <row r="300" spans="1:15" s="40" customFormat="1" ht="15.5" x14ac:dyDescent="0.35">
      <c r="A300" s="1" t="str">
        <f t="shared" si="8"/>
        <v>RC0805FR-0722KL</v>
      </c>
      <c r="B300" s="1" t="str">
        <f t="shared" si="9"/>
        <v>Резистор номиналом 22 к Ом 1% 0805</v>
      </c>
      <c r="C300" s="3" t="s">
        <v>26</v>
      </c>
      <c r="D300" s="3" t="s">
        <v>29</v>
      </c>
      <c r="E300" s="3" t="s">
        <v>26</v>
      </c>
      <c r="F300" s="63" t="s">
        <v>170</v>
      </c>
      <c r="G300" s="54" t="s">
        <v>132</v>
      </c>
      <c r="H300" s="3" t="s">
        <v>1288</v>
      </c>
      <c r="I300" s="3" t="s">
        <v>1287</v>
      </c>
      <c r="J300" s="1"/>
      <c r="K300" s="1"/>
      <c r="L300" s="1"/>
      <c r="M300" s="1"/>
      <c r="N300" s="59"/>
      <c r="O300" s="1"/>
    </row>
    <row r="301" spans="1:15" s="40" customFormat="1" ht="15.5" x14ac:dyDescent="0.35">
      <c r="A301" s="1" t="str">
        <f t="shared" si="8"/>
        <v>RC0805FR-0727KL</v>
      </c>
      <c r="B301" s="1" t="str">
        <f t="shared" si="9"/>
        <v>Резистор номиналом 27 к Ом 1% 0805</v>
      </c>
      <c r="C301" s="3" t="s">
        <v>26</v>
      </c>
      <c r="D301" s="3" t="s">
        <v>29</v>
      </c>
      <c r="E301" s="3" t="s">
        <v>26</v>
      </c>
      <c r="F301" s="63" t="s">
        <v>326</v>
      </c>
      <c r="G301" s="54" t="s">
        <v>132</v>
      </c>
      <c r="H301" s="3" t="s">
        <v>1288</v>
      </c>
      <c r="I301" s="3" t="s">
        <v>1287</v>
      </c>
      <c r="J301" s="1"/>
      <c r="K301" s="1"/>
      <c r="L301" s="1"/>
      <c r="M301" s="1"/>
      <c r="N301" s="59"/>
      <c r="O301" s="1"/>
    </row>
    <row r="302" spans="1:15" s="40" customFormat="1" ht="15.5" x14ac:dyDescent="0.35">
      <c r="A302" s="1" t="str">
        <f t="shared" si="8"/>
        <v>RC0805FR-0733KL</v>
      </c>
      <c r="B302" s="1" t="str">
        <f t="shared" si="9"/>
        <v>Резистор номиналом 33 к Ом 1% 0805</v>
      </c>
      <c r="C302" s="3" t="s">
        <v>26</v>
      </c>
      <c r="D302" s="3" t="s">
        <v>29</v>
      </c>
      <c r="E302" s="3" t="s">
        <v>26</v>
      </c>
      <c r="F302" s="63" t="s">
        <v>328</v>
      </c>
      <c r="G302" s="54" t="s">
        <v>132</v>
      </c>
      <c r="H302" s="3" t="s">
        <v>1288</v>
      </c>
      <c r="I302" s="3" t="s">
        <v>1287</v>
      </c>
      <c r="J302" s="1"/>
      <c r="K302" s="1"/>
      <c r="L302" s="1"/>
      <c r="M302" s="1"/>
      <c r="N302" s="59"/>
      <c r="O302" s="1"/>
    </row>
    <row r="303" spans="1:15" ht="15.5" x14ac:dyDescent="0.35">
      <c r="A303" s="1" t="str">
        <f t="shared" si="8"/>
        <v>RC0805FR-0739KL</v>
      </c>
      <c r="B303" s="1" t="str">
        <f t="shared" si="9"/>
        <v>Резистор номиналом 39 к Ом 1% 0805</v>
      </c>
      <c r="C303" s="3" t="s">
        <v>26</v>
      </c>
      <c r="D303" s="3" t="s">
        <v>29</v>
      </c>
      <c r="E303" s="3" t="s">
        <v>26</v>
      </c>
      <c r="F303" s="63" t="s">
        <v>330</v>
      </c>
      <c r="G303" s="54" t="s">
        <v>132</v>
      </c>
      <c r="H303" s="3" t="s">
        <v>1288</v>
      </c>
      <c r="I303" s="3" t="s">
        <v>1287</v>
      </c>
      <c r="J303" s="1"/>
      <c r="K303" s="1"/>
      <c r="L303" s="1"/>
      <c r="M303" s="1"/>
      <c r="N303" s="29"/>
      <c r="O303" s="1"/>
    </row>
    <row r="304" spans="1:15" ht="15.5" x14ac:dyDescent="0.35">
      <c r="A304" s="1" t="str">
        <f t="shared" si="8"/>
        <v>RC0805FR-0747KL</v>
      </c>
      <c r="B304" s="1" t="str">
        <f t="shared" si="9"/>
        <v>Резистор номиналом 47 к Ом 1% 0805</v>
      </c>
      <c r="C304" s="3" t="s">
        <v>26</v>
      </c>
      <c r="D304" s="3" t="s">
        <v>29</v>
      </c>
      <c r="E304" s="3" t="s">
        <v>26</v>
      </c>
      <c r="F304" s="63" t="s">
        <v>332</v>
      </c>
      <c r="G304" s="54" t="s">
        <v>132</v>
      </c>
      <c r="H304" s="3" t="s">
        <v>1288</v>
      </c>
      <c r="I304" s="3" t="s">
        <v>1287</v>
      </c>
      <c r="J304" s="1"/>
      <c r="K304" s="1"/>
      <c r="L304" s="1"/>
      <c r="M304" s="1"/>
      <c r="N304" s="29"/>
      <c r="O304" s="1"/>
    </row>
    <row r="305" spans="1:15" ht="15.5" x14ac:dyDescent="0.35">
      <c r="A305" s="1" t="str">
        <f t="shared" si="8"/>
        <v>RC0805FR-0756KL</v>
      </c>
      <c r="B305" s="1" t="str">
        <f t="shared" si="9"/>
        <v>Резистор номиналом 56 к Ом 1% 0805</v>
      </c>
      <c r="C305" s="3" t="s">
        <v>26</v>
      </c>
      <c r="D305" s="3" t="s">
        <v>29</v>
      </c>
      <c r="E305" s="3" t="s">
        <v>26</v>
      </c>
      <c r="F305" s="63" t="s">
        <v>173</v>
      </c>
      <c r="G305" s="54" t="s">
        <v>132</v>
      </c>
      <c r="H305" s="3" t="s">
        <v>1288</v>
      </c>
      <c r="I305" s="3" t="s">
        <v>1287</v>
      </c>
      <c r="J305" s="1"/>
      <c r="K305" s="1"/>
      <c r="L305" s="1"/>
      <c r="M305" s="1"/>
      <c r="N305" s="29"/>
      <c r="O305" s="1"/>
    </row>
    <row r="306" spans="1:15" ht="15.5" x14ac:dyDescent="0.35">
      <c r="A306" s="1" t="str">
        <f t="shared" si="8"/>
        <v>RC0805FR-0768KL</v>
      </c>
      <c r="B306" s="1" t="str">
        <f t="shared" si="9"/>
        <v>Резистор номиналом 68 к Ом 1% 0805</v>
      </c>
      <c r="C306" s="3" t="s">
        <v>26</v>
      </c>
      <c r="D306" s="3" t="s">
        <v>29</v>
      </c>
      <c r="E306" s="3" t="s">
        <v>26</v>
      </c>
      <c r="F306" s="63" t="s">
        <v>175</v>
      </c>
      <c r="G306" s="54" t="s">
        <v>132</v>
      </c>
      <c r="H306" s="3" t="s">
        <v>1288</v>
      </c>
      <c r="I306" s="3" t="s">
        <v>1287</v>
      </c>
      <c r="J306" s="1"/>
      <c r="K306" s="1"/>
      <c r="L306" s="1"/>
      <c r="M306" s="1"/>
      <c r="N306" s="29"/>
      <c r="O306" s="1"/>
    </row>
    <row r="307" spans="1:15" ht="15.5" x14ac:dyDescent="0.35">
      <c r="A307" s="1" t="str">
        <f t="shared" si="8"/>
        <v>RC0805FR-0782KL</v>
      </c>
      <c r="B307" s="1" t="str">
        <f t="shared" si="9"/>
        <v>Резистор номиналом 82 к Ом 1% 0805</v>
      </c>
      <c r="C307" s="3" t="s">
        <v>26</v>
      </c>
      <c r="D307" s="3" t="s">
        <v>29</v>
      </c>
      <c r="E307" s="3" t="s">
        <v>26</v>
      </c>
      <c r="F307" s="63" t="s">
        <v>352</v>
      </c>
      <c r="G307" s="54" t="s">
        <v>132</v>
      </c>
      <c r="H307" s="3" t="s">
        <v>1288</v>
      </c>
      <c r="I307" s="3" t="s">
        <v>1287</v>
      </c>
      <c r="J307" s="1"/>
      <c r="K307" s="1"/>
      <c r="L307" s="1"/>
      <c r="M307" s="1"/>
      <c r="N307" s="29"/>
      <c r="O307" s="1"/>
    </row>
    <row r="308" spans="1:15" ht="15.5" x14ac:dyDescent="0.35">
      <c r="A308" s="1" t="str">
        <f t="shared" si="8"/>
        <v>RC0805FR-07100KL</v>
      </c>
      <c r="B308" s="1" t="str">
        <f t="shared" si="9"/>
        <v>Резистор номиналом 100 к Ом 1% 0805</v>
      </c>
      <c r="C308" s="3" t="s">
        <v>26</v>
      </c>
      <c r="D308" s="3" t="s">
        <v>29</v>
      </c>
      <c r="E308" s="3" t="s">
        <v>26</v>
      </c>
      <c r="F308" s="63" t="s">
        <v>178</v>
      </c>
      <c r="G308" s="54" t="s">
        <v>132</v>
      </c>
      <c r="H308" s="3" t="s">
        <v>1288</v>
      </c>
      <c r="I308" s="3" t="s">
        <v>1287</v>
      </c>
      <c r="J308" s="1"/>
      <c r="K308" s="1"/>
      <c r="L308" s="1"/>
      <c r="M308" s="1"/>
      <c r="N308" s="29"/>
      <c r="O308" s="1"/>
    </row>
    <row r="309" spans="1:15" ht="15.5" x14ac:dyDescent="0.35">
      <c r="A309" s="1" t="str">
        <f t="shared" si="8"/>
        <v>RC0805FR-07120KL</v>
      </c>
      <c r="B309" s="1" t="str">
        <f t="shared" si="9"/>
        <v>Резистор номиналом 120 к Ом 1% 0805</v>
      </c>
      <c r="C309" s="3" t="s">
        <v>26</v>
      </c>
      <c r="D309" s="3" t="s">
        <v>29</v>
      </c>
      <c r="E309" s="3" t="s">
        <v>26</v>
      </c>
      <c r="F309" s="63" t="s">
        <v>180</v>
      </c>
      <c r="G309" s="54" t="s">
        <v>132</v>
      </c>
      <c r="H309" s="3" t="s">
        <v>1288</v>
      </c>
      <c r="I309" s="3" t="s">
        <v>1287</v>
      </c>
      <c r="J309" s="1"/>
      <c r="K309" s="1"/>
      <c r="L309" s="1"/>
      <c r="M309" s="1"/>
      <c r="N309" s="29"/>
      <c r="O309" s="1"/>
    </row>
    <row r="310" spans="1:15" ht="15.5" x14ac:dyDescent="0.35">
      <c r="A310" s="1" t="str">
        <f t="shared" si="8"/>
        <v>RC0805FR-07150KL</v>
      </c>
      <c r="B310" s="1" t="str">
        <f t="shared" si="9"/>
        <v>Резистор номиналом 150 к Ом 1% 0805</v>
      </c>
      <c r="C310" s="3" t="s">
        <v>26</v>
      </c>
      <c r="D310" s="3" t="s">
        <v>29</v>
      </c>
      <c r="E310" s="3" t="s">
        <v>26</v>
      </c>
      <c r="F310" s="63" t="s">
        <v>182</v>
      </c>
      <c r="G310" s="54" t="s">
        <v>132</v>
      </c>
      <c r="H310" s="3" t="s">
        <v>1288</v>
      </c>
      <c r="I310" s="3" t="s">
        <v>1287</v>
      </c>
      <c r="J310" s="1"/>
      <c r="K310" s="1"/>
      <c r="L310" s="1"/>
      <c r="M310" s="1"/>
      <c r="N310" s="29"/>
      <c r="O310" s="1"/>
    </row>
    <row r="311" spans="1:15" ht="15.5" x14ac:dyDescent="0.35">
      <c r="A311" s="1" t="str">
        <f t="shared" si="8"/>
        <v>RC0805FR-07180KL</v>
      </c>
      <c r="B311" s="1" t="str">
        <f t="shared" si="9"/>
        <v>Резистор номиналом 180 к Ом 1% 0805</v>
      </c>
      <c r="C311" s="3" t="s">
        <v>26</v>
      </c>
      <c r="D311" s="3" t="s">
        <v>29</v>
      </c>
      <c r="E311" s="3" t="s">
        <v>26</v>
      </c>
      <c r="F311" s="63" t="s">
        <v>184</v>
      </c>
      <c r="G311" s="54" t="s">
        <v>132</v>
      </c>
      <c r="H311" s="3" t="s">
        <v>1288</v>
      </c>
      <c r="I311" s="3" t="s">
        <v>1287</v>
      </c>
      <c r="J311" s="1"/>
      <c r="K311" s="1"/>
      <c r="L311" s="1"/>
      <c r="M311" s="1"/>
      <c r="N311" s="29"/>
      <c r="O311" s="1"/>
    </row>
    <row r="312" spans="1:15" ht="15.5" x14ac:dyDescent="0.35">
      <c r="A312" s="1" t="str">
        <f t="shared" si="8"/>
        <v>RC0805FR-07220KL</v>
      </c>
      <c r="B312" s="1" t="str">
        <f t="shared" si="9"/>
        <v>Резистор номиналом 220 к Ом 1% 0805</v>
      </c>
      <c r="C312" s="3" t="s">
        <v>26</v>
      </c>
      <c r="D312" s="3" t="s">
        <v>29</v>
      </c>
      <c r="E312" s="3" t="s">
        <v>26</v>
      </c>
      <c r="F312" s="63" t="s">
        <v>186</v>
      </c>
      <c r="G312" s="54" t="s">
        <v>132</v>
      </c>
      <c r="H312" s="3" t="s">
        <v>1288</v>
      </c>
      <c r="I312" s="3" t="s">
        <v>1287</v>
      </c>
      <c r="J312" s="1"/>
      <c r="K312" s="1"/>
      <c r="L312" s="1"/>
      <c r="M312" s="1"/>
      <c r="N312" s="29"/>
      <c r="O312" s="1"/>
    </row>
    <row r="313" spans="1:15" ht="15.5" x14ac:dyDescent="0.35">
      <c r="A313" s="1" t="str">
        <f t="shared" si="8"/>
        <v>RC0805FR-07270KL</v>
      </c>
      <c r="B313" s="1" t="str">
        <f t="shared" si="9"/>
        <v>Резистор номиналом 270 к Ом 1% 0805</v>
      </c>
      <c r="C313" s="3" t="s">
        <v>26</v>
      </c>
      <c r="D313" s="3" t="s">
        <v>29</v>
      </c>
      <c r="E313" s="3" t="s">
        <v>26</v>
      </c>
      <c r="F313" s="63" t="s">
        <v>333</v>
      </c>
      <c r="G313" s="54" t="s">
        <v>132</v>
      </c>
      <c r="H313" s="3" t="s">
        <v>1288</v>
      </c>
      <c r="I313" s="3" t="s">
        <v>1287</v>
      </c>
      <c r="J313" s="1"/>
      <c r="K313" s="1"/>
      <c r="L313" s="1"/>
      <c r="M313" s="1"/>
      <c r="N313" s="29"/>
      <c r="O313" s="1"/>
    </row>
    <row r="314" spans="1:15" ht="15.5" x14ac:dyDescent="0.35">
      <c r="A314" s="1" t="str">
        <f t="shared" si="8"/>
        <v>RC0805FR-07330KL</v>
      </c>
      <c r="B314" s="1" t="str">
        <f t="shared" si="9"/>
        <v>Резистор номиналом 330 к Ом 1% 0805</v>
      </c>
      <c r="C314" s="3" t="s">
        <v>26</v>
      </c>
      <c r="D314" s="3" t="s">
        <v>29</v>
      </c>
      <c r="E314" s="3" t="s">
        <v>26</v>
      </c>
      <c r="F314" s="63" t="s">
        <v>335</v>
      </c>
      <c r="G314" s="54" t="s">
        <v>132</v>
      </c>
      <c r="H314" s="3" t="s">
        <v>1288</v>
      </c>
      <c r="I314" s="3" t="s">
        <v>1287</v>
      </c>
      <c r="J314" s="1"/>
      <c r="K314" s="1"/>
      <c r="L314" s="1"/>
      <c r="M314" s="1"/>
      <c r="N314" s="29"/>
      <c r="O314" s="1"/>
    </row>
    <row r="315" spans="1:15" ht="15.5" x14ac:dyDescent="0.35">
      <c r="A315" s="1" t="str">
        <f t="shared" si="8"/>
        <v>RC0805FR-07390KL</v>
      </c>
      <c r="B315" s="1" t="str">
        <f t="shared" si="9"/>
        <v>Резистор номиналом 390 к Ом 1% 0805</v>
      </c>
      <c r="C315" s="3" t="s">
        <v>26</v>
      </c>
      <c r="D315" s="3" t="s">
        <v>29</v>
      </c>
      <c r="E315" s="3" t="s">
        <v>26</v>
      </c>
      <c r="F315" s="63" t="s">
        <v>337</v>
      </c>
      <c r="G315" s="54" t="s">
        <v>132</v>
      </c>
      <c r="H315" s="3" t="s">
        <v>1288</v>
      </c>
      <c r="I315" s="3" t="s">
        <v>1287</v>
      </c>
      <c r="J315" s="1"/>
      <c r="K315" s="1"/>
      <c r="L315" s="1"/>
      <c r="M315" s="1"/>
      <c r="N315" s="29"/>
      <c r="O315" s="1"/>
    </row>
    <row r="316" spans="1:15" ht="15.5" x14ac:dyDescent="0.35">
      <c r="A316" s="1" t="str">
        <f t="shared" si="8"/>
        <v>RC0805FR-07470KL</v>
      </c>
      <c r="B316" s="1" t="str">
        <f t="shared" si="9"/>
        <v>Резистор номиналом 470 к Ом 1% 0805</v>
      </c>
      <c r="C316" s="3" t="s">
        <v>26</v>
      </c>
      <c r="D316" s="3" t="s">
        <v>29</v>
      </c>
      <c r="E316" s="3" t="s">
        <v>26</v>
      </c>
      <c r="F316" s="63" t="s">
        <v>339</v>
      </c>
      <c r="G316" s="54" t="s">
        <v>132</v>
      </c>
      <c r="H316" s="3" t="s">
        <v>1288</v>
      </c>
      <c r="I316" s="3" t="s">
        <v>1287</v>
      </c>
      <c r="J316" s="1"/>
      <c r="K316" s="1"/>
      <c r="L316" s="1"/>
      <c r="M316" s="1"/>
      <c r="N316" s="29"/>
      <c r="O316" s="1"/>
    </row>
    <row r="317" spans="1:15" ht="15.5" x14ac:dyDescent="0.35">
      <c r="A317" s="1" t="str">
        <f t="shared" si="8"/>
        <v>RC0805FR-07560KL</v>
      </c>
      <c r="B317" s="1" t="str">
        <f t="shared" si="9"/>
        <v>Резистор номиналом 560 к Ом 1% 0805</v>
      </c>
      <c r="C317" s="3" t="s">
        <v>26</v>
      </c>
      <c r="D317" s="3" t="s">
        <v>29</v>
      </c>
      <c r="E317" s="3" t="s">
        <v>26</v>
      </c>
      <c r="F317" s="63" t="s">
        <v>189</v>
      </c>
      <c r="G317" s="54" t="s">
        <v>132</v>
      </c>
      <c r="H317" s="3" t="s">
        <v>1288</v>
      </c>
      <c r="I317" s="3" t="s">
        <v>1287</v>
      </c>
      <c r="J317" s="1"/>
      <c r="K317" s="1"/>
      <c r="L317" s="1"/>
      <c r="M317" s="1"/>
      <c r="N317" s="29"/>
      <c r="O317" s="1"/>
    </row>
    <row r="318" spans="1:15" ht="15.5" x14ac:dyDescent="0.35">
      <c r="A318" s="1" t="str">
        <f t="shared" si="8"/>
        <v>RC0805FR-07680KL</v>
      </c>
      <c r="B318" s="1" t="str">
        <f t="shared" si="9"/>
        <v>Резистор номиналом 680 к Ом 1% 0805</v>
      </c>
      <c r="C318" s="3" t="s">
        <v>26</v>
      </c>
      <c r="D318" s="3" t="s">
        <v>29</v>
      </c>
      <c r="E318" s="3" t="s">
        <v>26</v>
      </c>
      <c r="F318" s="63" t="s">
        <v>191</v>
      </c>
      <c r="G318" s="54" t="s">
        <v>132</v>
      </c>
      <c r="H318" s="3" t="s">
        <v>1288</v>
      </c>
      <c r="I318" s="3" t="s">
        <v>1287</v>
      </c>
      <c r="J318" s="1"/>
      <c r="K318" s="1"/>
      <c r="L318" s="1"/>
      <c r="M318" s="1"/>
      <c r="N318" s="29"/>
      <c r="O318" s="1"/>
    </row>
    <row r="319" spans="1:15" ht="15.5" x14ac:dyDescent="0.35">
      <c r="A319" s="1" t="str">
        <f t="shared" si="8"/>
        <v>RC0805FR-07820KL</v>
      </c>
      <c r="B319" s="1" t="str">
        <f t="shared" si="9"/>
        <v>Резистор номиналом 820 к Ом 1% 0805</v>
      </c>
      <c r="C319" s="3" t="s">
        <v>26</v>
      </c>
      <c r="D319" s="3" t="s">
        <v>29</v>
      </c>
      <c r="E319" s="3" t="s">
        <v>26</v>
      </c>
      <c r="F319" s="63" t="s">
        <v>353</v>
      </c>
      <c r="G319" s="54" t="s">
        <v>132</v>
      </c>
      <c r="H319" s="3" t="s">
        <v>1288</v>
      </c>
      <c r="I319" s="3" t="s">
        <v>1287</v>
      </c>
      <c r="J319" s="1"/>
      <c r="K319" s="1"/>
      <c r="L319" s="1"/>
      <c r="M319" s="1"/>
      <c r="N319" s="29"/>
      <c r="O319" s="1"/>
    </row>
    <row r="320" spans="1:15" ht="15.5" x14ac:dyDescent="0.35">
      <c r="A320" s="1" t="str">
        <f t="shared" si="8"/>
        <v>RC0805FR-071ML</v>
      </c>
      <c r="B320" s="1" t="str">
        <f t="shared" si="9"/>
        <v>Резистор номиналом 1 М Ом 1% 0805</v>
      </c>
      <c r="C320" s="3" t="s">
        <v>26</v>
      </c>
      <c r="D320" s="3" t="s">
        <v>29</v>
      </c>
      <c r="E320" s="3" t="s">
        <v>26</v>
      </c>
      <c r="F320" s="63" t="s">
        <v>1397</v>
      </c>
      <c r="G320" s="54" t="s">
        <v>132</v>
      </c>
      <c r="H320" s="3" t="s">
        <v>1288</v>
      </c>
      <c r="I320" s="3" t="s">
        <v>1287</v>
      </c>
      <c r="J320" s="1"/>
      <c r="K320" s="1"/>
      <c r="L320" s="1"/>
      <c r="M320" s="1"/>
      <c r="N320" s="29"/>
      <c r="O320" s="1"/>
    </row>
    <row r="321" spans="1:15" ht="15.5" x14ac:dyDescent="0.35">
      <c r="A321" s="1" t="str">
        <f t="shared" si="8"/>
        <v>RC1206FR-071RL</v>
      </c>
      <c r="B321" s="1" t="str">
        <f t="shared" si="9"/>
        <v>Резистор номиналом 1 Ом 1% 1206</v>
      </c>
      <c r="C321" s="3" t="s">
        <v>26</v>
      </c>
      <c r="D321" s="3" t="s">
        <v>29</v>
      </c>
      <c r="E321" s="3" t="s">
        <v>26</v>
      </c>
      <c r="F321" s="63">
        <v>1</v>
      </c>
      <c r="G321" s="54" t="s">
        <v>132</v>
      </c>
      <c r="H321" s="3" t="s">
        <v>602</v>
      </c>
      <c r="I321" s="3" t="s">
        <v>601</v>
      </c>
      <c r="J321" s="1"/>
      <c r="K321" s="1"/>
      <c r="L321" s="1"/>
      <c r="M321" s="1"/>
      <c r="N321" s="29"/>
      <c r="O321" s="1"/>
    </row>
    <row r="322" spans="1:15" ht="15.5" x14ac:dyDescent="0.35">
      <c r="A322" s="1" t="str">
        <f t="shared" si="8"/>
        <v>RC1206FR-071R2L</v>
      </c>
      <c r="B322" s="1" t="str">
        <f t="shared" si="9"/>
        <v>Резистор номиналом 1,2 Ом 1% 1206</v>
      </c>
      <c r="C322" s="3" t="s">
        <v>26</v>
      </c>
      <c r="D322" s="3" t="s">
        <v>29</v>
      </c>
      <c r="E322" s="3" t="s">
        <v>26</v>
      </c>
      <c r="F322" s="63">
        <v>1.2</v>
      </c>
      <c r="G322" s="54" t="s">
        <v>132</v>
      </c>
      <c r="H322" s="3" t="s">
        <v>602</v>
      </c>
      <c r="I322" s="3" t="s">
        <v>601</v>
      </c>
      <c r="J322" s="1"/>
      <c r="K322" s="1"/>
      <c r="L322" s="1"/>
      <c r="M322" s="1"/>
      <c r="N322" s="29"/>
      <c r="O322" s="1"/>
    </row>
    <row r="323" spans="1:15" ht="15.5" x14ac:dyDescent="0.35">
      <c r="A323" s="1" t="str">
        <f t="shared" ref="A323:A386" si="10">_xlfn.LET(
    _xlpm.raw, SUBSTITUTE(F323,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LEFT(I323, 4) &amp; "FR-07" &amp; _xlpm.yCode &amp; "L"
)</f>
        <v>RC1206FR-071R5L</v>
      </c>
      <c r="B323" s="1" t="str">
        <f t="shared" ref="B323:B386" si="11">"Резистор номиналом " &amp; F323 &amp; " Ом " &amp; G323 &amp; " " &amp; LEFT(I323, 4)</f>
        <v>Резистор номиналом 1,5 Ом 1% 1206</v>
      </c>
      <c r="C323" s="3" t="s">
        <v>26</v>
      </c>
      <c r="D323" s="3" t="s">
        <v>29</v>
      </c>
      <c r="E323" s="3" t="s">
        <v>26</v>
      </c>
      <c r="F323" s="63">
        <v>1.5</v>
      </c>
      <c r="G323" s="54" t="s">
        <v>132</v>
      </c>
      <c r="H323" s="3" t="s">
        <v>602</v>
      </c>
      <c r="I323" s="3" t="s">
        <v>601</v>
      </c>
      <c r="J323" s="1"/>
      <c r="K323" s="1"/>
      <c r="L323" s="1"/>
      <c r="M323" s="1"/>
      <c r="N323" s="29"/>
      <c r="O323" s="1"/>
    </row>
    <row r="324" spans="1:15" ht="15.5" x14ac:dyDescent="0.35">
      <c r="A324" s="1" t="str">
        <f t="shared" si="10"/>
        <v>RC1206FR-071R8L</v>
      </c>
      <c r="B324" s="1" t="str">
        <f t="shared" si="11"/>
        <v>Резистор номиналом 1,8 Ом 1% 1206</v>
      </c>
      <c r="C324" s="3" t="s">
        <v>26</v>
      </c>
      <c r="D324" s="3" t="s">
        <v>29</v>
      </c>
      <c r="E324" s="3" t="s">
        <v>26</v>
      </c>
      <c r="F324" s="63">
        <v>1.8</v>
      </c>
      <c r="G324" s="54" t="s">
        <v>132</v>
      </c>
      <c r="H324" s="3" t="s">
        <v>602</v>
      </c>
      <c r="I324" s="3" t="s">
        <v>601</v>
      </c>
      <c r="J324" s="1"/>
      <c r="K324" s="1"/>
      <c r="L324" s="1"/>
      <c r="M324" s="1"/>
      <c r="N324" s="29"/>
      <c r="O324" s="1"/>
    </row>
    <row r="325" spans="1:15" ht="15.5" x14ac:dyDescent="0.35">
      <c r="A325" s="1" t="str">
        <f t="shared" si="10"/>
        <v>RC1206FR-072R2L</v>
      </c>
      <c r="B325" s="1" t="str">
        <f t="shared" si="11"/>
        <v>Резистор номиналом 2,2 Ом 1% 1206</v>
      </c>
      <c r="C325" s="3" t="s">
        <v>26</v>
      </c>
      <c r="D325" s="3" t="s">
        <v>29</v>
      </c>
      <c r="E325" s="3" t="s">
        <v>26</v>
      </c>
      <c r="F325" s="63">
        <v>2.2000000000000002</v>
      </c>
      <c r="G325" s="54" t="s">
        <v>132</v>
      </c>
      <c r="H325" s="3" t="s">
        <v>602</v>
      </c>
      <c r="I325" s="3" t="s">
        <v>601</v>
      </c>
      <c r="J325" s="1"/>
      <c r="K325" s="1"/>
      <c r="L325" s="1"/>
      <c r="M325" s="1"/>
      <c r="N325" s="29"/>
      <c r="O325" s="1"/>
    </row>
    <row r="326" spans="1:15" ht="15.5" x14ac:dyDescent="0.35">
      <c r="A326" s="1" t="str">
        <f t="shared" si="10"/>
        <v>RC1206FR-072R7L</v>
      </c>
      <c r="B326" s="1" t="str">
        <f t="shared" si="11"/>
        <v>Резистор номиналом 2,7 Ом 1% 1206</v>
      </c>
      <c r="C326" s="3" t="s">
        <v>26</v>
      </c>
      <c r="D326" s="3" t="s">
        <v>29</v>
      </c>
      <c r="E326" s="3" t="s">
        <v>26</v>
      </c>
      <c r="F326" s="63">
        <v>2.7</v>
      </c>
      <c r="G326" s="54" t="s">
        <v>132</v>
      </c>
      <c r="H326" s="3" t="s">
        <v>602</v>
      </c>
      <c r="I326" s="3" t="s">
        <v>601</v>
      </c>
      <c r="J326" s="1"/>
      <c r="K326" s="1"/>
      <c r="L326" s="1"/>
      <c r="M326" s="1"/>
      <c r="N326" s="29"/>
      <c r="O326" s="1"/>
    </row>
    <row r="327" spans="1:15" ht="15.5" x14ac:dyDescent="0.35">
      <c r="A327" s="1" t="str">
        <f t="shared" si="10"/>
        <v>RC1206FR-073R3L</v>
      </c>
      <c r="B327" s="1" t="str">
        <f t="shared" si="11"/>
        <v>Резистор номиналом 3,3 Ом 1% 1206</v>
      </c>
      <c r="C327" s="3" t="s">
        <v>26</v>
      </c>
      <c r="D327" s="3" t="s">
        <v>29</v>
      </c>
      <c r="E327" s="3" t="s">
        <v>26</v>
      </c>
      <c r="F327" s="63">
        <v>3.3</v>
      </c>
      <c r="G327" s="54" t="s">
        <v>132</v>
      </c>
      <c r="H327" s="3" t="s">
        <v>602</v>
      </c>
      <c r="I327" s="3" t="s">
        <v>601</v>
      </c>
      <c r="J327" s="1"/>
      <c r="K327" s="1"/>
      <c r="L327" s="1"/>
      <c r="M327" s="1"/>
      <c r="N327" s="29"/>
      <c r="O327" s="1"/>
    </row>
    <row r="328" spans="1:15" ht="15.5" x14ac:dyDescent="0.35">
      <c r="A328" s="1" t="str">
        <f t="shared" si="10"/>
        <v>RC1206FR-073R9L</v>
      </c>
      <c r="B328" s="1" t="str">
        <f t="shared" si="11"/>
        <v>Резистор номиналом 3,9 Ом 1% 1206</v>
      </c>
      <c r="C328" s="3" t="s">
        <v>26</v>
      </c>
      <c r="D328" s="3" t="s">
        <v>29</v>
      </c>
      <c r="E328" s="3" t="s">
        <v>26</v>
      </c>
      <c r="F328" s="63">
        <v>3.9</v>
      </c>
      <c r="G328" s="54" t="s">
        <v>132</v>
      </c>
      <c r="H328" s="3" t="s">
        <v>602</v>
      </c>
      <c r="I328" s="3" t="s">
        <v>601</v>
      </c>
      <c r="J328" s="1"/>
      <c r="K328" s="1"/>
      <c r="L328" s="1"/>
      <c r="M328" s="1"/>
      <c r="N328" s="29"/>
      <c r="O328" s="1"/>
    </row>
    <row r="329" spans="1:15" ht="15.5" x14ac:dyDescent="0.35">
      <c r="A329" s="1" t="str">
        <f t="shared" si="10"/>
        <v>RC1206FR-074R7L</v>
      </c>
      <c r="B329" s="1" t="str">
        <f t="shared" si="11"/>
        <v>Резистор номиналом 4,7 Ом 1% 1206</v>
      </c>
      <c r="C329" s="3" t="s">
        <v>26</v>
      </c>
      <c r="D329" s="3" t="s">
        <v>29</v>
      </c>
      <c r="E329" s="3" t="s">
        <v>26</v>
      </c>
      <c r="F329" s="63">
        <v>4.7</v>
      </c>
      <c r="G329" s="54" t="s">
        <v>132</v>
      </c>
      <c r="H329" s="3" t="s">
        <v>602</v>
      </c>
      <c r="I329" s="3" t="s">
        <v>601</v>
      </c>
      <c r="J329" s="1"/>
      <c r="K329" s="1"/>
      <c r="L329" s="1"/>
      <c r="M329" s="1"/>
      <c r="N329" s="29"/>
      <c r="O329" s="1"/>
    </row>
    <row r="330" spans="1:15" ht="15.5" x14ac:dyDescent="0.35">
      <c r="A330" s="1" t="str">
        <f t="shared" si="10"/>
        <v>RC1206FR-075R6L</v>
      </c>
      <c r="B330" s="1" t="str">
        <f t="shared" si="11"/>
        <v>Резистор номиналом 5,6 Ом 1% 1206</v>
      </c>
      <c r="C330" s="3" t="s">
        <v>26</v>
      </c>
      <c r="D330" s="3" t="s">
        <v>29</v>
      </c>
      <c r="E330" s="3" t="s">
        <v>26</v>
      </c>
      <c r="F330" s="63">
        <v>5.6</v>
      </c>
      <c r="G330" s="54" t="s">
        <v>132</v>
      </c>
      <c r="H330" s="3" t="s">
        <v>602</v>
      </c>
      <c r="I330" s="3" t="s">
        <v>601</v>
      </c>
      <c r="J330" s="1"/>
      <c r="K330" s="1"/>
      <c r="L330" s="1"/>
      <c r="M330" s="1"/>
      <c r="N330" s="29"/>
      <c r="O330" s="1"/>
    </row>
    <row r="331" spans="1:15" ht="15.5" x14ac:dyDescent="0.35">
      <c r="A331" s="1" t="str">
        <f t="shared" si="10"/>
        <v>RC1206FR-076R8L</v>
      </c>
      <c r="B331" s="1" t="str">
        <f t="shared" si="11"/>
        <v>Резистор номиналом 6,8 Ом 1% 1206</v>
      </c>
      <c r="C331" s="3" t="s">
        <v>26</v>
      </c>
      <c r="D331" s="3" t="s">
        <v>29</v>
      </c>
      <c r="E331" s="3" t="s">
        <v>26</v>
      </c>
      <c r="F331" s="63">
        <v>6.8</v>
      </c>
      <c r="G331" s="54" t="s">
        <v>132</v>
      </c>
      <c r="H331" s="3" t="s">
        <v>602</v>
      </c>
      <c r="I331" s="3" t="s">
        <v>601</v>
      </c>
      <c r="J331" s="1"/>
      <c r="K331" s="1"/>
      <c r="L331" s="1"/>
      <c r="M331" s="1"/>
      <c r="N331" s="29"/>
      <c r="O331" s="1"/>
    </row>
    <row r="332" spans="1:15" ht="15.5" x14ac:dyDescent="0.35">
      <c r="A332" s="1" t="str">
        <f t="shared" si="10"/>
        <v>RC1206FR-078R2L</v>
      </c>
      <c r="B332" s="1" t="str">
        <f t="shared" si="11"/>
        <v>Резистор номиналом 8,2 Ом 1% 1206</v>
      </c>
      <c r="C332" s="3" t="s">
        <v>26</v>
      </c>
      <c r="D332" s="3" t="s">
        <v>29</v>
      </c>
      <c r="E332" s="3" t="s">
        <v>26</v>
      </c>
      <c r="F332" s="63">
        <v>8.1999999999999993</v>
      </c>
      <c r="G332" s="54" t="s">
        <v>132</v>
      </c>
      <c r="H332" s="3" t="s">
        <v>602</v>
      </c>
      <c r="I332" s="3" t="s">
        <v>601</v>
      </c>
      <c r="J332" s="1"/>
      <c r="K332" s="1"/>
      <c r="L332" s="1"/>
      <c r="M332" s="1"/>
      <c r="N332" s="29"/>
      <c r="O332" s="1"/>
    </row>
    <row r="333" spans="1:15" ht="15.5" x14ac:dyDescent="0.35">
      <c r="A333" s="1" t="str">
        <f t="shared" si="10"/>
        <v>RC1206FR-0710RL</v>
      </c>
      <c r="B333" s="1" t="str">
        <f t="shared" si="11"/>
        <v>Резистор номиналом 10 Ом 1% 1206</v>
      </c>
      <c r="C333" s="3" t="s">
        <v>26</v>
      </c>
      <c r="D333" s="3" t="s">
        <v>29</v>
      </c>
      <c r="E333" s="3" t="s">
        <v>26</v>
      </c>
      <c r="F333" s="63">
        <v>10</v>
      </c>
      <c r="G333" s="54" t="s">
        <v>132</v>
      </c>
      <c r="H333" s="3" t="s">
        <v>602</v>
      </c>
      <c r="I333" s="3" t="s">
        <v>601</v>
      </c>
      <c r="J333" s="1"/>
      <c r="K333" s="1"/>
      <c r="L333" s="1"/>
      <c r="M333" s="1"/>
      <c r="N333" s="29"/>
      <c r="O333" s="1"/>
    </row>
    <row r="334" spans="1:15" ht="15.5" x14ac:dyDescent="0.35">
      <c r="A334" s="1" t="str">
        <f t="shared" si="10"/>
        <v>RC1206FR-0712RL</v>
      </c>
      <c r="B334" s="1" t="str">
        <f t="shared" si="11"/>
        <v>Резистор номиналом 12 Ом 1% 1206</v>
      </c>
      <c r="C334" s="3" t="s">
        <v>26</v>
      </c>
      <c r="D334" s="3" t="s">
        <v>29</v>
      </c>
      <c r="E334" s="3" t="s">
        <v>26</v>
      </c>
      <c r="F334" s="63">
        <v>12</v>
      </c>
      <c r="G334" s="54" t="s">
        <v>132</v>
      </c>
      <c r="H334" s="3" t="s">
        <v>602</v>
      </c>
      <c r="I334" s="3" t="s">
        <v>601</v>
      </c>
      <c r="J334" s="1"/>
      <c r="K334" s="1"/>
      <c r="L334" s="1"/>
      <c r="M334" s="1"/>
      <c r="N334" s="29"/>
      <c r="O334" s="1"/>
    </row>
    <row r="335" spans="1:15" ht="15.5" x14ac:dyDescent="0.35">
      <c r="A335" s="1" t="str">
        <f t="shared" si="10"/>
        <v>RC1206FR-0715RL</v>
      </c>
      <c r="B335" s="1" t="str">
        <f t="shared" si="11"/>
        <v>Резистор номиналом 15 Ом 1% 1206</v>
      </c>
      <c r="C335" s="3" t="s">
        <v>26</v>
      </c>
      <c r="D335" s="3" t="s">
        <v>29</v>
      </c>
      <c r="E335" s="3" t="s">
        <v>26</v>
      </c>
      <c r="F335" s="63">
        <v>15</v>
      </c>
      <c r="G335" s="54" t="s">
        <v>132</v>
      </c>
      <c r="H335" s="3" t="s">
        <v>602</v>
      </c>
      <c r="I335" s="3" t="s">
        <v>601</v>
      </c>
      <c r="J335" s="1"/>
      <c r="K335" s="1"/>
      <c r="L335" s="1"/>
      <c r="M335" s="1"/>
      <c r="N335" s="29"/>
      <c r="O335" s="1"/>
    </row>
    <row r="336" spans="1:15" ht="15.5" x14ac:dyDescent="0.35">
      <c r="A336" s="1" t="str">
        <f t="shared" si="10"/>
        <v>RC1206FR-0718RL</v>
      </c>
      <c r="B336" s="1" t="str">
        <f t="shared" si="11"/>
        <v>Резистор номиналом 18 Ом 1% 1206</v>
      </c>
      <c r="C336" s="3" t="s">
        <v>26</v>
      </c>
      <c r="D336" s="3" t="s">
        <v>29</v>
      </c>
      <c r="E336" s="3" t="s">
        <v>26</v>
      </c>
      <c r="F336" s="63">
        <v>18</v>
      </c>
      <c r="G336" s="54" t="s">
        <v>132</v>
      </c>
      <c r="H336" s="3" t="s">
        <v>602</v>
      </c>
      <c r="I336" s="3" t="s">
        <v>601</v>
      </c>
      <c r="J336" s="1"/>
      <c r="K336" s="1"/>
      <c r="L336" s="1"/>
      <c r="M336" s="1"/>
      <c r="N336" s="29"/>
      <c r="O336" s="1"/>
    </row>
    <row r="337" spans="1:15" ht="15.5" x14ac:dyDescent="0.35">
      <c r="A337" s="1" t="str">
        <f t="shared" si="10"/>
        <v>RC1206FR-0722RL</v>
      </c>
      <c r="B337" s="1" t="str">
        <f t="shared" si="11"/>
        <v>Резистор номиналом 22 Ом 1% 1206</v>
      </c>
      <c r="C337" s="3" t="s">
        <v>26</v>
      </c>
      <c r="D337" s="3" t="s">
        <v>29</v>
      </c>
      <c r="E337" s="3" t="s">
        <v>26</v>
      </c>
      <c r="F337" s="63">
        <v>22</v>
      </c>
      <c r="G337" s="54" t="s">
        <v>132</v>
      </c>
      <c r="H337" s="3" t="s">
        <v>602</v>
      </c>
      <c r="I337" s="3" t="s">
        <v>601</v>
      </c>
      <c r="J337" s="1"/>
      <c r="K337" s="1"/>
      <c r="L337" s="1"/>
      <c r="M337" s="1"/>
      <c r="N337" s="29"/>
      <c r="O337" s="1"/>
    </row>
    <row r="338" spans="1:15" ht="15.5" x14ac:dyDescent="0.35">
      <c r="A338" s="1" t="str">
        <f t="shared" si="10"/>
        <v>RC1206FR-0727RL</v>
      </c>
      <c r="B338" s="1" t="str">
        <f t="shared" si="11"/>
        <v>Резистор номиналом 27 Ом 1% 1206</v>
      </c>
      <c r="C338" s="3" t="s">
        <v>26</v>
      </c>
      <c r="D338" s="3" t="s">
        <v>29</v>
      </c>
      <c r="E338" s="3" t="s">
        <v>26</v>
      </c>
      <c r="F338" s="63">
        <v>27</v>
      </c>
      <c r="G338" s="54" t="s">
        <v>132</v>
      </c>
      <c r="H338" s="3" t="s">
        <v>602</v>
      </c>
      <c r="I338" s="3" t="s">
        <v>601</v>
      </c>
      <c r="J338" s="1"/>
      <c r="K338" s="1"/>
      <c r="L338" s="1"/>
      <c r="M338" s="1"/>
      <c r="N338" s="29"/>
      <c r="O338" s="1"/>
    </row>
    <row r="339" spans="1:15" ht="15.5" x14ac:dyDescent="0.35">
      <c r="A339" s="1" t="str">
        <f t="shared" si="10"/>
        <v>RC1206FR-0733RL</v>
      </c>
      <c r="B339" s="1" t="str">
        <f t="shared" si="11"/>
        <v>Резистор номиналом 33 Ом 1% 1206</v>
      </c>
      <c r="C339" s="3" t="s">
        <v>26</v>
      </c>
      <c r="D339" s="3" t="s">
        <v>29</v>
      </c>
      <c r="E339" s="3" t="s">
        <v>26</v>
      </c>
      <c r="F339" s="63">
        <v>33</v>
      </c>
      <c r="G339" s="54" t="s">
        <v>132</v>
      </c>
      <c r="H339" s="3" t="s">
        <v>602</v>
      </c>
      <c r="I339" s="3" t="s">
        <v>601</v>
      </c>
      <c r="J339" s="1"/>
      <c r="K339" s="1"/>
      <c r="L339" s="1"/>
      <c r="M339" s="1"/>
      <c r="N339" s="29"/>
      <c r="O339" s="1"/>
    </row>
    <row r="340" spans="1:15" ht="15.5" x14ac:dyDescent="0.35">
      <c r="A340" s="1" t="str">
        <f t="shared" si="10"/>
        <v>RC1206FR-0739RL</v>
      </c>
      <c r="B340" s="1" t="str">
        <f t="shared" si="11"/>
        <v>Резистор номиналом 39 Ом 1% 1206</v>
      </c>
      <c r="C340" s="3" t="s">
        <v>26</v>
      </c>
      <c r="D340" s="3" t="s">
        <v>29</v>
      </c>
      <c r="E340" s="3" t="s">
        <v>26</v>
      </c>
      <c r="F340" s="63">
        <v>39</v>
      </c>
      <c r="G340" s="54" t="s">
        <v>132</v>
      </c>
      <c r="H340" s="3" t="s">
        <v>602</v>
      </c>
      <c r="I340" s="3" t="s">
        <v>601</v>
      </c>
      <c r="J340" s="1"/>
      <c r="K340" s="1"/>
      <c r="L340" s="1"/>
      <c r="M340" s="1"/>
      <c r="N340" s="29"/>
      <c r="O340" s="1"/>
    </row>
    <row r="341" spans="1:15" ht="15.5" x14ac:dyDescent="0.35">
      <c r="A341" s="1" t="str">
        <f t="shared" si="10"/>
        <v>RC1206FR-0747RL</v>
      </c>
      <c r="B341" s="1" t="str">
        <f t="shared" si="11"/>
        <v>Резистор номиналом 47 Ом 1% 1206</v>
      </c>
      <c r="C341" s="3" t="s">
        <v>26</v>
      </c>
      <c r="D341" s="3" t="s">
        <v>29</v>
      </c>
      <c r="E341" s="3" t="s">
        <v>26</v>
      </c>
      <c r="F341" s="63">
        <v>47</v>
      </c>
      <c r="G341" s="54" t="s">
        <v>132</v>
      </c>
      <c r="H341" s="3" t="s">
        <v>602</v>
      </c>
      <c r="I341" s="3" t="s">
        <v>601</v>
      </c>
      <c r="J341" s="1"/>
      <c r="K341" s="1"/>
      <c r="L341" s="1"/>
      <c r="M341" s="1"/>
      <c r="N341" s="29"/>
      <c r="O341" s="1"/>
    </row>
    <row r="342" spans="1:15" ht="15.5" x14ac:dyDescent="0.35">
      <c r="A342" s="1" t="str">
        <f t="shared" si="10"/>
        <v>RC1206FR-0756RL</v>
      </c>
      <c r="B342" s="1" t="str">
        <f t="shared" si="11"/>
        <v>Резистор номиналом 56 Ом 1% 1206</v>
      </c>
      <c r="C342" s="3" t="s">
        <v>26</v>
      </c>
      <c r="D342" s="3" t="s">
        <v>29</v>
      </c>
      <c r="E342" s="3" t="s">
        <v>26</v>
      </c>
      <c r="F342" s="63">
        <v>56</v>
      </c>
      <c r="G342" s="54" t="s">
        <v>132</v>
      </c>
      <c r="H342" s="3" t="s">
        <v>602</v>
      </c>
      <c r="I342" s="3" t="s">
        <v>601</v>
      </c>
      <c r="J342" s="1"/>
      <c r="K342" s="1"/>
      <c r="L342" s="1"/>
      <c r="M342" s="1"/>
      <c r="N342" s="29"/>
      <c r="O342" s="1"/>
    </row>
    <row r="343" spans="1:15" ht="15.5" x14ac:dyDescent="0.35">
      <c r="A343" s="1" t="str">
        <f t="shared" si="10"/>
        <v>RC1206FR-0768RL</v>
      </c>
      <c r="B343" s="1" t="str">
        <f t="shared" si="11"/>
        <v>Резистор номиналом 68 Ом 1% 1206</v>
      </c>
      <c r="C343" s="3" t="s">
        <v>26</v>
      </c>
      <c r="D343" s="3" t="s">
        <v>29</v>
      </c>
      <c r="E343" s="3" t="s">
        <v>26</v>
      </c>
      <c r="F343" s="63">
        <v>68</v>
      </c>
      <c r="G343" s="54" t="s">
        <v>132</v>
      </c>
      <c r="H343" s="3" t="s">
        <v>602</v>
      </c>
      <c r="I343" s="3" t="s">
        <v>601</v>
      </c>
      <c r="J343" s="1"/>
      <c r="K343" s="1"/>
      <c r="L343" s="1"/>
      <c r="M343" s="1"/>
      <c r="N343" s="29"/>
      <c r="O343" s="1"/>
    </row>
    <row r="344" spans="1:15" ht="15.5" x14ac:dyDescent="0.35">
      <c r="A344" s="1" t="str">
        <f t="shared" si="10"/>
        <v>RC1206FR-0782RL</v>
      </c>
      <c r="B344" s="1" t="str">
        <f t="shared" si="11"/>
        <v>Резистор номиналом 82 Ом 1% 1206</v>
      </c>
      <c r="C344" s="3" t="s">
        <v>26</v>
      </c>
      <c r="D344" s="3" t="s">
        <v>29</v>
      </c>
      <c r="E344" s="3" t="s">
        <v>26</v>
      </c>
      <c r="F344" s="63">
        <v>82</v>
      </c>
      <c r="G344" s="54" t="s">
        <v>132</v>
      </c>
      <c r="H344" s="3" t="s">
        <v>602</v>
      </c>
      <c r="I344" s="3" t="s">
        <v>601</v>
      </c>
      <c r="J344" s="1"/>
      <c r="K344" s="1"/>
      <c r="L344" s="1"/>
      <c r="M344" s="1"/>
      <c r="N344" s="29"/>
      <c r="O344" s="1"/>
    </row>
    <row r="345" spans="1:15" ht="15.5" x14ac:dyDescent="0.35">
      <c r="A345" s="1" t="str">
        <f t="shared" si="10"/>
        <v>RC1206FR-07100RL</v>
      </c>
      <c r="B345" s="1" t="str">
        <f t="shared" si="11"/>
        <v>Резистор номиналом 100 Ом 1% 1206</v>
      </c>
      <c r="C345" s="3" t="s">
        <v>26</v>
      </c>
      <c r="D345" s="3" t="s">
        <v>29</v>
      </c>
      <c r="E345" s="3" t="s">
        <v>26</v>
      </c>
      <c r="F345" s="63">
        <v>100</v>
      </c>
      <c r="G345" s="54" t="s">
        <v>132</v>
      </c>
      <c r="H345" s="3" t="s">
        <v>602</v>
      </c>
      <c r="I345" s="3" t="s">
        <v>601</v>
      </c>
      <c r="J345" s="1"/>
      <c r="K345" s="1"/>
      <c r="L345" s="1"/>
      <c r="M345" s="1"/>
      <c r="N345" s="29"/>
      <c r="O345" s="1"/>
    </row>
    <row r="346" spans="1:15" ht="15.5" x14ac:dyDescent="0.35">
      <c r="A346" s="1" t="str">
        <f t="shared" si="10"/>
        <v>RC1206FR-07120RL</v>
      </c>
      <c r="B346" s="1" t="str">
        <f t="shared" si="11"/>
        <v>Резистор номиналом 120 Ом 1% 1206</v>
      </c>
      <c r="C346" s="3" t="s">
        <v>26</v>
      </c>
      <c r="D346" s="3" t="s">
        <v>29</v>
      </c>
      <c r="E346" s="3" t="s">
        <v>26</v>
      </c>
      <c r="F346" s="63">
        <v>120</v>
      </c>
      <c r="G346" s="54" t="s">
        <v>132</v>
      </c>
      <c r="H346" s="3" t="s">
        <v>602</v>
      </c>
      <c r="I346" s="3" t="s">
        <v>601</v>
      </c>
      <c r="J346" s="1"/>
      <c r="K346" s="1"/>
      <c r="L346" s="1"/>
      <c r="M346" s="1"/>
      <c r="N346" s="29"/>
      <c r="O346" s="1"/>
    </row>
    <row r="347" spans="1:15" ht="15.5" x14ac:dyDescent="0.35">
      <c r="A347" s="1" t="str">
        <f t="shared" si="10"/>
        <v>RC1206FR-07150RL</v>
      </c>
      <c r="B347" s="1" t="str">
        <f t="shared" si="11"/>
        <v>Резистор номиналом 150 Ом 1% 1206</v>
      </c>
      <c r="C347" s="3" t="s">
        <v>26</v>
      </c>
      <c r="D347" s="3" t="s">
        <v>29</v>
      </c>
      <c r="E347" s="3" t="s">
        <v>26</v>
      </c>
      <c r="F347" s="63">
        <v>150</v>
      </c>
      <c r="G347" s="54" t="s">
        <v>132</v>
      </c>
      <c r="H347" s="3" t="s">
        <v>602</v>
      </c>
      <c r="I347" s="3" t="s">
        <v>601</v>
      </c>
      <c r="J347" s="1"/>
      <c r="K347" s="1"/>
      <c r="L347" s="1"/>
      <c r="M347" s="1"/>
      <c r="N347" s="29"/>
      <c r="O347" s="1"/>
    </row>
    <row r="348" spans="1:15" ht="15.5" x14ac:dyDescent="0.35">
      <c r="A348" s="1" t="str">
        <f t="shared" si="10"/>
        <v>RC1206FR-07180RL</v>
      </c>
      <c r="B348" s="1" t="str">
        <f t="shared" si="11"/>
        <v>Резистор номиналом 180 Ом 1% 1206</v>
      </c>
      <c r="C348" s="3" t="s">
        <v>26</v>
      </c>
      <c r="D348" s="3" t="s">
        <v>29</v>
      </c>
      <c r="E348" s="3" t="s">
        <v>26</v>
      </c>
      <c r="F348" s="63">
        <v>180</v>
      </c>
      <c r="G348" s="54" t="s">
        <v>132</v>
      </c>
      <c r="H348" s="3" t="s">
        <v>602</v>
      </c>
      <c r="I348" s="3" t="s">
        <v>601</v>
      </c>
      <c r="J348" s="1"/>
      <c r="K348" s="1"/>
      <c r="L348" s="1"/>
      <c r="M348" s="1"/>
      <c r="N348" s="29"/>
      <c r="O348" s="1"/>
    </row>
    <row r="349" spans="1:15" ht="15.5" x14ac:dyDescent="0.35">
      <c r="A349" s="1" t="str">
        <f t="shared" si="10"/>
        <v>RC1206FR-07220RL</v>
      </c>
      <c r="B349" s="1" t="str">
        <f t="shared" si="11"/>
        <v>Резистор номиналом 220 Ом 1% 1206</v>
      </c>
      <c r="C349" s="3" t="s">
        <v>26</v>
      </c>
      <c r="D349" s="3" t="s">
        <v>29</v>
      </c>
      <c r="E349" s="3" t="s">
        <v>26</v>
      </c>
      <c r="F349" s="63">
        <v>220</v>
      </c>
      <c r="G349" s="54" t="s">
        <v>132</v>
      </c>
      <c r="H349" s="3" t="s">
        <v>602</v>
      </c>
      <c r="I349" s="3" t="s">
        <v>601</v>
      </c>
      <c r="J349" s="1"/>
      <c r="K349" s="1"/>
      <c r="L349" s="1"/>
      <c r="M349" s="1"/>
      <c r="N349" s="29"/>
      <c r="O349" s="1"/>
    </row>
    <row r="350" spans="1:15" ht="15.5" x14ac:dyDescent="0.35">
      <c r="A350" s="1" t="str">
        <f t="shared" si="10"/>
        <v>RC1206FR-07270RL</v>
      </c>
      <c r="B350" s="1" t="str">
        <f t="shared" si="11"/>
        <v>Резистор номиналом 270 Ом 1% 1206</v>
      </c>
      <c r="C350" s="3" t="s">
        <v>26</v>
      </c>
      <c r="D350" s="3" t="s">
        <v>29</v>
      </c>
      <c r="E350" s="3" t="s">
        <v>26</v>
      </c>
      <c r="F350" s="63">
        <v>270</v>
      </c>
      <c r="G350" s="54" t="s">
        <v>132</v>
      </c>
      <c r="H350" s="3" t="s">
        <v>602</v>
      </c>
      <c r="I350" s="3" t="s">
        <v>601</v>
      </c>
      <c r="J350" s="1"/>
      <c r="K350" s="1"/>
      <c r="L350" s="1"/>
      <c r="M350" s="1"/>
      <c r="N350" s="29"/>
      <c r="O350" s="1"/>
    </row>
    <row r="351" spans="1:15" ht="15.5" x14ac:dyDescent="0.35">
      <c r="A351" s="1" t="str">
        <f t="shared" si="10"/>
        <v>RC1206FR-07330RL</v>
      </c>
      <c r="B351" s="1" t="str">
        <f t="shared" si="11"/>
        <v>Резистор номиналом 330 Ом 1% 1206</v>
      </c>
      <c r="C351" s="3" t="s">
        <v>26</v>
      </c>
      <c r="D351" s="3" t="s">
        <v>29</v>
      </c>
      <c r="E351" s="3" t="s">
        <v>26</v>
      </c>
      <c r="F351" s="63">
        <v>330</v>
      </c>
      <c r="G351" s="54" t="s">
        <v>132</v>
      </c>
      <c r="H351" s="3" t="s">
        <v>602</v>
      </c>
      <c r="I351" s="3" t="s">
        <v>601</v>
      </c>
      <c r="J351" s="1"/>
      <c r="K351" s="1"/>
      <c r="L351" s="1"/>
      <c r="M351" s="1"/>
      <c r="N351" s="29"/>
      <c r="O351" s="1"/>
    </row>
    <row r="352" spans="1:15" ht="15.5" x14ac:dyDescent="0.35">
      <c r="A352" s="1" t="str">
        <f t="shared" si="10"/>
        <v>RC1206FR-07390RL</v>
      </c>
      <c r="B352" s="1" t="str">
        <f t="shared" si="11"/>
        <v>Резистор номиналом 390 Ом 1% 1206</v>
      </c>
      <c r="C352" s="3" t="s">
        <v>26</v>
      </c>
      <c r="D352" s="3" t="s">
        <v>29</v>
      </c>
      <c r="E352" s="3" t="s">
        <v>26</v>
      </c>
      <c r="F352" s="63">
        <v>390</v>
      </c>
      <c r="G352" s="54" t="s">
        <v>132</v>
      </c>
      <c r="H352" s="3" t="s">
        <v>602</v>
      </c>
      <c r="I352" s="3" t="s">
        <v>601</v>
      </c>
      <c r="J352" s="1"/>
      <c r="K352" s="1"/>
      <c r="L352" s="1"/>
      <c r="M352" s="1"/>
      <c r="N352" s="29"/>
      <c r="O352" s="1"/>
    </row>
    <row r="353" spans="1:15" ht="15.5" x14ac:dyDescent="0.35">
      <c r="A353" s="1" t="str">
        <f t="shared" si="10"/>
        <v>RC1206FR-07470RL</v>
      </c>
      <c r="B353" s="1" t="str">
        <f t="shared" si="11"/>
        <v>Резистор номиналом 470 Ом 1% 1206</v>
      </c>
      <c r="C353" s="3" t="s">
        <v>26</v>
      </c>
      <c r="D353" s="3" t="s">
        <v>29</v>
      </c>
      <c r="E353" s="3" t="s">
        <v>26</v>
      </c>
      <c r="F353" s="63">
        <v>470</v>
      </c>
      <c r="G353" s="54" t="s">
        <v>132</v>
      </c>
      <c r="H353" s="3" t="s">
        <v>602</v>
      </c>
      <c r="I353" s="3" t="s">
        <v>601</v>
      </c>
      <c r="J353" s="1"/>
      <c r="K353" s="1"/>
      <c r="L353" s="1"/>
      <c r="M353" s="1"/>
      <c r="N353" s="29"/>
      <c r="O353" s="1"/>
    </row>
    <row r="354" spans="1:15" ht="15.5" x14ac:dyDescent="0.35">
      <c r="A354" s="1" t="str">
        <f t="shared" si="10"/>
        <v>RC1206FR-07560RL</v>
      </c>
      <c r="B354" s="1" t="str">
        <f t="shared" si="11"/>
        <v>Резистор номиналом 560 Ом 1% 1206</v>
      </c>
      <c r="C354" s="3" t="s">
        <v>26</v>
      </c>
      <c r="D354" s="3" t="s">
        <v>29</v>
      </c>
      <c r="E354" s="3" t="s">
        <v>26</v>
      </c>
      <c r="F354" s="63">
        <v>560</v>
      </c>
      <c r="G354" s="54" t="s">
        <v>132</v>
      </c>
      <c r="H354" s="3" t="s">
        <v>602</v>
      </c>
      <c r="I354" s="3" t="s">
        <v>601</v>
      </c>
      <c r="J354" s="1"/>
      <c r="K354" s="1"/>
      <c r="L354" s="1"/>
      <c r="M354" s="1"/>
      <c r="N354" s="29"/>
      <c r="O354" s="1"/>
    </row>
    <row r="355" spans="1:15" ht="15.5" x14ac:dyDescent="0.35">
      <c r="A355" s="1" t="str">
        <f t="shared" si="10"/>
        <v>RC1206FR-07680RL</v>
      </c>
      <c r="B355" s="1" t="str">
        <f t="shared" si="11"/>
        <v>Резистор номиналом 680 Ом 1% 1206</v>
      </c>
      <c r="C355" s="3" t="s">
        <v>26</v>
      </c>
      <c r="D355" s="3" t="s">
        <v>29</v>
      </c>
      <c r="E355" s="3" t="s">
        <v>26</v>
      </c>
      <c r="F355" s="63">
        <v>680</v>
      </c>
      <c r="G355" s="54" t="s">
        <v>132</v>
      </c>
      <c r="H355" s="3" t="s">
        <v>602</v>
      </c>
      <c r="I355" s="3" t="s">
        <v>601</v>
      </c>
      <c r="J355" s="1"/>
      <c r="K355" s="1"/>
      <c r="L355" s="1"/>
      <c r="M355" s="1"/>
      <c r="N355" s="29"/>
      <c r="O355" s="1"/>
    </row>
    <row r="356" spans="1:15" ht="15.5" x14ac:dyDescent="0.35">
      <c r="A356" s="1" t="str">
        <f t="shared" si="10"/>
        <v>RC1206FR-07820RL</v>
      </c>
      <c r="B356" s="1" t="str">
        <f t="shared" si="11"/>
        <v>Резистор номиналом 820 Ом 1% 1206</v>
      </c>
      <c r="C356" s="3" t="s">
        <v>26</v>
      </c>
      <c r="D356" s="3" t="s">
        <v>29</v>
      </c>
      <c r="E356" s="3" t="s">
        <v>26</v>
      </c>
      <c r="F356" s="63">
        <v>820</v>
      </c>
      <c r="G356" s="54" t="s">
        <v>132</v>
      </c>
      <c r="H356" s="3" t="s">
        <v>602</v>
      </c>
      <c r="I356" s="3" t="s">
        <v>601</v>
      </c>
      <c r="J356" s="1"/>
      <c r="K356" s="1"/>
      <c r="L356" s="1"/>
      <c r="M356" s="1"/>
      <c r="N356" s="29"/>
      <c r="O356" s="1"/>
    </row>
    <row r="357" spans="1:15" ht="15.5" x14ac:dyDescent="0.35">
      <c r="A357" s="1" t="str">
        <f t="shared" si="10"/>
        <v>RC1206FR-071KL</v>
      </c>
      <c r="B357" s="1" t="str">
        <f t="shared" si="11"/>
        <v>Резистор номиналом 1 к Ом 1% 1206</v>
      </c>
      <c r="C357" s="3" t="s">
        <v>26</v>
      </c>
      <c r="D357" s="3" t="s">
        <v>29</v>
      </c>
      <c r="E357" s="3" t="s">
        <v>26</v>
      </c>
      <c r="F357" s="63" t="s">
        <v>544</v>
      </c>
      <c r="G357" s="54" t="s">
        <v>132</v>
      </c>
      <c r="H357" s="3" t="s">
        <v>602</v>
      </c>
      <c r="I357" s="3" t="s">
        <v>601</v>
      </c>
      <c r="J357" s="1"/>
      <c r="K357" s="1"/>
      <c r="L357" s="1"/>
      <c r="M357" s="1"/>
      <c r="N357" s="29"/>
      <c r="O357" s="1"/>
    </row>
    <row r="358" spans="1:15" ht="15.5" x14ac:dyDescent="0.35">
      <c r="A358" s="1" t="str">
        <f t="shared" si="10"/>
        <v>RC1206FR-0746M054L</v>
      </c>
      <c r="B358" s="1" t="str">
        <f t="shared" si="11"/>
        <v>Резистор номиналом 1.2 к Ом 1% 1206</v>
      </c>
      <c r="C358" s="3" t="s">
        <v>26</v>
      </c>
      <c r="D358" s="3" t="s">
        <v>29</v>
      </c>
      <c r="E358" s="3" t="s">
        <v>26</v>
      </c>
      <c r="F358" s="63" t="s">
        <v>1386</v>
      </c>
      <c r="G358" s="54" t="s">
        <v>132</v>
      </c>
      <c r="H358" s="3" t="s">
        <v>602</v>
      </c>
      <c r="I358" s="3" t="s">
        <v>601</v>
      </c>
      <c r="J358" s="1"/>
      <c r="K358" s="1"/>
      <c r="L358" s="1"/>
      <c r="M358" s="1"/>
      <c r="N358" s="29"/>
      <c r="O358" s="1"/>
    </row>
    <row r="359" spans="1:15" ht="15.5" x14ac:dyDescent="0.35">
      <c r="A359" s="1" t="str">
        <f t="shared" si="10"/>
        <v>RC1206FR-0746M143L</v>
      </c>
      <c r="B359" s="1" t="str">
        <f t="shared" si="11"/>
        <v>Резистор номиналом 1.5 к Ом 1% 1206</v>
      </c>
      <c r="C359" s="3" t="s">
        <v>26</v>
      </c>
      <c r="D359" s="3" t="s">
        <v>29</v>
      </c>
      <c r="E359" s="3" t="s">
        <v>26</v>
      </c>
      <c r="F359" s="63" t="s">
        <v>1387</v>
      </c>
      <c r="G359" s="54" t="s">
        <v>132</v>
      </c>
      <c r="H359" s="3" t="s">
        <v>602</v>
      </c>
      <c r="I359" s="3" t="s">
        <v>601</v>
      </c>
      <c r="J359" s="1"/>
      <c r="K359" s="1"/>
      <c r="L359" s="1"/>
      <c r="M359" s="1"/>
      <c r="N359" s="29"/>
      <c r="O359" s="1"/>
    </row>
    <row r="360" spans="1:15" ht="15.5" x14ac:dyDescent="0.35">
      <c r="A360" s="1" t="str">
        <f t="shared" si="10"/>
        <v>RC1206FR-0746M235L</v>
      </c>
      <c r="B360" s="1" t="str">
        <f t="shared" si="11"/>
        <v>Резистор номиналом 1.8 к Ом 1% 1206</v>
      </c>
      <c r="C360" s="3" t="s">
        <v>26</v>
      </c>
      <c r="D360" s="3" t="s">
        <v>29</v>
      </c>
      <c r="E360" s="3" t="s">
        <v>26</v>
      </c>
      <c r="F360" s="63" t="s">
        <v>1388</v>
      </c>
      <c r="G360" s="54" t="s">
        <v>132</v>
      </c>
      <c r="H360" s="3" t="s">
        <v>602</v>
      </c>
      <c r="I360" s="3" t="s">
        <v>601</v>
      </c>
      <c r="J360" s="1"/>
      <c r="K360" s="1"/>
      <c r="L360" s="1"/>
      <c r="M360" s="1"/>
      <c r="N360" s="29"/>
      <c r="O360" s="1"/>
    </row>
    <row r="361" spans="1:15" ht="15.5" x14ac:dyDescent="0.35">
      <c r="A361" s="1" t="str">
        <f t="shared" si="10"/>
        <v>RC1206FR-0746M055L</v>
      </c>
      <c r="B361" s="1" t="str">
        <f t="shared" si="11"/>
        <v>Резистор номиналом 2.2 к Ом 1% 1206</v>
      </c>
      <c r="C361" s="3" t="s">
        <v>26</v>
      </c>
      <c r="D361" s="3" t="s">
        <v>29</v>
      </c>
      <c r="E361" s="3" t="s">
        <v>26</v>
      </c>
      <c r="F361" s="63" t="s">
        <v>1389</v>
      </c>
      <c r="G361" s="54" t="s">
        <v>132</v>
      </c>
      <c r="H361" s="3" t="s">
        <v>602</v>
      </c>
      <c r="I361" s="3" t="s">
        <v>601</v>
      </c>
      <c r="J361" s="1"/>
      <c r="K361" s="1"/>
      <c r="L361" s="1"/>
      <c r="M361" s="1"/>
      <c r="N361" s="29"/>
      <c r="O361" s="1"/>
    </row>
    <row r="362" spans="1:15" ht="15.5" x14ac:dyDescent="0.35">
      <c r="A362" s="1" t="str">
        <f t="shared" si="10"/>
        <v>RC1206FR-0746M205L</v>
      </c>
      <c r="B362" s="1" t="str">
        <f t="shared" si="11"/>
        <v>Резистор номиналом 2.7 к Ом 1% 1206</v>
      </c>
      <c r="C362" s="3" t="s">
        <v>26</v>
      </c>
      <c r="D362" s="3" t="s">
        <v>29</v>
      </c>
      <c r="E362" s="3" t="s">
        <v>26</v>
      </c>
      <c r="F362" s="63" t="s">
        <v>1390</v>
      </c>
      <c r="G362" s="54" t="s">
        <v>132</v>
      </c>
      <c r="H362" s="3" t="s">
        <v>602</v>
      </c>
      <c r="I362" s="3" t="s">
        <v>601</v>
      </c>
      <c r="J362" s="1"/>
      <c r="K362" s="1"/>
      <c r="L362" s="1"/>
      <c r="M362" s="1"/>
      <c r="N362" s="29"/>
      <c r="O362" s="1"/>
    </row>
    <row r="363" spans="1:15" ht="15.5" x14ac:dyDescent="0.35">
      <c r="A363" s="1" t="str">
        <f t="shared" si="10"/>
        <v>RC1206FR-0746M084L</v>
      </c>
      <c r="B363" s="1" t="str">
        <f t="shared" si="11"/>
        <v>Резистор номиналом 3.3 к Ом 1% 1206</v>
      </c>
      <c r="C363" s="3" t="s">
        <v>26</v>
      </c>
      <c r="D363" s="3" t="s">
        <v>29</v>
      </c>
      <c r="E363" s="3" t="s">
        <v>26</v>
      </c>
      <c r="F363" s="63" t="s">
        <v>1391</v>
      </c>
      <c r="G363" s="54" t="s">
        <v>132</v>
      </c>
      <c r="H363" s="3" t="s">
        <v>602</v>
      </c>
      <c r="I363" s="3" t="s">
        <v>601</v>
      </c>
      <c r="J363" s="1"/>
      <c r="K363" s="1"/>
      <c r="L363" s="1"/>
      <c r="M363" s="1"/>
      <c r="N363" s="29"/>
      <c r="O363" s="1"/>
    </row>
    <row r="364" spans="1:15" ht="15.5" x14ac:dyDescent="0.35">
      <c r="A364" s="1" t="str">
        <f t="shared" si="10"/>
        <v>RC1206FR-0746M268L</v>
      </c>
      <c r="B364" s="1" t="str">
        <f t="shared" si="11"/>
        <v>Резистор номиналом 3.9 к Ом 1% 1206</v>
      </c>
      <c r="C364" s="3" t="s">
        <v>26</v>
      </c>
      <c r="D364" s="3" t="s">
        <v>29</v>
      </c>
      <c r="E364" s="3" t="s">
        <v>26</v>
      </c>
      <c r="F364" s="63" t="s">
        <v>1392</v>
      </c>
      <c r="G364" s="54" t="s">
        <v>132</v>
      </c>
      <c r="H364" s="3" t="s">
        <v>602</v>
      </c>
      <c r="I364" s="3" t="s">
        <v>601</v>
      </c>
      <c r="J364" s="1"/>
      <c r="K364" s="1"/>
      <c r="L364" s="1"/>
      <c r="M364" s="1"/>
      <c r="N364" s="29"/>
      <c r="O364" s="1"/>
    </row>
    <row r="365" spans="1:15" ht="15.5" x14ac:dyDescent="0.35">
      <c r="A365" s="1" t="str">
        <f t="shared" si="10"/>
        <v>RC1206FR-0746M207L</v>
      </c>
      <c r="B365" s="1" t="str">
        <f t="shared" si="11"/>
        <v>Резистор номиналом 4.7 к Ом 1% 1206</v>
      </c>
      <c r="C365" s="3" t="s">
        <v>26</v>
      </c>
      <c r="D365" s="3" t="s">
        <v>29</v>
      </c>
      <c r="E365" s="3" t="s">
        <v>26</v>
      </c>
      <c r="F365" s="63" t="s">
        <v>1393</v>
      </c>
      <c r="G365" s="54" t="s">
        <v>132</v>
      </c>
      <c r="H365" s="3" t="s">
        <v>602</v>
      </c>
      <c r="I365" s="3" t="s">
        <v>601</v>
      </c>
      <c r="J365" s="1"/>
      <c r="K365" s="1"/>
      <c r="L365" s="1"/>
      <c r="M365" s="1"/>
      <c r="N365" s="29"/>
      <c r="O365" s="1"/>
    </row>
    <row r="366" spans="1:15" ht="15.5" x14ac:dyDescent="0.35">
      <c r="A366" s="1" t="str">
        <f t="shared" si="10"/>
        <v>RC1206FR-0746M178L</v>
      </c>
      <c r="B366" s="1" t="str">
        <f t="shared" si="11"/>
        <v>Резистор номиналом 5.6 к Ом 1% 1206</v>
      </c>
      <c r="C366" s="3" t="s">
        <v>26</v>
      </c>
      <c r="D366" s="3" t="s">
        <v>29</v>
      </c>
      <c r="E366" s="3" t="s">
        <v>26</v>
      </c>
      <c r="F366" s="63" t="s">
        <v>1394</v>
      </c>
      <c r="G366" s="54" t="s">
        <v>132</v>
      </c>
      <c r="H366" s="3" t="s">
        <v>602</v>
      </c>
      <c r="I366" s="3" t="s">
        <v>601</v>
      </c>
      <c r="J366" s="1"/>
      <c r="K366" s="1"/>
      <c r="L366" s="1"/>
      <c r="M366" s="1"/>
      <c r="N366" s="29"/>
      <c r="O366" s="1"/>
    </row>
    <row r="367" spans="1:15" ht="15.5" x14ac:dyDescent="0.35">
      <c r="A367" s="1" t="str">
        <f t="shared" si="10"/>
        <v>RC1206FR-0746M24L</v>
      </c>
      <c r="B367" s="1" t="str">
        <f t="shared" si="11"/>
        <v>Резистор номиналом 6.8 к Ом 1% 1206</v>
      </c>
      <c r="C367" s="3" t="s">
        <v>26</v>
      </c>
      <c r="D367" s="3" t="s">
        <v>29</v>
      </c>
      <c r="E367" s="3" t="s">
        <v>26</v>
      </c>
      <c r="F367" s="63" t="s">
        <v>1395</v>
      </c>
      <c r="G367" s="54" t="s">
        <v>132</v>
      </c>
      <c r="H367" s="3" t="s">
        <v>602</v>
      </c>
      <c r="I367" s="3" t="s">
        <v>601</v>
      </c>
      <c r="J367" s="1"/>
      <c r="K367" s="1"/>
      <c r="L367" s="1"/>
      <c r="M367" s="1"/>
      <c r="N367" s="29"/>
      <c r="O367" s="1"/>
    </row>
    <row r="368" spans="1:15" ht="15.5" x14ac:dyDescent="0.35">
      <c r="A368" s="1" t="str">
        <f t="shared" si="10"/>
        <v>RC1206FR-0746M061L</v>
      </c>
      <c r="B368" s="1" t="str">
        <f t="shared" si="11"/>
        <v>Резистор номиналом 8.2 к Ом 1% 1206</v>
      </c>
      <c r="C368" s="3" t="s">
        <v>26</v>
      </c>
      <c r="D368" s="3" t="s">
        <v>29</v>
      </c>
      <c r="E368" s="3" t="s">
        <v>26</v>
      </c>
      <c r="F368" s="63" t="s">
        <v>1396</v>
      </c>
      <c r="G368" s="54" t="s">
        <v>132</v>
      </c>
      <c r="H368" s="3" t="s">
        <v>602</v>
      </c>
      <c r="I368" s="3" t="s">
        <v>601</v>
      </c>
      <c r="J368" s="1"/>
      <c r="K368" s="1"/>
      <c r="L368" s="1"/>
      <c r="M368" s="1"/>
      <c r="N368" s="29"/>
      <c r="O368" s="1"/>
    </row>
    <row r="369" spans="1:15" ht="15.5" x14ac:dyDescent="0.35">
      <c r="A369" s="1" t="str">
        <f t="shared" si="10"/>
        <v>RC1206FR-0710KL</v>
      </c>
      <c r="B369" s="1" t="str">
        <f t="shared" si="11"/>
        <v>Резистор номиналом 10 к Ом 1% 1206</v>
      </c>
      <c r="C369" s="3" t="s">
        <v>26</v>
      </c>
      <c r="D369" s="3" t="s">
        <v>29</v>
      </c>
      <c r="E369" s="3" t="s">
        <v>26</v>
      </c>
      <c r="F369" s="63" t="s">
        <v>163</v>
      </c>
      <c r="G369" s="54" t="s">
        <v>132</v>
      </c>
      <c r="H369" s="3" t="s">
        <v>602</v>
      </c>
      <c r="I369" s="3" t="s">
        <v>601</v>
      </c>
      <c r="J369" s="1"/>
      <c r="K369" s="1"/>
      <c r="L369" s="1"/>
      <c r="M369" s="1"/>
      <c r="N369" s="29"/>
      <c r="O369" s="1"/>
    </row>
    <row r="370" spans="1:15" ht="15.5" x14ac:dyDescent="0.35">
      <c r="A370" s="1" t="str">
        <f t="shared" si="10"/>
        <v>RC1206FR-0712KL</v>
      </c>
      <c r="B370" s="1" t="str">
        <f t="shared" si="11"/>
        <v>Резистор номиналом 12 к Ом 1% 1206</v>
      </c>
      <c r="C370" s="3" t="s">
        <v>26</v>
      </c>
      <c r="D370" s="3" t="s">
        <v>29</v>
      </c>
      <c r="E370" s="3" t="s">
        <v>26</v>
      </c>
      <c r="F370" s="63" t="s">
        <v>325</v>
      </c>
      <c r="G370" s="54" t="s">
        <v>132</v>
      </c>
      <c r="H370" s="3" t="s">
        <v>602</v>
      </c>
      <c r="I370" s="3" t="s">
        <v>601</v>
      </c>
      <c r="J370" s="1"/>
      <c r="K370" s="1"/>
      <c r="L370" s="1"/>
      <c r="M370" s="1"/>
      <c r="N370" s="29"/>
      <c r="O370" s="1"/>
    </row>
    <row r="371" spans="1:15" ht="15.5" x14ac:dyDescent="0.35">
      <c r="A371" s="1" t="str">
        <f t="shared" si="10"/>
        <v>RC1206FR-0715KL</v>
      </c>
      <c r="B371" s="1" t="str">
        <f t="shared" si="11"/>
        <v>Резистор номиналом 15 к Ом 1% 1206</v>
      </c>
      <c r="C371" s="3" t="s">
        <v>26</v>
      </c>
      <c r="D371" s="3" t="s">
        <v>29</v>
      </c>
      <c r="E371" s="3" t="s">
        <v>26</v>
      </c>
      <c r="F371" s="63" t="s">
        <v>166</v>
      </c>
      <c r="G371" s="54" t="s">
        <v>132</v>
      </c>
      <c r="H371" s="3" t="s">
        <v>602</v>
      </c>
      <c r="I371" s="3" t="s">
        <v>601</v>
      </c>
      <c r="J371" s="1"/>
      <c r="K371" s="1"/>
      <c r="L371" s="1"/>
      <c r="M371" s="1"/>
      <c r="N371" s="29"/>
      <c r="O371" s="1"/>
    </row>
    <row r="372" spans="1:15" ht="15.5" x14ac:dyDescent="0.35">
      <c r="A372" s="1" t="str">
        <f t="shared" si="10"/>
        <v>RC1206FR-0718KL</v>
      </c>
      <c r="B372" s="1" t="str">
        <f t="shared" si="11"/>
        <v>Резистор номиналом 18 к Ом 1% 1206</v>
      </c>
      <c r="C372" s="3" t="s">
        <v>26</v>
      </c>
      <c r="D372" s="3" t="s">
        <v>29</v>
      </c>
      <c r="E372" s="3" t="s">
        <v>26</v>
      </c>
      <c r="F372" s="63" t="s">
        <v>168</v>
      </c>
      <c r="G372" s="54" t="s">
        <v>132</v>
      </c>
      <c r="H372" s="3" t="s">
        <v>602</v>
      </c>
      <c r="I372" s="3" t="s">
        <v>601</v>
      </c>
      <c r="J372" s="1"/>
      <c r="K372" s="1"/>
      <c r="L372" s="1"/>
      <c r="M372" s="1"/>
      <c r="N372" s="29"/>
      <c r="O372" s="1"/>
    </row>
    <row r="373" spans="1:15" ht="15.5" x14ac:dyDescent="0.35">
      <c r="A373" s="1" t="str">
        <f t="shared" si="10"/>
        <v>RC1206FR-0722KL</v>
      </c>
      <c r="B373" s="1" t="str">
        <f t="shared" si="11"/>
        <v>Резистор номиналом 22 к Ом 1% 1206</v>
      </c>
      <c r="C373" s="3" t="s">
        <v>26</v>
      </c>
      <c r="D373" s="3" t="s">
        <v>29</v>
      </c>
      <c r="E373" s="3" t="s">
        <v>26</v>
      </c>
      <c r="F373" s="63" t="s">
        <v>170</v>
      </c>
      <c r="G373" s="54" t="s">
        <v>132</v>
      </c>
      <c r="H373" s="3" t="s">
        <v>602</v>
      </c>
      <c r="I373" s="3" t="s">
        <v>601</v>
      </c>
      <c r="J373" s="1"/>
      <c r="K373" s="1"/>
      <c r="L373" s="1"/>
      <c r="M373" s="1"/>
      <c r="N373" s="29"/>
      <c r="O373" s="1"/>
    </row>
    <row r="374" spans="1:15" ht="15.5" x14ac:dyDescent="0.35">
      <c r="A374" s="1" t="str">
        <f t="shared" si="10"/>
        <v>RC1206FR-0727KL</v>
      </c>
      <c r="B374" s="1" t="str">
        <f t="shared" si="11"/>
        <v>Резистор номиналом 27 к Ом 1% 1206</v>
      </c>
      <c r="C374" s="3" t="s">
        <v>26</v>
      </c>
      <c r="D374" s="3" t="s">
        <v>29</v>
      </c>
      <c r="E374" s="3" t="s">
        <v>26</v>
      </c>
      <c r="F374" s="63" t="s">
        <v>326</v>
      </c>
      <c r="G374" s="54" t="s">
        <v>132</v>
      </c>
      <c r="H374" s="3" t="s">
        <v>602</v>
      </c>
      <c r="I374" s="3" t="s">
        <v>601</v>
      </c>
      <c r="J374" s="1"/>
      <c r="K374" s="1"/>
      <c r="L374" s="1"/>
      <c r="M374" s="1"/>
      <c r="N374" s="29"/>
      <c r="O374" s="1"/>
    </row>
    <row r="375" spans="1:15" ht="15.5" x14ac:dyDescent="0.35">
      <c r="A375" s="1" t="str">
        <f t="shared" si="10"/>
        <v>RC1206FR-0733KL</v>
      </c>
      <c r="B375" s="1" t="str">
        <f t="shared" si="11"/>
        <v>Резистор номиналом 33 к Ом 1% 1206</v>
      </c>
      <c r="C375" s="3" t="s">
        <v>26</v>
      </c>
      <c r="D375" s="3" t="s">
        <v>29</v>
      </c>
      <c r="E375" s="3" t="s">
        <v>26</v>
      </c>
      <c r="F375" s="63" t="s">
        <v>328</v>
      </c>
      <c r="G375" s="54" t="s">
        <v>132</v>
      </c>
      <c r="H375" s="3" t="s">
        <v>602</v>
      </c>
      <c r="I375" s="3" t="s">
        <v>601</v>
      </c>
      <c r="J375" s="1"/>
      <c r="K375" s="1"/>
      <c r="L375" s="1"/>
      <c r="M375" s="1"/>
      <c r="N375" s="29"/>
      <c r="O375" s="1"/>
    </row>
    <row r="376" spans="1:15" ht="15.5" x14ac:dyDescent="0.35">
      <c r="A376" s="1" t="str">
        <f t="shared" si="10"/>
        <v>RC1206FR-0739KL</v>
      </c>
      <c r="B376" s="1" t="str">
        <f t="shared" si="11"/>
        <v>Резистор номиналом 39 к Ом 1% 1206</v>
      </c>
      <c r="C376" s="3" t="s">
        <v>26</v>
      </c>
      <c r="D376" s="3" t="s">
        <v>29</v>
      </c>
      <c r="E376" s="3" t="s">
        <v>26</v>
      </c>
      <c r="F376" s="63" t="s">
        <v>330</v>
      </c>
      <c r="G376" s="54" t="s">
        <v>132</v>
      </c>
      <c r="H376" s="3" t="s">
        <v>602</v>
      </c>
      <c r="I376" s="3" t="s">
        <v>601</v>
      </c>
      <c r="J376" s="1"/>
      <c r="K376" s="1"/>
      <c r="L376" s="1"/>
      <c r="M376" s="1"/>
      <c r="N376" s="29"/>
      <c r="O376" s="1"/>
    </row>
    <row r="377" spans="1:15" ht="15.5" x14ac:dyDescent="0.35">
      <c r="A377" s="1" t="str">
        <f t="shared" si="10"/>
        <v>RC1206FR-0747KL</v>
      </c>
      <c r="B377" s="1" t="str">
        <f t="shared" si="11"/>
        <v>Резистор номиналом 47 к Ом 1% 1206</v>
      </c>
      <c r="C377" s="3" t="s">
        <v>26</v>
      </c>
      <c r="D377" s="3" t="s">
        <v>29</v>
      </c>
      <c r="E377" s="3" t="s">
        <v>26</v>
      </c>
      <c r="F377" s="63" t="s">
        <v>332</v>
      </c>
      <c r="G377" s="54" t="s">
        <v>132</v>
      </c>
      <c r="H377" s="3" t="s">
        <v>602</v>
      </c>
      <c r="I377" s="3" t="s">
        <v>601</v>
      </c>
      <c r="J377" s="1"/>
      <c r="K377" s="1"/>
      <c r="L377" s="1"/>
      <c r="M377" s="1"/>
      <c r="N377" s="29"/>
      <c r="O377" s="1"/>
    </row>
    <row r="378" spans="1:15" ht="15.5" x14ac:dyDescent="0.35">
      <c r="A378" s="1" t="str">
        <f t="shared" si="10"/>
        <v>RC1206FR-0756KL</v>
      </c>
      <c r="B378" s="1" t="str">
        <f t="shared" si="11"/>
        <v>Резистор номиналом 56 к Ом 1% 1206</v>
      </c>
      <c r="C378" s="3" t="s">
        <v>26</v>
      </c>
      <c r="D378" s="3" t="s">
        <v>29</v>
      </c>
      <c r="E378" s="3" t="s">
        <v>26</v>
      </c>
      <c r="F378" s="63" t="s">
        <v>173</v>
      </c>
      <c r="G378" s="54" t="s">
        <v>132</v>
      </c>
      <c r="H378" s="3" t="s">
        <v>602</v>
      </c>
      <c r="I378" s="3" t="s">
        <v>601</v>
      </c>
      <c r="J378" s="1"/>
      <c r="K378" s="1"/>
      <c r="L378" s="1"/>
      <c r="M378" s="1"/>
      <c r="N378" s="29"/>
      <c r="O378" s="1"/>
    </row>
    <row r="379" spans="1:15" ht="15.5" x14ac:dyDescent="0.35">
      <c r="A379" s="1" t="str">
        <f t="shared" si="10"/>
        <v>RC1206FR-0768KL</v>
      </c>
      <c r="B379" s="1" t="str">
        <f t="shared" si="11"/>
        <v>Резистор номиналом 68 к Ом 1% 1206</v>
      </c>
      <c r="C379" s="3" t="s">
        <v>26</v>
      </c>
      <c r="D379" s="3" t="s">
        <v>29</v>
      </c>
      <c r="E379" s="3" t="s">
        <v>26</v>
      </c>
      <c r="F379" s="63" t="s">
        <v>175</v>
      </c>
      <c r="G379" s="54" t="s">
        <v>132</v>
      </c>
      <c r="H379" s="3" t="s">
        <v>602</v>
      </c>
      <c r="I379" s="3" t="s">
        <v>601</v>
      </c>
      <c r="J379" s="1"/>
      <c r="K379" s="1"/>
      <c r="L379" s="1"/>
      <c r="M379" s="1"/>
      <c r="N379" s="29"/>
      <c r="O379" s="1"/>
    </row>
    <row r="380" spans="1:15" ht="15.5" x14ac:dyDescent="0.35">
      <c r="A380" s="1" t="str">
        <f t="shared" si="10"/>
        <v>RC1206FR-0782KL</v>
      </c>
      <c r="B380" s="1" t="str">
        <f t="shared" si="11"/>
        <v>Резистор номиналом 82 к Ом 1% 1206</v>
      </c>
      <c r="C380" s="3" t="s">
        <v>26</v>
      </c>
      <c r="D380" s="3" t="s">
        <v>29</v>
      </c>
      <c r="E380" s="3" t="s">
        <v>26</v>
      </c>
      <c r="F380" s="63" t="s">
        <v>352</v>
      </c>
      <c r="G380" s="54" t="s">
        <v>132</v>
      </c>
      <c r="H380" s="3" t="s">
        <v>602</v>
      </c>
      <c r="I380" s="3" t="s">
        <v>601</v>
      </c>
      <c r="J380" s="1"/>
      <c r="K380" s="1"/>
      <c r="L380" s="1"/>
      <c r="M380" s="1"/>
      <c r="N380" s="29"/>
      <c r="O380" s="1"/>
    </row>
    <row r="381" spans="1:15" ht="15.5" x14ac:dyDescent="0.35">
      <c r="A381" s="1" t="str">
        <f t="shared" si="10"/>
        <v>RC1206FR-07100KL</v>
      </c>
      <c r="B381" s="1" t="str">
        <f t="shared" si="11"/>
        <v>Резистор номиналом 100 к Ом 1% 1206</v>
      </c>
      <c r="C381" s="3" t="s">
        <v>26</v>
      </c>
      <c r="D381" s="3" t="s">
        <v>29</v>
      </c>
      <c r="E381" s="3" t="s">
        <v>26</v>
      </c>
      <c r="F381" s="63" t="s">
        <v>178</v>
      </c>
      <c r="G381" s="54" t="s">
        <v>132</v>
      </c>
      <c r="H381" s="3" t="s">
        <v>602</v>
      </c>
      <c r="I381" s="3" t="s">
        <v>601</v>
      </c>
      <c r="J381" s="1"/>
      <c r="K381" s="1"/>
      <c r="L381" s="1"/>
      <c r="M381" s="1"/>
      <c r="N381" s="29"/>
      <c r="O381" s="1"/>
    </row>
    <row r="382" spans="1:15" ht="15.5" x14ac:dyDescent="0.35">
      <c r="A382" s="1" t="str">
        <f t="shared" si="10"/>
        <v>RC1206FR-07120KL</v>
      </c>
      <c r="B382" s="1" t="str">
        <f t="shared" si="11"/>
        <v>Резистор номиналом 120 к Ом 1% 1206</v>
      </c>
      <c r="C382" s="3" t="s">
        <v>26</v>
      </c>
      <c r="D382" s="3" t="s">
        <v>29</v>
      </c>
      <c r="E382" s="3" t="s">
        <v>26</v>
      </c>
      <c r="F382" s="63" t="s">
        <v>180</v>
      </c>
      <c r="G382" s="54" t="s">
        <v>132</v>
      </c>
      <c r="H382" s="3" t="s">
        <v>602</v>
      </c>
      <c r="I382" s="3" t="s">
        <v>601</v>
      </c>
      <c r="J382" s="1"/>
      <c r="K382" s="1"/>
      <c r="L382" s="1"/>
      <c r="M382" s="1"/>
      <c r="N382" s="29"/>
      <c r="O382" s="1"/>
    </row>
    <row r="383" spans="1:15" ht="15.5" x14ac:dyDescent="0.35">
      <c r="A383" s="1" t="str">
        <f t="shared" si="10"/>
        <v>RC1206FR-07150KL</v>
      </c>
      <c r="B383" s="1" t="str">
        <f t="shared" si="11"/>
        <v>Резистор номиналом 150 к Ом 1% 1206</v>
      </c>
      <c r="C383" s="3" t="s">
        <v>26</v>
      </c>
      <c r="D383" s="3" t="s">
        <v>29</v>
      </c>
      <c r="E383" s="3" t="s">
        <v>26</v>
      </c>
      <c r="F383" s="63" t="s">
        <v>182</v>
      </c>
      <c r="G383" s="54" t="s">
        <v>132</v>
      </c>
      <c r="H383" s="3" t="s">
        <v>602</v>
      </c>
      <c r="I383" s="3" t="s">
        <v>601</v>
      </c>
      <c r="J383" s="1"/>
      <c r="K383" s="1"/>
      <c r="L383" s="1"/>
      <c r="M383" s="1"/>
      <c r="N383" s="29"/>
      <c r="O383" s="1"/>
    </row>
    <row r="384" spans="1:15" ht="15.5" x14ac:dyDescent="0.35">
      <c r="A384" s="1" t="str">
        <f t="shared" si="10"/>
        <v>RC1206FR-07180KL</v>
      </c>
      <c r="B384" s="1" t="str">
        <f t="shared" si="11"/>
        <v>Резистор номиналом 180 к Ом 1% 1206</v>
      </c>
      <c r="C384" s="3" t="s">
        <v>26</v>
      </c>
      <c r="D384" s="3" t="s">
        <v>29</v>
      </c>
      <c r="E384" s="3" t="s">
        <v>26</v>
      </c>
      <c r="F384" s="63" t="s">
        <v>184</v>
      </c>
      <c r="G384" s="54" t="s">
        <v>132</v>
      </c>
      <c r="H384" s="3" t="s">
        <v>602</v>
      </c>
      <c r="I384" s="3" t="s">
        <v>601</v>
      </c>
      <c r="J384" s="1"/>
      <c r="K384" s="1"/>
      <c r="L384" s="1"/>
      <c r="M384" s="1"/>
      <c r="N384" s="29"/>
      <c r="O384" s="1"/>
    </row>
    <row r="385" spans="1:15" ht="15.5" x14ac:dyDescent="0.35">
      <c r="A385" s="1" t="str">
        <f t="shared" si="10"/>
        <v>RC1206FR-07220KL</v>
      </c>
      <c r="B385" s="1" t="str">
        <f t="shared" si="11"/>
        <v>Резистор номиналом 220 к Ом 1% 1206</v>
      </c>
      <c r="C385" s="3" t="s">
        <v>26</v>
      </c>
      <c r="D385" s="3" t="s">
        <v>29</v>
      </c>
      <c r="E385" s="3" t="s">
        <v>26</v>
      </c>
      <c r="F385" s="63" t="s">
        <v>186</v>
      </c>
      <c r="G385" s="54" t="s">
        <v>132</v>
      </c>
      <c r="H385" s="3" t="s">
        <v>602</v>
      </c>
      <c r="I385" s="3" t="s">
        <v>601</v>
      </c>
      <c r="J385" s="1"/>
      <c r="K385" s="1"/>
      <c r="L385" s="1"/>
      <c r="M385" s="1"/>
      <c r="N385" s="29"/>
      <c r="O385" s="1"/>
    </row>
    <row r="386" spans="1:15" ht="15.5" x14ac:dyDescent="0.35">
      <c r="A386" s="1" t="str">
        <f t="shared" si="10"/>
        <v>RC1206FR-07270KL</v>
      </c>
      <c r="B386" s="1" t="str">
        <f t="shared" si="11"/>
        <v>Резистор номиналом 270 к Ом 1% 1206</v>
      </c>
      <c r="C386" s="3" t="s">
        <v>26</v>
      </c>
      <c r="D386" s="3" t="s">
        <v>29</v>
      </c>
      <c r="E386" s="3" t="s">
        <v>26</v>
      </c>
      <c r="F386" s="63" t="s">
        <v>333</v>
      </c>
      <c r="G386" s="54" t="s">
        <v>132</v>
      </c>
      <c r="H386" s="3" t="s">
        <v>602</v>
      </c>
      <c r="I386" s="3" t="s">
        <v>601</v>
      </c>
      <c r="J386" s="1"/>
      <c r="K386" s="1"/>
      <c r="L386" s="1"/>
      <c r="M386" s="1"/>
      <c r="N386" s="29"/>
      <c r="O386" s="1"/>
    </row>
    <row r="387" spans="1:15" ht="15.5" x14ac:dyDescent="0.35">
      <c r="A387" s="1" t="str">
        <f t="shared" ref="A387:A393" si="12">_xlfn.LET(
    _xlpm.raw, SUBSTITUTE(F387,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LEFT(I387, 4) &amp; "FR-07" &amp; _xlpm.yCode &amp; "L"
)</f>
        <v>RC1206FR-07330KL</v>
      </c>
      <c r="B387" s="1" t="str">
        <f t="shared" ref="B387:B393" si="13">"Резистор номиналом " &amp; F387 &amp; " Ом " &amp; G387 &amp; " " &amp; LEFT(I387, 4)</f>
        <v>Резистор номиналом 330 к Ом 1% 1206</v>
      </c>
      <c r="C387" s="3" t="s">
        <v>26</v>
      </c>
      <c r="D387" s="3" t="s">
        <v>29</v>
      </c>
      <c r="E387" s="3" t="s">
        <v>26</v>
      </c>
      <c r="F387" s="63" t="s">
        <v>335</v>
      </c>
      <c r="G387" s="54" t="s">
        <v>132</v>
      </c>
      <c r="H387" s="3" t="s">
        <v>602</v>
      </c>
      <c r="I387" s="3" t="s">
        <v>601</v>
      </c>
      <c r="J387" s="1"/>
      <c r="K387" s="1"/>
      <c r="L387" s="1"/>
      <c r="M387" s="1"/>
      <c r="N387" s="29"/>
      <c r="O387" s="1"/>
    </row>
    <row r="388" spans="1:15" ht="15.5" x14ac:dyDescent="0.35">
      <c r="A388" s="1" t="str">
        <f t="shared" si="12"/>
        <v>RC1206FR-07390KL</v>
      </c>
      <c r="B388" s="1" t="str">
        <f t="shared" si="13"/>
        <v>Резистор номиналом 390 к Ом 1% 1206</v>
      </c>
      <c r="C388" s="3" t="s">
        <v>26</v>
      </c>
      <c r="D388" s="3" t="s">
        <v>29</v>
      </c>
      <c r="E388" s="3" t="s">
        <v>26</v>
      </c>
      <c r="F388" s="63" t="s">
        <v>337</v>
      </c>
      <c r="G388" s="54" t="s">
        <v>132</v>
      </c>
      <c r="H388" s="3" t="s">
        <v>602</v>
      </c>
      <c r="I388" s="3" t="s">
        <v>601</v>
      </c>
      <c r="J388" s="1"/>
      <c r="K388" s="1"/>
      <c r="L388" s="1"/>
      <c r="M388" s="1"/>
      <c r="N388" s="29"/>
      <c r="O388" s="1"/>
    </row>
    <row r="389" spans="1:15" ht="15.5" x14ac:dyDescent="0.35">
      <c r="A389" s="1" t="str">
        <f t="shared" si="12"/>
        <v>RC1206FR-07470KL</v>
      </c>
      <c r="B389" s="1" t="str">
        <f t="shared" si="13"/>
        <v>Резистор номиналом 470 к Ом 1% 1206</v>
      </c>
      <c r="C389" s="3" t="s">
        <v>26</v>
      </c>
      <c r="D389" s="3" t="s">
        <v>29</v>
      </c>
      <c r="E389" s="3" t="s">
        <v>26</v>
      </c>
      <c r="F389" s="63" t="s">
        <v>339</v>
      </c>
      <c r="G389" s="54" t="s">
        <v>132</v>
      </c>
      <c r="H389" s="3" t="s">
        <v>602</v>
      </c>
      <c r="I389" s="3" t="s">
        <v>601</v>
      </c>
      <c r="J389" s="1"/>
      <c r="K389" s="1"/>
      <c r="L389" s="1"/>
      <c r="M389" s="1"/>
      <c r="N389" s="29"/>
      <c r="O389" s="1"/>
    </row>
    <row r="390" spans="1:15" ht="15.5" x14ac:dyDescent="0.35">
      <c r="A390" s="1" t="str">
        <f t="shared" si="12"/>
        <v>RC1206FR-07560KL</v>
      </c>
      <c r="B390" s="1" t="str">
        <f t="shared" si="13"/>
        <v>Резистор номиналом 560 к Ом 1% 1206</v>
      </c>
      <c r="C390" s="3" t="s">
        <v>26</v>
      </c>
      <c r="D390" s="3" t="s">
        <v>29</v>
      </c>
      <c r="E390" s="3" t="s">
        <v>26</v>
      </c>
      <c r="F390" s="63" t="s">
        <v>189</v>
      </c>
      <c r="G390" s="54" t="s">
        <v>132</v>
      </c>
      <c r="H390" s="3" t="s">
        <v>602</v>
      </c>
      <c r="I390" s="3" t="s">
        <v>601</v>
      </c>
      <c r="J390" s="1"/>
      <c r="K390" s="1"/>
      <c r="L390" s="1"/>
      <c r="M390" s="1"/>
      <c r="N390" s="29"/>
      <c r="O390" s="1"/>
    </row>
    <row r="391" spans="1:15" ht="15.5" x14ac:dyDescent="0.35">
      <c r="A391" s="1" t="str">
        <f t="shared" si="12"/>
        <v>RC1206FR-07680KL</v>
      </c>
      <c r="B391" s="1" t="str">
        <f t="shared" si="13"/>
        <v>Резистор номиналом 680 к Ом 1% 1206</v>
      </c>
      <c r="C391" s="3" t="s">
        <v>26</v>
      </c>
      <c r="D391" s="3" t="s">
        <v>29</v>
      </c>
      <c r="E391" s="3" t="s">
        <v>26</v>
      </c>
      <c r="F391" s="63" t="s">
        <v>191</v>
      </c>
      <c r="G391" s="54" t="s">
        <v>132</v>
      </c>
      <c r="H391" s="3" t="s">
        <v>602</v>
      </c>
      <c r="I391" s="3" t="s">
        <v>601</v>
      </c>
      <c r="J391" s="1"/>
      <c r="K391" s="1"/>
      <c r="L391" s="1"/>
      <c r="M391" s="1"/>
      <c r="N391" s="29"/>
      <c r="O391" s="1"/>
    </row>
    <row r="392" spans="1:15" ht="15.5" x14ac:dyDescent="0.35">
      <c r="A392" s="1" t="str">
        <f t="shared" si="12"/>
        <v>RC1206FR-07820KL</v>
      </c>
      <c r="B392" s="1" t="str">
        <f t="shared" si="13"/>
        <v>Резистор номиналом 820 к Ом 1% 1206</v>
      </c>
      <c r="C392" s="3" t="s">
        <v>26</v>
      </c>
      <c r="D392" s="3" t="s">
        <v>29</v>
      </c>
      <c r="E392" s="3" t="s">
        <v>26</v>
      </c>
      <c r="F392" s="63" t="s">
        <v>353</v>
      </c>
      <c r="G392" s="54" t="s">
        <v>132</v>
      </c>
      <c r="H392" s="3" t="s">
        <v>602</v>
      </c>
      <c r="I392" s="3" t="s">
        <v>601</v>
      </c>
      <c r="J392" s="1"/>
      <c r="K392" s="1"/>
      <c r="L392" s="1"/>
      <c r="M392" s="1"/>
      <c r="N392" s="29"/>
      <c r="O392" s="1"/>
    </row>
    <row r="393" spans="1:15" ht="15.5" x14ac:dyDescent="0.35">
      <c r="A393" s="1" t="str">
        <f t="shared" si="12"/>
        <v>RC1206FR-071ML</v>
      </c>
      <c r="B393" s="1" t="str">
        <f t="shared" si="13"/>
        <v>Резистор номиналом 1 М Ом 1% 1206</v>
      </c>
      <c r="C393" s="3" t="s">
        <v>26</v>
      </c>
      <c r="D393" s="3" t="s">
        <v>29</v>
      </c>
      <c r="E393" s="3" t="s">
        <v>26</v>
      </c>
      <c r="F393" s="63" t="s">
        <v>1397</v>
      </c>
      <c r="G393" s="54" t="s">
        <v>132</v>
      </c>
      <c r="H393" s="3" t="s">
        <v>602</v>
      </c>
      <c r="I393" s="3" t="s">
        <v>601</v>
      </c>
      <c r="J393" s="1"/>
      <c r="K393" s="1"/>
      <c r="L393" s="1"/>
      <c r="M393" s="1"/>
      <c r="N393" s="29"/>
      <c r="O393" s="1"/>
    </row>
    <row r="394" spans="1:15" ht="15.5" x14ac:dyDescent="0.35">
      <c r="A394" s="1"/>
      <c r="B394" s="1"/>
      <c r="C394" s="3"/>
      <c r="D394" s="3"/>
      <c r="E394" s="3"/>
      <c r="F394" s="61"/>
      <c r="G394" s="54"/>
      <c r="H394" s="3"/>
      <c r="I394" s="3"/>
      <c r="J394" s="1"/>
      <c r="K394" s="1"/>
      <c r="L394" s="1"/>
      <c r="M394" s="1"/>
      <c r="N394" s="29"/>
      <c r="O394" s="1"/>
    </row>
    <row r="395" spans="1:15" ht="15.5" x14ac:dyDescent="0.35">
      <c r="A395" s="1" t="s">
        <v>541</v>
      </c>
      <c r="B395" s="1" t="s">
        <v>542</v>
      </c>
      <c r="C395" s="1" t="s">
        <v>541</v>
      </c>
      <c r="D395" s="3" t="s">
        <v>547</v>
      </c>
      <c r="E395" s="1" t="s">
        <v>546</v>
      </c>
      <c r="F395" s="61" t="s">
        <v>544</v>
      </c>
      <c r="G395" s="11">
        <v>0.5</v>
      </c>
      <c r="H395" s="3" t="s">
        <v>543</v>
      </c>
      <c r="I395" s="1" t="s">
        <v>545</v>
      </c>
      <c r="J395" s="1"/>
      <c r="K395" s="1"/>
      <c r="L395" s="1"/>
      <c r="M395" s="1"/>
      <c r="N395" s="23"/>
      <c r="O395" s="1" t="s">
        <v>1065</v>
      </c>
    </row>
    <row r="396" spans="1:15" ht="15.5" x14ac:dyDescent="0.35">
      <c r="A396" s="12" t="s">
        <v>608</v>
      </c>
      <c r="B396" s="1" t="s">
        <v>609</v>
      </c>
      <c r="C396" s="1" t="s">
        <v>608</v>
      </c>
      <c r="D396" s="3" t="s">
        <v>547</v>
      </c>
      <c r="E396" s="1" t="s">
        <v>546</v>
      </c>
      <c r="F396" s="61">
        <v>100</v>
      </c>
      <c r="G396" s="11">
        <v>0.5</v>
      </c>
      <c r="H396" s="3" t="s">
        <v>543</v>
      </c>
      <c r="I396" s="1" t="s">
        <v>545</v>
      </c>
      <c r="J396" s="1"/>
      <c r="K396" s="1"/>
      <c r="L396" s="1"/>
      <c r="M396" s="1"/>
      <c r="N396" s="1"/>
      <c r="O396" s="1" t="s">
        <v>1065</v>
      </c>
    </row>
    <row r="397" spans="1:15" ht="15.5" x14ac:dyDescent="0.35">
      <c r="A397" s="12" t="s">
        <v>612</v>
      </c>
      <c r="B397" s="1" t="s">
        <v>613</v>
      </c>
      <c r="C397" s="1" t="s">
        <v>612</v>
      </c>
      <c r="D397" s="3" t="s">
        <v>547</v>
      </c>
      <c r="E397" s="1" t="s">
        <v>546</v>
      </c>
      <c r="F397" s="61" t="s">
        <v>614</v>
      </c>
      <c r="G397" s="11">
        <v>0.5</v>
      </c>
      <c r="H397" s="3" t="s">
        <v>543</v>
      </c>
      <c r="I397" s="1" t="s">
        <v>545</v>
      </c>
      <c r="J397" s="1"/>
      <c r="K397" s="1"/>
      <c r="L397" s="1"/>
      <c r="M397" s="1"/>
      <c r="N397" s="1"/>
      <c r="O397" s="1" t="s">
        <v>1065</v>
      </c>
    </row>
    <row r="398" spans="1:15" ht="15.5" x14ac:dyDescent="0.35">
      <c r="A398" s="3"/>
      <c r="B398" s="3"/>
      <c r="C398" s="3"/>
      <c r="D398" s="3"/>
      <c r="E398" s="3"/>
      <c r="F398" s="60"/>
      <c r="G398" s="1"/>
      <c r="H398" s="3"/>
      <c r="I398" s="3"/>
      <c r="J398" s="1"/>
      <c r="K398" s="1"/>
      <c r="L398" s="1"/>
      <c r="M398" s="1"/>
      <c r="N398" s="23"/>
      <c r="O398" s="1"/>
    </row>
    <row r="399" spans="1:15" ht="15.5" x14ac:dyDescent="0.35">
      <c r="A399" s="3"/>
      <c r="B399" s="3"/>
      <c r="C399" s="3"/>
      <c r="D399" s="3"/>
      <c r="E399" s="3"/>
      <c r="F399" s="60"/>
      <c r="G399" s="1"/>
      <c r="H399" s="3"/>
      <c r="I399" s="3"/>
      <c r="J399" s="1"/>
      <c r="K399" s="1"/>
      <c r="L399" s="1"/>
      <c r="M399" s="1"/>
      <c r="N399" s="23"/>
      <c r="O399" s="1"/>
    </row>
    <row r="400" spans="1:15" ht="15.5" x14ac:dyDescent="0.35">
      <c r="A400" s="3"/>
      <c r="B400" s="3"/>
      <c r="C400" s="3"/>
      <c r="D400" s="3"/>
      <c r="E400" s="3"/>
      <c r="F400" s="60"/>
      <c r="G400" s="1"/>
      <c r="H400" s="3"/>
      <c r="I400" s="3"/>
      <c r="J400" s="1"/>
      <c r="K400" s="1"/>
      <c r="L400" s="1"/>
      <c r="M400" s="1"/>
      <c r="N400" s="23"/>
      <c r="O400" s="1"/>
    </row>
    <row r="401" spans="1:15" ht="15.5" x14ac:dyDescent="0.35">
      <c r="A401" s="3"/>
      <c r="B401" s="3"/>
      <c r="C401" s="3"/>
      <c r="D401" s="3"/>
      <c r="E401" s="3"/>
      <c r="F401" s="60"/>
      <c r="G401" s="1"/>
      <c r="H401" s="3"/>
      <c r="I401" s="3"/>
      <c r="J401" s="1"/>
      <c r="K401" s="1"/>
      <c r="L401" s="1"/>
      <c r="M401" s="1"/>
      <c r="N401" s="23"/>
      <c r="O401" s="1"/>
    </row>
    <row r="402" spans="1:15" x14ac:dyDescent="0.35">
      <c r="F402" s="62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0" t="s">
        <v>0</v>
      </c>
      <c r="B1" s="40" t="s">
        <v>1</v>
      </c>
      <c r="C1" s="40" t="s">
        <v>14</v>
      </c>
      <c r="D1" s="40" t="s">
        <v>2</v>
      </c>
      <c r="E1" s="40" t="s">
        <v>3</v>
      </c>
      <c r="F1" s="40" t="s">
        <v>12</v>
      </c>
      <c r="G1" s="40" t="s">
        <v>8</v>
      </c>
      <c r="H1" s="40" t="s">
        <v>356</v>
      </c>
      <c r="I1" s="40" t="s">
        <v>1105</v>
      </c>
      <c r="J1" s="40" t="s">
        <v>69</v>
      </c>
      <c r="K1" s="40" t="s">
        <v>782</v>
      </c>
      <c r="L1" s="1" t="s">
        <v>1064</v>
      </c>
    </row>
    <row r="2" spans="1:12" x14ac:dyDescent="0.35">
      <c r="A2" s="17" t="s">
        <v>745</v>
      </c>
      <c r="B2" s="18" t="str">
        <f>CONCATENATE("Выпрямительный диод на ", H2," В, ном. ток ", I2," А")</f>
        <v>Выпрямительный диод на 1000 В, ном. ток 2 А А</v>
      </c>
      <c r="C2" s="18" t="str">
        <f t="shared" ref="C2" si="0">A2</f>
        <v>S2M</v>
      </c>
      <c r="D2" s="18" t="s">
        <v>744</v>
      </c>
      <c r="E2" s="18" t="s">
        <v>743</v>
      </c>
      <c r="F2" s="18" t="str">
        <f t="shared" ref="F2" si="1">CONCATENATE("Footprints\",G2,".PcbLib")</f>
        <v>Footprints\SMB.PcbLib</v>
      </c>
      <c r="G2" s="18" t="s">
        <v>228</v>
      </c>
      <c r="H2" s="18">
        <v>1000</v>
      </c>
      <c r="I2" s="24" t="s">
        <v>1104</v>
      </c>
      <c r="J2" s="2"/>
      <c r="L2" t="s">
        <v>1065</v>
      </c>
    </row>
    <row r="3" spans="1:12" x14ac:dyDescent="0.35">
      <c r="A3" s="2" t="s">
        <v>910</v>
      </c>
      <c r="B3" s="2" t="s">
        <v>911</v>
      </c>
      <c r="C3" s="2" t="s">
        <v>910</v>
      </c>
      <c r="D3" s="2" t="s">
        <v>744</v>
      </c>
      <c r="E3" s="2" t="s">
        <v>743</v>
      </c>
      <c r="F3" s="2" t="s">
        <v>912</v>
      </c>
      <c r="G3" s="2" t="s">
        <v>128</v>
      </c>
      <c r="H3" s="2" t="s">
        <v>300</v>
      </c>
      <c r="I3" s="2" t="s">
        <v>1106</v>
      </c>
      <c r="J3" s="2"/>
    </row>
    <row r="4" spans="1:12" x14ac:dyDescent="0.35">
      <c r="A4" t="s">
        <v>1237</v>
      </c>
      <c r="B4" t="s">
        <v>1238</v>
      </c>
      <c r="C4" t="s">
        <v>1237</v>
      </c>
      <c r="D4" s="2" t="s">
        <v>744</v>
      </c>
      <c r="E4" s="2" t="s">
        <v>743</v>
      </c>
      <c r="F4" s="2" t="s">
        <v>1240</v>
      </c>
      <c r="G4" t="s">
        <v>1239</v>
      </c>
      <c r="H4">
        <v>400</v>
      </c>
      <c r="I4" s="2" t="s">
        <v>1106</v>
      </c>
      <c r="K4" s="21" t="s">
        <v>1241</v>
      </c>
      <c r="L4" t="s">
        <v>1065</v>
      </c>
    </row>
    <row r="5" spans="1:12" x14ac:dyDescent="0.35">
      <c r="A5" t="s">
        <v>1284</v>
      </c>
      <c r="B5" s="18" t="str">
        <f>CONCATENATE("Выпрямительный диод на ", H5," В, ном. ток ", I5," А")</f>
        <v>Выпрямительный диод на 1000 В, ном. ток 1 А А</v>
      </c>
      <c r="C5" s="18" t="str">
        <f t="shared" ref="C5:C6" si="2">A5</f>
        <v>SMA4007</v>
      </c>
      <c r="D5" s="18" t="s">
        <v>744</v>
      </c>
      <c r="E5" s="18" t="s">
        <v>743</v>
      </c>
      <c r="F5" s="2" t="s">
        <v>912</v>
      </c>
      <c r="G5" s="2" t="s">
        <v>128</v>
      </c>
      <c r="H5" s="18">
        <v>1000</v>
      </c>
      <c r="I5" s="2" t="s">
        <v>1106</v>
      </c>
      <c r="K5" s="21" t="s">
        <v>1285</v>
      </c>
      <c r="L5" t="s">
        <v>1088</v>
      </c>
    </row>
    <row r="6" spans="1:12" x14ac:dyDescent="0.35">
      <c r="A6" t="s">
        <v>1315</v>
      </c>
      <c r="B6" t="s">
        <v>1316</v>
      </c>
      <c r="C6" s="18" t="str">
        <f t="shared" si="2"/>
        <v>BAV99</v>
      </c>
      <c r="D6" s="18" t="s">
        <v>1318</v>
      </c>
      <c r="E6" s="18" t="s">
        <v>1317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1319</v>
      </c>
      <c r="K6" s="21" t="s">
        <v>1320</v>
      </c>
      <c r="L6" t="s">
        <v>1088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782</v>
      </c>
      <c r="V1" s="1" t="s">
        <v>1064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430</v>
      </c>
      <c r="H2" s="3" t="s">
        <v>37</v>
      </c>
      <c r="I2" s="3" t="s">
        <v>477</v>
      </c>
      <c r="J2" s="3" t="s">
        <v>38</v>
      </c>
      <c r="K2" s="8" t="s">
        <v>479</v>
      </c>
      <c r="L2" s="8" t="s">
        <v>232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457</v>
      </c>
      <c r="E3" s="3" t="s">
        <v>39</v>
      </c>
      <c r="F3" s="3" t="s">
        <v>41</v>
      </c>
      <c r="G3" s="3" t="s">
        <v>476</v>
      </c>
      <c r="H3" s="3" t="s">
        <v>121</v>
      </c>
      <c r="I3" s="3" t="s">
        <v>478</v>
      </c>
      <c r="J3" s="3" t="s">
        <v>122</v>
      </c>
      <c r="K3" s="3" t="s">
        <v>480</v>
      </c>
      <c r="L3" s="3" t="s">
        <v>123</v>
      </c>
      <c r="M3" s="3" t="s">
        <v>481</v>
      </c>
      <c r="N3" s="3" t="s">
        <v>124</v>
      </c>
      <c r="O3" s="3" t="s">
        <v>482</v>
      </c>
      <c r="P3" s="3" t="s">
        <v>125</v>
      </c>
      <c r="Q3" s="3" t="s">
        <v>483</v>
      </c>
      <c r="R3" s="2" t="s">
        <v>129</v>
      </c>
      <c r="S3" s="3" t="s">
        <v>519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5" t="s">
        <v>0</v>
      </c>
      <c r="B1" s="4" t="s">
        <v>1</v>
      </c>
      <c r="C1" s="4" t="s">
        <v>14</v>
      </c>
      <c r="D1" s="4" t="s">
        <v>2</v>
      </c>
      <c r="E1" s="4" t="s">
        <v>3</v>
      </c>
      <c r="F1" s="4" t="s">
        <v>25</v>
      </c>
      <c r="G1" s="37" t="s">
        <v>210</v>
      </c>
      <c r="H1" s="6" t="s">
        <v>356</v>
      </c>
      <c r="I1" s="6" t="s">
        <v>355</v>
      </c>
      <c r="J1" s="4" t="s">
        <v>12</v>
      </c>
      <c r="K1" s="4" t="s">
        <v>8</v>
      </c>
      <c r="L1" s="6" t="s">
        <v>357</v>
      </c>
      <c r="M1" s="6" t="s">
        <v>782</v>
      </c>
      <c r="N1" s="6" t="s">
        <v>1064</v>
      </c>
    </row>
    <row r="2" spans="1:14" x14ac:dyDescent="0.35">
      <c r="A2" s="25" t="s">
        <v>921</v>
      </c>
      <c r="B2" s="32" t="str">
        <f t="shared" ref="B2:B48" si="0">CONCATENATE("Конденсатор ",K2," ёмкостью ",F2, " ", G2, ", ",H2," В, ",I2)</f>
        <v>Конденсатор 0603C ёмкостью 0,01 н 10%, 50 В, X7R</v>
      </c>
      <c r="C2" s="26" t="s">
        <v>27</v>
      </c>
      <c r="D2" s="26" t="s">
        <v>30</v>
      </c>
      <c r="E2" s="26" t="s">
        <v>27</v>
      </c>
      <c r="F2" s="26" t="s">
        <v>922</v>
      </c>
      <c r="G2" s="26" t="s">
        <v>1012</v>
      </c>
      <c r="H2" s="26">
        <v>50</v>
      </c>
      <c r="I2" s="26" t="s">
        <v>429</v>
      </c>
      <c r="J2" s="26" t="s">
        <v>430</v>
      </c>
      <c r="K2" s="26" t="s">
        <v>37</v>
      </c>
      <c r="L2" s="26" t="s">
        <v>923</v>
      </c>
      <c r="M2" s="27"/>
      <c r="N2" s="2" t="s">
        <v>1065</v>
      </c>
    </row>
    <row r="3" spans="1:14" x14ac:dyDescent="0.35">
      <c r="A3" s="2" t="s">
        <v>993</v>
      </c>
      <c r="B3" s="32" t="str">
        <f t="shared" si="0"/>
        <v>Конденсатор 0603C ёмкостью 100 п 10%, 50 В, X7R</v>
      </c>
      <c r="C3" s="26" t="s">
        <v>27</v>
      </c>
      <c r="D3" s="26" t="s">
        <v>30</v>
      </c>
      <c r="E3" s="26" t="s">
        <v>27</v>
      </c>
      <c r="F3" s="26" t="s">
        <v>994</v>
      </c>
      <c r="G3" s="26" t="s">
        <v>1012</v>
      </c>
      <c r="H3" s="26">
        <v>50</v>
      </c>
      <c r="I3" s="26" t="s">
        <v>429</v>
      </c>
      <c r="J3" s="26" t="s">
        <v>430</v>
      </c>
      <c r="K3" s="26" t="s">
        <v>37</v>
      </c>
      <c r="L3" s="26" t="s">
        <v>995</v>
      </c>
      <c r="M3" s="2"/>
      <c r="N3" s="2"/>
    </row>
    <row r="4" spans="1:14" x14ac:dyDescent="0.35">
      <c r="A4" s="17" t="s">
        <v>924</v>
      </c>
      <c r="B4" s="32" t="str">
        <f t="shared" si="0"/>
        <v>Конденсатор 0603C ёмкостью 0,15 н 10%, 50 В, X7R</v>
      </c>
      <c r="C4" s="18" t="s">
        <v>27</v>
      </c>
      <c r="D4" s="18" t="s">
        <v>30</v>
      </c>
      <c r="E4" s="18" t="s">
        <v>27</v>
      </c>
      <c r="F4" s="18" t="s">
        <v>925</v>
      </c>
      <c r="G4" s="26" t="s">
        <v>1012</v>
      </c>
      <c r="H4" s="18">
        <v>50</v>
      </c>
      <c r="I4" s="18" t="s">
        <v>429</v>
      </c>
      <c r="J4" s="18" t="s">
        <v>430</v>
      </c>
      <c r="K4" s="18" t="s">
        <v>37</v>
      </c>
      <c r="L4" s="18" t="s">
        <v>926</v>
      </c>
      <c r="M4" s="24"/>
      <c r="N4" s="2"/>
    </row>
    <row r="5" spans="1:14" x14ac:dyDescent="0.35">
      <c r="A5" s="41" t="s">
        <v>918</v>
      </c>
      <c r="B5" s="42" t="str">
        <f t="shared" si="0"/>
        <v>Конденсатор 0603C ёмкостью 0,75 н 10%, 50 В, X7R</v>
      </c>
      <c r="C5" s="43" t="s">
        <v>27</v>
      </c>
      <c r="D5" s="43" t="s">
        <v>30</v>
      </c>
      <c r="E5" s="43" t="s">
        <v>27</v>
      </c>
      <c r="F5" s="43" t="s">
        <v>919</v>
      </c>
      <c r="G5" s="44" t="s">
        <v>1012</v>
      </c>
      <c r="H5" s="43">
        <v>50</v>
      </c>
      <c r="I5" s="43" t="s">
        <v>429</v>
      </c>
      <c r="J5" s="43" t="s">
        <v>430</v>
      </c>
      <c r="K5" s="43" t="s">
        <v>37</v>
      </c>
      <c r="L5" s="43" t="s">
        <v>920</v>
      </c>
      <c r="M5" s="45"/>
      <c r="N5" s="46"/>
    </row>
    <row r="6" spans="1:14" x14ac:dyDescent="0.35">
      <c r="A6" s="2" t="s">
        <v>729</v>
      </c>
      <c r="B6" s="32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393</v>
      </c>
      <c r="G6" s="26" t="s">
        <v>1012</v>
      </c>
      <c r="H6" s="2">
        <v>50</v>
      </c>
      <c r="I6" s="2" t="s">
        <v>429</v>
      </c>
      <c r="J6" s="2" t="s">
        <v>430</v>
      </c>
      <c r="K6" s="2" t="s">
        <v>37</v>
      </c>
      <c r="L6" s="2">
        <v>1</v>
      </c>
      <c r="M6" s="2"/>
      <c r="N6" s="2"/>
    </row>
    <row r="7" spans="1:14" x14ac:dyDescent="0.35">
      <c r="A7" s="2" t="s">
        <v>358</v>
      </c>
      <c r="B7" s="32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394</v>
      </c>
      <c r="G7" s="26" t="s">
        <v>1012</v>
      </c>
      <c r="H7" s="2">
        <v>50</v>
      </c>
      <c r="I7" s="2" t="s">
        <v>429</v>
      </c>
      <c r="J7" s="2" t="s">
        <v>430</v>
      </c>
      <c r="K7" s="2" t="s">
        <v>37</v>
      </c>
      <c r="L7" s="2">
        <v>1.2</v>
      </c>
      <c r="M7" s="2"/>
      <c r="N7" s="2"/>
    </row>
    <row r="8" spans="1:14" x14ac:dyDescent="0.35">
      <c r="A8" s="2" t="s">
        <v>359</v>
      </c>
      <c r="B8" s="32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395</v>
      </c>
      <c r="G8" s="26" t="s">
        <v>1012</v>
      </c>
      <c r="H8" s="2">
        <v>50</v>
      </c>
      <c r="I8" s="2" t="s">
        <v>429</v>
      </c>
      <c r="J8" s="2" t="s">
        <v>430</v>
      </c>
      <c r="K8" s="2" t="s">
        <v>37</v>
      </c>
      <c r="L8" s="2">
        <v>1.5</v>
      </c>
      <c r="M8" s="2"/>
      <c r="N8" s="2"/>
    </row>
    <row r="9" spans="1:14" x14ac:dyDescent="0.35">
      <c r="A9" s="2" t="s">
        <v>360</v>
      </c>
      <c r="B9" s="32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396</v>
      </c>
      <c r="G9" s="26" t="s">
        <v>1012</v>
      </c>
      <c r="H9" s="2">
        <v>50</v>
      </c>
      <c r="I9" s="2" t="s">
        <v>429</v>
      </c>
      <c r="J9" s="2" t="s">
        <v>430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361</v>
      </c>
      <c r="B10" s="32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397</v>
      </c>
      <c r="G10" s="26" t="s">
        <v>1012</v>
      </c>
      <c r="H10" s="2">
        <v>50</v>
      </c>
      <c r="I10" s="2" t="s">
        <v>429</v>
      </c>
      <c r="J10" s="2" t="s">
        <v>430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362</v>
      </c>
      <c r="B11" s="32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398</v>
      </c>
      <c r="G11" s="26" t="s">
        <v>1012</v>
      </c>
      <c r="H11" s="2">
        <v>50</v>
      </c>
      <c r="I11" s="2" t="s">
        <v>429</v>
      </c>
      <c r="J11" s="2" t="s">
        <v>430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363</v>
      </c>
      <c r="B12" s="32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399</v>
      </c>
      <c r="G12" s="26" t="s">
        <v>1012</v>
      </c>
      <c r="H12" s="2">
        <v>50</v>
      </c>
      <c r="I12" s="2" t="s">
        <v>429</v>
      </c>
      <c r="J12" s="2" t="s">
        <v>430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364</v>
      </c>
      <c r="B13" s="32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400</v>
      </c>
      <c r="G13" s="26" t="s">
        <v>1012</v>
      </c>
      <c r="H13" s="2">
        <v>50</v>
      </c>
      <c r="I13" s="2" t="s">
        <v>429</v>
      </c>
      <c r="J13" s="2" t="s">
        <v>430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365</v>
      </c>
      <c r="B14" s="32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401</v>
      </c>
      <c r="G14" s="26" t="s">
        <v>1012</v>
      </c>
      <c r="H14" s="2">
        <v>50</v>
      </c>
      <c r="I14" s="2" t="s">
        <v>429</v>
      </c>
      <c r="J14" s="2" t="s">
        <v>430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366</v>
      </c>
      <c r="B15" s="32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402</v>
      </c>
      <c r="G15" s="26" t="s">
        <v>1012</v>
      </c>
      <c r="H15" s="2">
        <v>50</v>
      </c>
      <c r="I15" s="2" t="s">
        <v>429</v>
      </c>
      <c r="J15" s="2" t="s">
        <v>430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367</v>
      </c>
      <c r="B16" s="32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403</v>
      </c>
      <c r="G16" s="26" t="s">
        <v>1012</v>
      </c>
      <c r="H16" s="2">
        <v>50</v>
      </c>
      <c r="I16" s="2" t="s">
        <v>429</v>
      </c>
      <c r="J16" s="2" t="s">
        <v>430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368</v>
      </c>
      <c r="B17" s="32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404</v>
      </c>
      <c r="G17" s="26" t="s">
        <v>1012</v>
      </c>
      <c r="H17" s="2">
        <v>50</v>
      </c>
      <c r="I17" s="2" t="s">
        <v>429</v>
      </c>
      <c r="J17" s="2" t="s">
        <v>430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369</v>
      </c>
      <c r="B18" s="32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405</v>
      </c>
      <c r="G18" s="26" t="s">
        <v>1012</v>
      </c>
      <c r="H18" s="2">
        <v>50</v>
      </c>
      <c r="I18" s="2" t="s">
        <v>429</v>
      </c>
      <c r="J18" s="2" t="s">
        <v>430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370</v>
      </c>
      <c r="B19" s="32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406</v>
      </c>
      <c r="G19" s="26" t="s">
        <v>1012</v>
      </c>
      <c r="H19" s="2">
        <v>50</v>
      </c>
      <c r="I19" s="2" t="s">
        <v>429</v>
      </c>
      <c r="J19" s="2" t="s">
        <v>430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371</v>
      </c>
      <c r="B20" s="32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407</v>
      </c>
      <c r="G20" s="26" t="s">
        <v>1012</v>
      </c>
      <c r="H20" s="2">
        <v>50</v>
      </c>
      <c r="I20" s="2" t="s">
        <v>429</v>
      </c>
      <c r="J20" s="2" t="s">
        <v>430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372</v>
      </c>
      <c r="B21" s="32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408</v>
      </c>
      <c r="G21" s="26" t="s">
        <v>1012</v>
      </c>
      <c r="H21" s="2">
        <v>50</v>
      </c>
      <c r="I21" s="2" t="s">
        <v>429</v>
      </c>
      <c r="J21" s="2" t="s">
        <v>430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373</v>
      </c>
      <c r="B22" s="32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409</v>
      </c>
      <c r="G22" s="26" t="s">
        <v>1012</v>
      </c>
      <c r="H22" s="2">
        <v>50</v>
      </c>
      <c r="I22" s="2" t="s">
        <v>429</v>
      </c>
      <c r="J22" s="2" t="s">
        <v>430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374</v>
      </c>
      <c r="B23" s="32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410</v>
      </c>
      <c r="G23" s="26" t="s">
        <v>1012</v>
      </c>
      <c r="H23" s="2">
        <v>50</v>
      </c>
      <c r="I23" s="2" t="s">
        <v>429</v>
      </c>
      <c r="J23" s="2" t="s">
        <v>430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375</v>
      </c>
      <c r="B24" s="32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411</v>
      </c>
      <c r="G24" s="26" t="s">
        <v>1012</v>
      </c>
      <c r="H24" s="2">
        <v>50</v>
      </c>
      <c r="I24" s="2" t="s">
        <v>429</v>
      </c>
      <c r="J24" s="2" t="s">
        <v>430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376</v>
      </c>
      <c r="B25" s="32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412</v>
      </c>
      <c r="G25" s="26" t="s">
        <v>1012</v>
      </c>
      <c r="H25" s="2">
        <v>50</v>
      </c>
      <c r="I25" s="2" t="s">
        <v>429</v>
      </c>
      <c r="J25" s="2" t="s">
        <v>430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377</v>
      </c>
      <c r="B26" s="32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413</v>
      </c>
      <c r="G26" s="26" t="s">
        <v>1012</v>
      </c>
      <c r="H26" s="2">
        <v>50</v>
      </c>
      <c r="I26" s="2" t="s">
        <v>429</v>
      </c>
      <c r="J26" s="2" t="s">
        <v>430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378</v>
      </c>
      <c r="B27" s="32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414</v>
      </c>
      <c r="G27" s="26" t="s">
        <v>1012</v>
      </c>
      <c r="H27" s="2">
        <v>50</v>
      </c>
      <c r="I27" s="2" t="s">
        <v>429</v>
      </c>
      <c r="J27" s="2" t="s">
        <v>430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379</v>
      </c>
      <c r="B28" s="32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415</v>
      </c>
      <c r="G28" s="26" t="s">
        <v>1012</v>
      </c>
      <c r="H28" s="2">
        <v>50</v>
      </c>
      <c r="I28" s="2" t="s">
        <v>429</v>
      </c>
      <c r="J28" s="2" t="s">
        <v>430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380</v>
      </c>
      <c r="B29" s="32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416</v>
      </c>
      <c r="G29" s="26" t="s">
        <v>1012</v>
      </c>
      <c r="H29" s="2">
        <v>50</v>
      </c>
      <c r="I29" s="2" t="s">
        <v>429</v>
      </c>
      <c r="J29" s="2" t="s">
        <v>430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381</v>
      </c>
      <c r="B30" s="32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6" t="s">
        <v>1012</v>
      </c>
      <c r="H30" s="2">
        <v>50</v>
      </c>
      <c r="I30" s="2" t="s">
        <v>429</v>
      </c>
      <c r="J30" s="2" t="s">
        <v>430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382</v>
      </c>
      <c r="B31" s="32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417</v>
      </c>
      <c r="G31" s="26" t="s">
        <v>1012</v>
      </c>
      <c r="H31" s="2">
        <v>50</v>
      </c>
      <c r="I31" s="2" t="s">
        <v>429</v>
      </c>
      <c r="J31" s="2" t="s">
        <v>430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383</v>
      </c>
      <c r="B32" s="32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418</v>
      </c>
      <c r="G32" s="26" t="s">
        <v>1012</v>
      </c>
      <c r="H32" s="2">
        <v>50</v>
      </c>
      <c r="I32" s="2" t="s">
        <v>429</v>
      </c>
      <c r="J32" s="2" t="s">
        <v>430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384</v>
      </c>
      <c r="B33" s="32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419</v>
      </c>
      <c r="G33" s="26" t="s">
        <v>1012</v>
      </c>
      <c r="H33" s="2">
        <v>50</v>
      </c>
      <c r="I33" s="2" t="s">
        <v>429</v>
      </c>
      <c r="J33" s="2" t="s">
        <v>430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385</v>
      </c>
      <c r="B34" s="32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420</v>
      </c>
      <c r="G34" s="26" t="s">
        <v>1012</v>
      </c>
      <c r="H34" s="2">
        <v>50</v>
      </c>
      <c r="I34" s="2" t="s">
        <v>429</v>
      </c>
      <c r="J34" s="2" t="s">
        <v>430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386</v>
      </c>
      <c r="B35" s="32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421</v>
      </c>
      <c r="G35" s="26" t="s">
        <v>1012</v>
      </c>
      <c r="H35" s="2">
        <v>50</v>
      </c>
      <c r="I35" s="2" t="s">
        <v>429</v>
      </c>
      <c r="J35" s="2" t="s">
        <v>430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387</v>
      </c>
      <c r="B36" s="32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422</v>
      </c>
      <c r="G36" s="26" t="s">
        <v>1012</v>
      </c>
      <c r="H36" s="2">
        <v>50</v>
      </c>
      <c r="I36" s="2" t="s">
        <v>429</v>
      </c>
      <c r="J36" s="2" t="s">
        <v>430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388</v>
      </c>
      <c r="B37" s="32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423</v>
      </c>
      <c r="G37" s="26" t="s">
        <v>1012</v>
      </c>
      <c r="H37" s="2">
        <v>50</v>
      </c>
      <c r="I37" s="2" t="s">
        <v>429</v>
      </c>
      <c r="J37" s="2" t="s">
        <v>430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389</v>
      </c>
      <c r="B38" s="32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424</v>
      </c>
      <c r="G38" s="26" t="s">
        <v>1012</v>
      </c>
      <c r="H38" s="2">
        <v>50</v>
      </c>
      <c r="I38" s="2" t="s">
        <v>429</v>
      </c>
      <c r="J38" s="2" t="s">
        <v>430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390</v>
      </c>
      <c r="B39" s="32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425</v>
      </c>
      <c r="G39" s="26" t="s">
        <v>1012</v>
      </c>
      <c r="H39" s="2">
        <v>50</v>
      </c>
      <c r="I39" s="2" t="s">
        <v>429</v>
      </c>
      <c r="J39" s="2" t="s">
        <v>430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391</v>
      </c>
      <c r="B40" s="32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426</v>
      </c>
      <c r="G40" s="26" t="s">
        <v>1012</v>
      </c>
      <c r="H40" s="2">
        <v>50</v>
      </c>
      <c r="I40" s="2" t="s">
        <v>429</v>
      </c>
      <c r="J40" s="2" t="s">
        <v>430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392</v>
      </c>
      <c r="B41" s="32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427</v>
      </c>
      <c r="G41" s="26" t="s">
        <v>1012</v>
      </c>
      <c r="H41" s="2">
        <v>50</v>
      </c>
      <c r="I41" s="2" t="s">
        <v>429</v>
      </c>
      <c r="J41" s="2" t="s">
        <v>430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1286</v>
      </c>
      <c r="B42" s="32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428</v>
      </c>
      <c r="G42" s="26" t="s">
        <v>1012</v>
      </c>
      <c r="H42" s="2" t="s">
        <v>1235</v>
      </c>
      <c r="I42" s="2" t="s">
        <v>429</v>
      </c>
      <c r="J42" s="2" t="s">
        <v>430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927</v>
      </c>
      <c r="B43" s="32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459</v>
      </c>
      <c r="G43" s="26" t="s">
        <v>1012</v>
      </c>
      <c r="H43" s="2">
        <v>50</v>
      </c>
      <c r="I43" s="2" t="s">
        <v>429</v>
      </c>
      <c r="J43" s="2" t="s">
        <v>509</v>
      </c>
      <c r="K43" s="2" t="s">
        <v>510</v>
      </c>
      <c r="L43" s="2" t="s">
        <v>928</v>
      </c>
      <c r="M43" s="2"/>
      <c r="N43" s="2"/>
    </row>
    <row r="44" spans="1:14" x14ac:dyDescent="0.35">
      <c r="A44" s="2" t="s">
        <v>536</v>
      </c>
      <c r="B44" s="32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6" t="s">
        <v>1012</v>
      </c>
      <c r="H44" s="2">
        <v>50</v>
      </c>
      <c r="I44" s="2" t="s">
        <v>429</v>
      </c>
      <c r="J44" s="2" t="s">
        <v>509</v>
      </c>
      <c r="K44" s="2" t="s">
        <v>510</v>
      </c>
      <c r="L44" s="2">
        <v>4700</v>
      </c>
      <c r="M44" s="2"/>
      <c r="N44" s="2"/>
    </row>
    <row r="45" spans="1:14" x14ac:dyDescent="0.35">
      <c r="A45" s="2" t="s">
        <v>538</v>
      </c>
      <c r="B45" s="32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462</v>
      </c>
      <c r="G45" s="26" t="s">
        <v>1012</v>
      </c>
      <c r="H45" s="2">
        <v>35</v>
      </c>
      <c r="I45" s="2" t="s">
        <v>429</v>
      </c>
      <c r="J45" s="2" t="s">
        <v>511</v>
      </c>
      <c r="K45" s="2" t="s">
        <v>512</v>
      </c>
      <c r="L45" s="2">
        <v>10000</v>
      </c>
      <c r="M45" s="2"/>
      <c r="N45" s="2"/>
    </row>
    <row r="46" spans="1:14" x14ac:dyDescent="0.35">
      <c r="A46" s="2" t="s">
        <v>537</v>
      </c>
      <c r="B46" s="32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464</v>
      </c>
      <c r="G46" s="26" t="s">
        <v>1012</v>
      </c>
      <c r="H46" s="2">
        <v>25</v>
      </c>
      <c r="I46" s="2" t="s">
        <v>429</v>
      </c>
      <c r="J46" s="2" t="s">
        <v>511</v>
      </c>
      <c r="K46" s="2" t="s">
        <v>512</v>
      </c>
      <c r="L46" s="2">
        <v>22000</v>
      </c>
      <c r="M46" s="2"/>
      <c r="N46" s="2"/>
    </row>
    <row r="47" spans="1:14" x14ac:dyDescent="0.35">
      <c r="A47" s="2" t="s">
        <v>774</v>
      </c>
      <c r="B47" s="32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6" t="s">
        <v>1012</v>
      </c>
      <c r="H47" s="2">
        <v>1000</v>
      </c>
      <c r="I47" s="2" t="s">
        <v>429</v>
      </c>
      <c r="J47" s="2" t="s">
        <v>772</v>
      </c>
      <c r="K47" s="2" t="s">
        <v>773</v>
      </c>
      <c r="L47" s="2">
        <v>100</v>
      </c>
      <c r="M47" s="2"/>
      <c r="N47" s="2"/>
    </row>
    <row r="48" spans="1:14" x14ac:dyDescent="0.35">
      <c r="A48" s="2" t="s">
        <v>1045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1046</v>
      </c>
      <c r="G48" s="26" t="s">
        <v>1012</v>
      </c>
      <c r="H48" s="2">
        <v>1000</v>
      </c>
      <c r="I48" s="2" t="s">
        <v>429</v>
      </c>
      <c r="J48" s="2" t="s">
        <v>511</v>
      </c>
      <c r="K48" s="2" t="s">
        <v>512</v>
      </c>
      <c r="L48" s="2" t="s">
        <v>934</v>
      </c>
      <c r="M48" s="2" t="s">
        <v>1047</v>
      </c>
      <c r="N48" s="2" t="s">
        <v>1065</v>
      </c>
    </row>
    <row r="49" spans="1:14" x14ac:dyDescent="0.35">
      <c r="A49" s="2" t="s">
        <v>1058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1058</v>
      </c>
      <c r="D49" s="2" t="s">
        <v>30</v>
      </c>
      <c r="E49" s="2" t="s">
        <v>27</v>
      </c>
      <c r="F49" s="2" t="s">
        <v>1054</v>
      </c>
      <c r="G49" s="35" t="s">
        <v>1055</v>
      </c>
      <c r="H49" s="2" t="s">
        <v>1056</v>
      </c>
      <c r="I49" s="2" t="s">
        <v>1057</v>
      </c>
      <c r="J49" s="2" t="s">
        <v>430</v>
      </c>
      <c r="K49" s="2" t="s">
        <v>37</v>
      </c>
      <c r="L49" s="2" t="s">
        <v>1059</v>
      </c>
      <c r="M49" s="2" t="s">
        <v>1060</v>
      </c>
      <c r="N49" s="2" t="s">
        <v>1065</v>
      </c>
    </row>
    <row r="50" spans="1:14" x14ac:dyDescent="0.35">
      <c r="A50" s="2" t="s">
        <v>1084</v>
      </c>
      <c r="B50" s="34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5" t="s">
        <v>1012</v>
      </c>
      <c r="H50" s="2" t="s">
        <v>275</v>
      </c>
      <c r="I50" s="2" t="s">
        <v>429</v>
      </c>
      <c r="J50" s="2" t="s">
        <v>1083</v>
      </c>
      <c r="K50" s="2" t="s">
        <v>1082</v>
      </c>
      <c r="L50" s="2">
        <v>100</v>
      </c>
      <c r="M50" s="2"/>
      <c r="N50" s="2" t="s">
        <v>1065</v>
      </c>
    </row>
    <row r="51" spans="1:14" x14ac:dyDescent="0.35">
      <c r="A51" s="2" t="s">
        <v>1230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1230</v>
      </c>
      <c r="D51" s="2" t="s">
        <v>30</v>
      </c>
      <c r="E51" s="2" t="s">
        <v>27</v>
      </c>
      <c r="F51" s="2" t="s">
        <v>468</v>
      </c>
      <c r="G51" s="35" t="s">
        <v>1231</v>
      </c>
      <c r="H51" s="2" t="s">
        <v>275</v>
      </c>
      <c r="I51" s="2" t="s">
        <v>1232</v>
      </c>
      <c r="J51" s="2" t="s">
        <v>511</v>
      </c>
      <c r="K51" s="2" t="s">
        <v>512</v>
      </c>
      <c r="L51" s="2" t="s">
        <v>1233</v>
      </c>
      <c r="M51" s="2" t="s">
        <v>1234</v>
      </c>
      <c r="N51" s="2" t="s">
        <v>1065</v>
      </c>
    </row>
    <row r="52" spans="1:14" x14ac:dyDescent="0.35">
      <c r="A52" s="2" t="s">
        <v>1229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1229</v>
      </c>
      <c r="D52" s="2" t="s">
        <v>30</v>
      </c>
      <c r="E52" s="2" t="s">
        <v>27</v>
      </c>
      <c r="F52" s="2" t="s">
        <v>466</v>
      </c>
      <c r="G52" s="35" t="s">
        <v>1231</v>
      </c>
      <c r="H52" s="2" t="s">
        <v>1235</v>
      </c>
      <c r="I52" s="2" t="s">
        <v>1232</v>
      </c>
      <c r="J52" s="2" t="s">
        <v>509</v>
      </c>
      <c r="K52" s="2" t="s">
        <v>510</v>
      </c>
      <c r="L52" s="2" t="s">
        <v>1236</v>
      </c>
      <c r="M52" s="2" t="s">
        <v>1060</v>
      </c>
      <c r="N52" s="2" t="s">
        <v>1065</v>
      </c>
    </row>
    <row r="53" spans="1:14" x14ac:dyDescent="0.35">
      <c r="A53" s="2" t="s">
        <v>1289</v>
      </c>
      <c r="B53" s="34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393</v>
      </c>
      <c r="G53" s="35" t="s">
        <v>1055</v>
      </c>
      <c r="H53" s="2">
        <v>50</v>
      </c>
      <c r="I53" s="2" t="s">
        <v>1057</v>
      </c>
      <c r="J53" s="2" t="s">
        <v>430</v>
      </c>
      <c r="K53" s="2" t="s">
        <v>37</v>
      </c>
      <c r="L53" s="2">
        <v>1</v>
      </c>
      <c r="M53" s="2"/>
      <c r="N53" s="2" t="s">
        <v>1088</v>
      </c>
    </row>
    <row r="54" spans="1:14" x14ac:dyDescent="0.35">
      <c r="A54" s="2" t="s">
        <v>1290</v>
      </c>
      <c r="B54" s="34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399</v>
      </c>
      <c r="G54" s="35" t="s">
        <v>1055</v>
      </c>
      <c r="H54" s="2">
        <v>50</v>
      </c>
      <c r="I54" s="2" t="s">
        <v>1057</v>
      </c>
      <c r="J54" s="2" t="s">
        <v>430</v>
      </c>
      <c r="K54" s="2" t="s">
        <v>37</v>
      </c>
      <c r="L54" s="2" t="s">
        <v>265</v>
      </c>
      <c r="M54" s="2"/>
      <c r="N54" s="2" t="s">
        <v>1088</v>
      </c>
    </row>
    <row r="55" spans="1:14" x14ac:dyDescent="0.35">
      <c r="A55" s="2" t="s">
        <v>1294</v>
      </c>
      <c r="B55" s="34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462</v>
      </c>
      <c r="G55" s="35" t="s">
        <v>1012</v>
      </c>
      <c r="H55" s="2" t="s">
        <v>270</v>
      </c>
      <c r="I55" s="2" t="s">
        <v>429</v>
      </c>
      <c r="J55" s="2" t="s">
        <v>511</v>
      </c>
      <c r="K55" s="2" t="s">
        <v>37</v>
      </c>
      <c r="L55" s="2">
        <v>10000</v>
      </c>
      <c r="M55" s="50" t="s">
        <v>1295</v>
      </c>
      <c r="N55" s="2" t="s">
        <v>1088</v>
      </c>
    </row>
    <row r="56" spans="1:14" x14ac:dyDescent="0.35">
      <c r="A56" s="2" t="s">
        <v>1296</v>
      </c>
      <c r="B56" s="34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1297</v>
      </c>
      <c r="G56" s="35" t="s">
        <v>1055</v>
      </c>
      <c r="H56" s="2">
        <v>50</v>
      </c>
      <c r="I56" s="2" t="s">
        <v>1057</v>
      </c>
      <c r="J56" s="2" t="s">
        <v>430</v>
      </c>
      <c r="K56" s="2" t="s">
        <v>37</v>
      </c>
      <c r="L56" s="2" t="s">
        <v>1298</v>
      </c>
      <c r="M56" s="2"/>
      <c r="N56" s="2" t="s">
        <v>1088</v>
      </c>
    </row>
    <row r="57" spans="1:14" x14ac:dyDescent="0.35">
      <c r="A57" s="2" t="s">
        <v>1313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994</v>
      </c>
      <c r="G57" s="35" t="s">
        <v>1055</v>
      </c>
      <c r="H57" s="2" t="s">
        <v>1314</v>
      </c>
      <c r="I57" s="2" t="s">
        <v>1057</v>
      </c>
      <c r="J57" s="2" t="s">
        <v>430</v>
      </c>
      <c r="K57" s="2" t="s">
        <v>510</v>
      </c>
      <c r="L57" s="2" t="s">
        <v>995</v>
      </c>
      <c r="M57" s="2"/>
      <c r="N57" s="2" t="s">
        <v>1088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5" t="s">
        <v>0</v>
      </c>
      <c r="B1" s="4" t="s">
        <v>1</v>
      </c>
      <c r="C1" s="4" t="s">
        <v>14</v>
      </c>
      <c r="D1" s="4" t="s">
        <v>2</v>
      </c>
      <c r="E1" s="4" t="s">
        <v>3</v>
      </c>
      <c r="F1" s="4" t="s">
        <v>25</v>
      </c>
      <c r="G1" s="4" t="s">
        <v>210</v>
      </c>
      <c r="H1" s="4" t="s">
        <v>356</v>
      </c>
      <c r="I1" s="4" t="s">
        <v>436</v>
      </c>
      <c r="J1" s="4" t="s">
        <v>12</v>
      </c>
      <c r="K1" s="4" t="s">
        <v>8</v>
      </c>
      <c r="L1" s="7" t="s">
        <v>435</v>
      </c>
      <c r="M1" s="4" t="s">
        <v>13</v>
      </c>
      <c r="N1" s="4" t="s">
        <v>9</v>
      </c>
      <c r="O1" s="6" t="s">
        <v>782</v>
      </c>
      <c r="P1" s="6" t="s">
        <v>1064</v>
      </c>
    </row>
    <row r="2" spans="1:16" x14ac:dyDescent="0.35">
      <c r="A2" s="2" t="s">
        <v>437</v>
      </c>
      <c r="B2" s="2" t="s">
        <v>456</v>
      </c>
      <c r="C2" s="2" t="s">
        <v>27</v>
      </c>
      <c r="D2" s="2" t="s">
        <v>457</v>
      </c>
      <c r="E2" s="2" t="s">
        <v>39</v>
      </c>
      <c r="F2" s="2" t="s">
        <v>428</v>
      </c>
      <c r="G2">
        <v>0.1</v>
      </c>
      <c r="H2">
        <v>50</v>
      </c>
      <c r="I2" s="2" t="s">
        <v>475</v>
      </c>
      <c r="J2" s="2" t="s">
        <v>476</v>
      </c>
      <c r="K2" s="2" t="s">
        <v>121</v>
      </c>
      <c r="L2">
        <v>1</v>
      </c>
    </row>
    <row r="3" spans="1:16" x14ac:dyDescent="0.35">
      <c r="A3" s="2" t="s">
        <v>438</v>
      </c>
      <c r="B3" s="2" t="s">
        <v>456</v>
      </c>
      <c r="C3" s="2" t="s">
        <v>27</v>
      </c>
      <c r="D3" s="2" t="s">
        <v>457</v>
      </c>
      <c r="E3" s="2" t="s">
        <v>39</v>
      </c>
      <c r="F3" s="2" t="s">
        <v>458</v>
      </c>
      <c r="G3">
        <v>0.1</v>
      </c>
      <c r="H3">
        <v>50</v>
      </c>
      <c r="I3" s="2" t="s">
        <v>475</v>
      </c>
      <c r="J3" s="2" t="s">
        <v>476</v>
      </c>
      <c r="K3" s="2" t="s">
        <v>121</v>
      </c>
      <c r="L3">
        <v>1.5</v>
      </c>
    </row>
    <row r="4" spans="1:16" x14ac:dyDescent="0.35">
      <c r="A4" s="2" t="s">
        <v>439</v>
      </c>
      <c r="B4" s="2" t="s">
        <v>456</v>
      </c>
      <c r="C4" s="2" t="s">
        <v>27</v>
      </c>
      <c r="D4" s="2" t="s">
        <v>457</v>
      </c>
      <c r="E4" s="2" t="s">
        <v>39</v>
      </c>
      <c r="F4" s="2" t="s">
        <v>459</v>
      </c>
      <c r="G4">
        <v>0.1</v>
      </c>
      <c r="H4">
        <v>50</v>
      </c>
      <c r="I4" s="2" t="s">
        <v>475</v>
      </c>
      <c r="J4" s="2" t="s">
        <v>476</v>
      </c>
      <c r="K4" s="2" t="s">
        <v>121</v>
      </c>
      <c r="L4">
        <v>2.2000000000000002</v>
      </c>
    </row>
    <row r="5" spans="1:16" x14ac:dyDescent="0.35">
      <c r="A5" s="2" t="s">
        <v>440</v>
      </c>
      <c r="B5" s="2" t="s">
        <v>456</v>
      </c>
      <c r="C5" s="2" t="s">
        <v>27</v>
      </c>
      <c r="D5" s="2" t="s">
        <v>457</v>
      </c>
      <c r="E5" s="2" t="s">
        <v>39</v>
      </c>
      <c r="F5" s="2" t="s">
        <v>460</v>
      </c>
      <c r="G5">
        <v>0.1</v>
      </c>
      <c r="H5">
        <v>50</v>
      </c>
      <c r="I5" s="2" t="s">
        <v>475</v>
      </c>
      <c r="J5" s="2" t="s">
        <v>476</v>
      </c>
      <c r="K5" s="2" t="s">
        <v>121</v>
      </c>
      <c r="L5">
        <v>3.3</v>
      </c>
    </row>
    <row r="6" spans="1:16" x14ac:dyDescent="0.35">
      <c r="A6" s="2" t="s">
        <v>441</v>
      </c>
      <c r="B6" s="2" t="s">
        <v>456</v>
      </c>
      <c r="C6" s="2" t="s">
        <v>27</v>
      </c>
      <c r="D6" s="2" t="s">
        <v>457</v>
      </c>
      <c r="E6" s="2" t="s">
        <v>39</v>
      </c>
      <c r="F6" s="2" t="s">
        <v>41</v>
      </c>
      <c r="G6">
        <v>0.1</v>
      </c>
      <c r="H6">
        <v>50</v>
      </c>
      <c r="I6" s="2" t="s">
        <v>475</v>
      </c>
      <c r="J6" s="2" t="s">
        <v>476</v>
      </c>
      <c r="K6" s="2" t="s">
        <v>121</v>
      </c>
      <c r="L6">
        <v>4.7</v>
      </c>
    </row>
    <row r="7" spans="1:16" x14ac:dyDescent="0.35">
      <c r="A7" s="2" t="s">
        <v>442</v>
      </c>
      <c r="B7" s="2" t="s">
        <v>456</v>
      </c>
      <c r="C7" s="2" t="s">
        <v>27</v>
      </c>
      <c r="D7" s="2" t="s">
        <v>457</v>
      </c>
      <c r="E7" s="2" t="s">
        <v>39</v>
      </c>
      <c r="F7" s="2" t="s">
        <v>461</v>
      </c>
      <c r="G7">
        <v>0.1</v>
      </c>
      <c r="H7">
        <v>50</v>
      </c>
      <c r="I7" s="2" t="s">
        <v>475</v>
      </c>
      <c r="J7" s="2" t="s">
        <v>476</v>
      </c>
      <c r="K7" s="2" t="s">
        <v>121</v>
      </c>
      <c r="L7">
        <v>6.8</v>
      </c>
    </row>
    <row r="8" spans="1:16" x14ac:dyDescent="0.35">
      <c r="A8" s="2" t="s">
        <v>443</v>
      </c>
      <c r="B8" s="2" t="s">
        <v>456</v>
      </c>
      <c r="C8" s="2" t="s">
        <v>27</v>
      </c>
      <c r="D8" s="2" t="s">
        <v>457</v>
      </c>
      <c r="E8" s="2" t="s">
        <v>39</v>
      </c>
      <c r="F8" s="2" t="s">
        <v>462</v>
      </c>
      <c r="G8">
        <v>0.1</v>
      </c>
      <c r="H8">
        <v>50</v>
      </c>
      <c r="I8" s="2" t="s">
        <v>475</v>
      </c>
      <c r="J8" s="2" t="s">
        <v>476</v>
      </c>
      <c r="K8" s="2" t="s">
        <v>121</v>
      </c>
      <c r="L8">
        <v>10</v>
      </c>
    </row>
    <row r="9" spans="1:16" x14ac:dyDescent="0.35">
      <c r="A9" s="2" t="s">
        <v>444</v>
      </c>
      <c r="B9" s="2" t="s">
        <v>456</v>
      </c>
      <c r="C9" s="2" t="s">
        <v>27</v>
      </c>
      <c r="D9" s="2" t="s">
        <v>457</v>
      </c>
      <c r="E9" s="2" t="s">
        <v>39</v>
      </c>
      <c r="F9" s="2" t="s">
        <v>463</v>
      </c>
      <c r="G9">
        <v>0.1</v>
      </c>
      <c r="H9">
        <v>50</v>
      </c>
      <c r="I9" s="2" t="s">
        <v>475</v>
      </c>
      <c r="J9" s="2" t="s">
        <v>476</v>
      </c>
      <c r="K9" s="2" t="s">
        <v>121</v>
      </c>
      <c r="L9">
        <v>15</v>
      </c>
    </row>
    <row r="10" spans="1:16" x14ac:dyDescent="0.35">
      <c r="A10" s="2" t="s">
        <v>445</v>
      </c>
      <c r="B10" s="2" t="s">
        <v>456</v>
      </c>
      <c r="C10" s="2" t="s">
        <v>27</v>
      </c>
      <c r="D10" s="2" t="s">
        <v>457</v>
      </c>
      <c r="E10" s="2" t="s">
        <v>39</v>
      </c>
      <c r="F10" s="2" t="s">
        <v>464</v>
      </c>
      <c r="G10">
        <v>0.1</v>
      </c>
      <c r="H10">
        <v>50</v>
      </c>
      <c r="I10" s="2" t="s">
        <v>475</v>
      </c>
      <c r="J10" s="2" t="s">
        <v>476</v>
      </c>
      <c r="K10" s="2" t="s">
        <v>121</v>
      </c>
      <c r="L10">
        <v>22</v>
      </c>
    </row>
    <row r="11" spans="1:16" x14ac:dyDescent="0.35">
      <c r="A11" s="2" t="s">
        <v>446</v>
      </c>
      <c r="B11" s="2" t="s">
        <v>456</v>
      </c>
      <c r="C11" s="2" t="s">
        <v>27</v>
      </c>
      <c r="D11" s="2" t="s">
        <v>457</v>
      </c>
      <c r="E11" s="2" t="s">
        <v>39</v>
      </c>
      <c r="F11" s="2" t="s">
        <v>465</v>
      </c>
      <c r="G11">
        <v>0.1</v>
      </c>
      <c r="H11">
        <v>50</v>
      </c>
      <c r="I11" s="2" t="s">
        <v>475</v>
      </c>
      <c r="J11" s="2" t="s">
        <v>476</v>
      </c>
      <c r="K11" s="2" t="s">
        <v>121</v>
      </c>
      <c r="L11">
        <v>33</v>
      </c>
    </row>
    <row r="12" spans="1:16" x14ac:dyDescent="0.35">
      <c r="A12" s="2" t="s">
        <v>447</v>
      </c>
      <c r="B12" s="2" t="s">
        <v>456</v>
      </c>
      <c r="C12" s="2" t="s">
        <v>27</v>
      </c>
      <c r="D12" s="2" t="s">
        <v>457</v>
      </c>
      <c r="E12" s="2" t="s">
        <v>39</v>
      </c>
      <c r="F12" s="2" t="s">
        <v>466</v>
      </c>
      <c r="G12">
        <v>0.1</v>
      </c>
      <c r="H12">
        <v>50</v>
      </c>
      <c r="I12" s="2" t="s">
        <v>475</v>
      </c>
      <c r="J12" s="2" t="s">
        <v>476</v>
      </c>
      <c r="K12" s="2" t="s">
        <v>121</v>
      </c>
      <c r="L12">
        <v>47</v>
      </c>
    </row>
    <row r="13" spans="1:16" x14ac:dyDescent="0.35">
      <c r="A13" s="2" t="s">
        <v>448</v>
      </c>
      <c r="B13" s="2" t="s">
        <v>456</v>
      </c>
      <c r="C13" s="2" t="s">
        <v>27</v>
      </c>
      <c r="D13" s="2" t="s">
        <v>457</v>
      </c>
      <c r="E13" s="2" t="s">
        <v>39</v>
      </c>
      <c r="F13" s="2" t="s">
        <v>467</v>
      </c>
      <c r="G13">
        <v>0.1</v>
      </c>
      <c r="H13">
        <v>50</v>
      </c>
      <c r="I13" s="2" t="s">
        <v>475</v>
      </c>
      <c r="J13" s="2" t="s">
        <v>476</v>
      </c>
      <c r="K13" s="2" t="s">
        <v>121</v>
      </c>
      <c r="L13">
        <v>68</v>
      </c>
    </row>
    <row r="14" spans="1:16" x14ac:dyDescent="0.35">
      <c r="A14" s="2" t="s">
        <v>449</v>
      </c>
      <c r="B14" s="2" t="s">
        <v>456</v>
      </c>
      <c r="C14" s="2" t="s">
        <v>27</v>
      </c>
      <c r="D14" s="2" t="s">
        <v>457</v>
      </c>
      <c r="E14" s="2" t="s">
        <v>39</v>
      </c>
      <c r="F14" s="2" t="s">
        <v>468</v>
      </c>
      <c r="G14">
        <v>0.1</v>
      </c>
      <c r="H14">
        <v>50</v>
      </c>
      <c r="I14" s="2" t="s">
        <v>475</v>
      </c>
      <c r="J14" s="2" t="s">
        <v>476</v>
      </c>
      <c r="K14" s="2" t="s">
        <v>121</v>
      </c>
      <c r="L14">
        <v>100</v>
      </c>
    </row>
    <row r="15" spans="1:16" x14ac:dyDescent="0.35">
      <c r="A15" s="2" t="s">
        <v>450</v>
      </c>
      <c r="B15" s="2" t="s">
        <v>456</v>
      </c>
      <c r="C15" s="2" t="s">
        <v>27</v>
      </c>
      <c r="D15" s="2" t="s">
        <v>457</v>
      </c>
      <c r="E15" s="2" t="s">
        <v>39</v>
      </c>
      <c r="F15" s="2" t="s">
        <v>469</v>
      </c>
      <c r="G15">
        <v>0.1</v>
      </c>
      <c r="H15">
        <v>50</v>
      </c>
      <c r="I15" s="2" t="s">
        <v>475</v>
      </c>
      <c r="J15" s="2" t="s">
        <v>476</v>
      </c>
      <c r="K15" s="2" t="s">
        <v>121</v>
      </c>
      <c r="L15">
        <v>150</v>
      </c>
    </row>
    <row r="16" spans="1:16" x14ac:dyDescent="0.35">
      <c r="A16" s="2" t="s">
        <v>451</v>
      </c>
      <c r="B16" s="2" t="s">
        <v>456</v>
      </c>
      <c r="C16" s="2" t="s">
        <v>27</v>
      </c>
      <c r="D16" s="2" t="s">
        <v>457</v>
      </c>
      <c r="E16" s="2" t="s">
        <v>39</v>
      </c>
      <c r="F16" s="2" t="s">
        <v>470</v>
      </c>
      <c r="G16">
        <v>0.1</v>
      </c>
      <c r="H16">
        <v>50</v>
      </c>
      <c r="I16" s="2" t="s">
        <v>475</v>
      </c>
      <c r="J16" s="2" t="s">
        <v>476</v>
      </c>
      <c r="K16" s="2" t="s">
        <v>121</v>
      </c>
      <c r="L16">
        <v>220</v>
      </c>
    </row>
    <row r="17" spans="1:16" x14ac:dyDescent="0.35">
      <c r="A17" s="2" t="s">
        <v>452</v>
      </c>
      <c r="B17" s="2" t="s">
        <v>456</v>
      </c>
      <c r="C17" s="2" t="s">
        <v>27</v>
      </c>
      <c r="D17" s="2" t="s">
        <v>457</v>
      </c>
      <c r="E17" s="2" t="s">
        <v>39</v>
      </c>
      <c r="F17" s="2" t="s">
        <v>471</v>
      </c>
      <c r="G17">
        <v>0.1</v>
      </c>
      <c r="H17">
        <v>50</v>
      </c>
      <c r="I17" s="2" t="s">
        <v>475</v>
      </c>
      <c r="J17" s="2" t="s">
        <v>476</v>
      </c>
      <c r="K17" s="2" t="s">
        <v>121</v>
      </c>
      <c r="L17">
        <v>330</v>
      </c>
    </row>
    <row r="18" spans="1:16" x14ac:dyDescent="0.35">
      <c r="A18" s="2" t="s">
        <v>453</v>
      </c>
      <c r="B18" s="2" t="s">
        <v>456</v>
      </c>
      <c r="C18" s="2" t="s">
        <v>27</v>
      </c>
      <c r="D18" s="2" t="s">
        <v>457</v>
      </c>
      <c r="E18" s="2" t="s">
        <v>39</v>
      </c>
      <c r="F18" s="2" t="s">
        <v>472</v>
      </c>
      <c r="G18">
        <v>0.1</v>
      </c>
      <c r="H18">
        <v>50</v>
      </c>
      <c r="I18" s="2" t="s">
        <v>475</v>
      </c>
      <c r="J18" s="2" t="s">
        <v>476</v>
      </c>
      <c r="K18" s="2" t="s">
        <v>121</v>
      </c>
      <c r="L18">
        <v>470</v>
      </c>
    </row>
    <row r="19" spans="1:16" x14ac:dyDescent="0.35">
      <c r="A19" s="2" t="s">
        <v>454</v>
      </c>
      <c r="B19" s="2" t="s">
        <v>456</v>
      </c>
      <c r="C19" s="2" t="s">
        <v>27</v>
      </c>
      <c r="D19" s="2" t="s">
        <v>457</v>
      </c>
      <c r="E19" s="2" t="s">
        <v>39</v>
      </c>
      <c r="F19" s="2" t="s">
        <v>473</v>
      </c>
      <c r="G19">
        <v>0.1</v>
      </c>
      <c r="H19">
        <v>50</v>
      </c>
      <c r="I19" s="2" t="s">
        <v>475</v>
      </c>
      <c r="J19" s="2" t="s">
        <v>476</v>
      </c>
      <c r="K19" s="2" t="s">
        <v>121</v>
      </c>
      <c r="L19">
        <v>680</v>
      </c>
    </row>
    <row r="20" spans="1:16" x14ac:dyDescent="0.35">
      <c r="A20" s="2" t="s">
        <v>455</v>
      </c>
      <c r="B20" s="2" t="s">
        <v>456</v>
      </c>
      <c r="C20" s="2" t="s">
        <v>27</v>
      </c>
      <c r="D20" s="2" t="s">
        <v>457</v>
      </c>
      <c r="E20" s="2" t="s">
        <v>39</v>
      </c>
      <c r="F20" s="2" t="s">
        <v>474</v>
      </c>
      <c r="G20">
        <v>0.1</v>
      </c>
      <c r="H20">
        <v>50</v>
      </c>
      <c r="I20" s="2" t="s">
        <v>475</v>
      </c>
      <c r="J20" s="2" t="s">
        <v>476</v>
      </c>
      <c r="K20" s="2" t="s">
        <v>121</v>
      </c>
      <c r="L20">
        <v>1000</v>
      </c>
    </row>
    <row r="21" spans="1:16" x14ac:dyDescent="0.35">
      <c r="A21" s="2" t="s">
        <v>564</v>
      </c>
      <c r="B21" t="s">
        <v>560</v>
      </c>
      <c r="C21" s="2" t="s">
        <v>27</v>
      </c>
      <c r="D21" s="2" t="s">
        <v>457</v>
      </c>
      <c r="E21" s="2" t="s">
        <v>39</v>
      </c>
      <c r="F21" s="2" t="s">
        <v>561</v>
      </c>
      <c r="G21">
        <v>20</v>
      </c>
      <c r="H21">
        <v>10</v>
      </c>
      <c r="I21" t="s">
        <v>562</v>
      </c>
      <c r="J21" s="2" t="s">
        <v>563</v>
      </c>
      <c r="K21" t="s">
        <v>559</v>
      </c>
      <c r="L21">
        <v>2200</v>
      </c>
      <c r="M21" s="2" t="s">
        <v>615</v>
      </c>
      <c r="N21" t="s">
        <v>616</v>
      </c>
    </row>
    <row r="22" spans="1:16" x14ac:dyDescent="0.35">
      <c r="A22" t="s">
        <v>570</v>
      </c>
      <c r="B22" t="s">
        <v>571</v>
      </c>
      <c r="C22" s="2" t="s">
        <v>27</v>
      </c>
      <c r="D22" s="2" t="s">
        <v>457</v>
      </c>
      <c r="E22" s="2" t="s">
        <v>39</v>
      </c>
      <c r="F22" s="2" t="s">
        <v>474</v>
      </c>
      <c r="G22">
        <v>20</v>
      </c>
      <c r="H22">
        <v>25</v>
      </c>
      <c r="I22" t="s">
        <v>727</v>
      </c>
      <c r="J22" s="2" t="s">
        <v>572</v>
      </c>
      <c r="K22" t="s">
        <v>573</v>
      </c>
      <c r="L22">
        <v>1000</v>
      </c>
      <c r="P22" t="s">
        <v>1065</v>
      </c>
    </row>
    <row r="23" spans="1:16" x14ac:dyDescent="0.35">
      <c r="A23" t="s">
        <v>728</v>
      </c>
      <c r="B23" t="s">
        <v>571</v>
      </c>
      <c r="C23" s="2" t="s">
        <v>27</v>
      </c>
      <c r="D23" s="2" t="s">
        <v>457</v>
      </c>
      <c r="E23" s="2" t="s">
        <v>39</v>
      </c>
      <c r="F23" s="2" t="s">
        <v>474</v>
      </c>
      <c r="G23">
        <v>20</v>
      </c>
      <c r="H23">
        <v>35</v>
      </c>
      <c r="I23" t="s">
        <v>727</v>
      </c>
      <c r="J23" s="2" t="s">
        <v>726</v>
      </c>
      <c r="K23" t="s">
        <v>725</v>
      </c>
      <c r="L23">
        <v>1000</v>
      </c>
      <c r="P23" t="s">
        <v>1065</v>
      </c>
    </row>
    <row r="24" spans="1:16" x14ac:dyDescent="0.35">
      <c r="A24" t="s">
        <v>749</v>
      </c>
      <c r="B24" t="s">
        <v>750</v>
      </c>
      <c r="C24" s="2" t="s">
        <v>27</v>
      </c>
      <c r="D24" s="2" t="s">
        <v>457</v>
      </c>
      <c r="E24" s="2" t="s">
        <v>39</v>
      </c>
      <c r="F24" t="s">
        <v>751</v>
      </c>
      <c r="G24">
        <v>20</v>
      </c>
      <c r="H24">
        <v>400</v>
      </c>
      <c r="I24" t="s">
        <v>562</v>
      </c>
      <c r="J24" s="2" t="s">
        <v>755</v>
      </c>
      <c r="K24" t="s">
        <v>756</v>
      </c>
      <c r="L24">
        <v>3.3</v>
      </c>
      <c r="M24" s="2" t="s">
        <v>754</v>
      </c>
      <c r="N24" t="s">
        <v>753</v>
      </c>
      <c r="P24" t="s">
        <v>1065</v>
      </c>
    </row>
    <row r="25" spans="1:16" x14ac:dyDescent="0.35">
      <c r="A25" t="s">
        <v>797</v>
      </c>
      <c r="B25" t="s">
        <v>798</v>
      </c>
      <c r="C25" s="2" t="s">
        <v>27</v>
      </c>
      <c r="D25" s="2" t="s">
        <v>457</v>
      </c>
      <c r="E25" s="2" t="s">
        <v>39</v>
      </c>
      <c r="F25" t="s">
        <v>799</v>
      </c>
      <c r="G25">
        <v>20</v>
      </c>
      <c r="H25">
        <v>400</v>
      </c>
      <c r="I25" t="s">
        <v>562</v>
      </c>
      <c r="J25" s="2" t="s">
        <v>801</v>
      </c>
      <c r="K25" t="s">
        <v>800</v>
      </c>
      <c r="L25">
        <v>2700</v>
      </c>
      <c r="P25" t="s">
        <v>1065</v>
      </c>
    </row>
    <row r="26" spans="1:16" x14ac:dyDescent="0.35">
      <c r="A26" t="s">
        <v>953</v>
      </c>
      <c r="B26" t="s">
        <v>571</v>
      </c>
      <c r="C26" t="s">
        <v>27</v>
      </c>
      <c r="D26" t="s">
        <v>457</v>
      </c>
      <c r="E26" t="s">
        <v>39</v>
      </c>
      <c r="F26" t="s">
        <v>471</v>
      </c>
      <c r="G26">
        <v>20</v>
      </c>
      <c r="H26">
        <v>35</v>
      </c>
      <c r="I26" t="s">
        <v>727</v>
      </c>
      <c r="J26" t="s">
        <v>954</v>
      </c>
      <c r="K26" t="s">
        <v>955</v>
      </c>
      <c r="L26">
        <v>330</v>
      </c>
    </row>
    <row r="27" spans="1:16" x14ac:dyDescent="0.35">
      <c r="A27" t="s">
        <v>956</v>
      </c>
      <c r="B27" t="s">
        <v>957</v>
      </c>
      <c r="C27" t="s">
        <v>27</v>
      </c>
      <c r="D27" t="s">
        <v>457</v>
      </c>
      <c r="E27" t="s">
        <v>39</v>
      </c>
      <c r="F27" t="s">
        <v>468</v>
      </c>
      <c r="G27">
        <v>20</v>
      </c>
      <c r="H27">
        <v>35</v>
      </c>
      <c r="I27" t="s">
        <v>727</v>
      </c>
      <c r="J27" t="s">
        <v>958</v>
      </c>
      <c r="K27" t="s">
        <v>959</v>
      </c>
      <c r="L27">
        <v>100</v>
      </c>
    </row>
    <row r="28" spans="1:16" x14ac:dyDescent="0.35">
      <c r="A28" t="s">
        <v>1068</v>
      </c>
      <c r="B28" t="s">
        <v>1069</v>
      </c>
      <c r="D28" t="s">
        <v>457</v>
      </c>
      <c r="E28" t="s">
        <v>39</v>
      </c>
      <c r="F28" t="s">
        <v>472</v>
      </c>
      <c r="G28">
        <v>20</v>
      </c>
      <c r="H28">
        <v>16</v>
      </c>
      <c r="I28" t="s">
        <v>727</v>
      </c>
      <c r="J28" t="s">
        <v>954</v>
      </c>
      <c r="K28" t="s">
        <v>955</v>
      </c>
      <c r="L28">
        <v>470</v>
      </c>
      <c r="O28" t="s">
        <v>1070</v>
      </c>
      <c r="P28" t="s">
        <v>1065</v>
      </c>
    </row>
    <row r="29" spans="1:16" x14ac:dyDescent="0.35">
      <c r="A29" t="s">
        <v>1331</v>
      </c>
      <c r="B29" t="s">
        <v>1332</v>
      </c>
      <c r="C29" t="s">
        <v>27</v>
      </c>
      <c r="D29" t="s">
        <v>457</v>
      </c>
      <c r="E29" t="s">
        <v>39</v>
      </c>
      <c r="F29" t="s">
        <v>1333</v>
      </c>
      <c r="G29">
        <v>20</v>
      </c>
      <c r="H29">
        <v>35</v>
      </c>
      <c r="I29" t="s">
        <v>727</v>
      </c>
      <c r="J29" t="s">
        <v>1334</v>
      </c>
      <c r="K29" t="s">
        <v>1335</v>
      </c>
      <c r="L29">
        <v>120</v>
      </c>
      <c r="O29" s="36" t="s">
        <v>1336</v>
      </c>
      <c r="P29" t="s">
        <v>1088</v>
      </c>
    </row>
    <row r="30" spans="1:16" x14ac:dyDescent="0.35">
      <c r="A30" t="s">
        <v>1337</v>
      </c>
      <c r="B30" t="s">
        <v>1338</v>
      </c>
      <c r="C30" t="s">
        <v>27</v>
      </c>
      <c r="D30" t="s">
        <v>457</v>
      </c>
      <c r="E30" t="s">
        <v>39</v>
      </c>
      <c r="F30" t="s">
        <v>467</v>
      </c>
      <c r="G30">
        <v>20</v>
      </c>
      <c r="H30">
        <v>50</v>
      </c>
      <c r="I30" t="s">
        <v>727</v>
      </c>
      <c r="J30" t="s">
        <v>1334</v>
      </c>
      <c r="K30" t="s">
        <v>1335</v>
      </c>
      <c r="L30">
        <v>68</v>
      </c>
      <c r="O30" s="36" t="s">
        <v>1339</v>
      </c>
      <c r="P30" t="s">
        <v>1088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1"/>
  <sheetViews>
    <sheetView zoomScale="85" zoomScaleNormal="85" workbookViewId="0">
      <selection activeCell="B31" sqref="B31"/>
    </sheetView>
  </sheetViews>
  <sheetFormatPr defaultRowHeight="14.5" x14ac:dyDescent="0.35"/>
  <cols>
    <col min="1" max="1" width="21.81640625" customWidth="1"/>
    <col min="2" max="2" width="77.6328125" customWidth="1"/>
    <col min="3" max="3" width="23.26953125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6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5" t="s">
        <v>491</v>
      </c>
      <c r="O1" s="1" t="s">
        <v>1096</v>
      </c>
      <c r="P1" s="1" t="s">
        <v>25</v>
      </c>
      <c r="Q1" s="1" t="s">
        <v>782</v>
      </c>
      <c r="R1" s="47" t="s">
        <v>1064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225</v>
      </c>
      <c r="B3" s="2" t="s">
        <v>226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227</v>
      </c>
      <c r="H3" s="2"/>
      <c r="I3" s="2"/>
      <c r="J3" s="2"/>
      <c r="K3" s="2"/>
      <c r="L3" s="2"/>
      <c r="M3" s="2"/>
      <c r="N3" s="16">
        <v>33</v>
      </c>
      <c r="O3" s="2" t="s">
        <v>1107</v>
      </c>
      <c r="P3" s="2" t="str">
        <f t="shared" ref="P3:P13" si="2">CONCATENATE(N3, " мк")</f>
        <v>33 мк</v>
      </c>
    </row>
    <row r="4" spans="1:18" x14ac:dyDescent="0.35">
      <c r="A4" s="2" t="s">
        <v>490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492</v>
      </c>
      <c r="H4" s="2"/>
      <c r="I4" s="2"/>
      <c r="J4" s="2"/>
      <c r="K4" s="2"/>
      <c r="L4" s="2"/>
      <c r="M4" s="2"/>
      <c r="N4" s="16">
        <v>68</v>
      </c>
      <c r="O4" s="2" t="s">
        <v>1108</v>
      </c>
      <c r="P4" s="2" t="str">
        <f t="shared" si="2"/>
        <v>68 мк</v>
      </c>
    </row>
    <row r="5" spans="1:18" x14ac:dyDescent="0.35">
      <c r="A5" t="s">
        <v>521</v>
      </c>
      <c r="B5" t="s">
        <v>522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523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6">
        <v>4.7</v>
      </c>
      <c r="O5" s="2" t="s">
        <v>1109</v>
      </c>
      <c r="P5" t="str">
        <f t="shared" si="2"/>
        <v>4,7 мк</v>
      </c>
    </row>
    <row r="6" spans="1:18" x14ac:dyDescent="0.35">
      <c r="A6" t="s">
        <v>548</v>
      </c>
      <c r="B6" t="s">
        <v>549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227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6">
        <v>22</v>
      </c>
      <c r="O6" s="2" t="s">
        <v>1099</v>
      </c>
      <c r="P6" t="str">
        <f t="shared" si="2"/>
        <v>22 мк</v>
      </c>
    </row>
    <row r="7" spans="1:18" x14ac:dyDescent="0.35">
      <c r="A7" t="s">
        <v>605</v>
      </c>
      <c r="B7" t="s">
        <v>687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606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6">
        <v>22</v>
      </c>
      <c r="O7" s="2" t="s">
        <v>1110</v>
      </c>
      <c r="P7" t="str">
        <f t="shared" si="2"/>
        <v>22 мк</v>
      </c>
    </row>
    <row r="8" spans="1:18" x14ac:dyDescent="0.35">
      <c r="A8" t="s">
        <v>688</v>
      </c>
      <c r="B8" t="s">
        <v>686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685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6">
        <v>0.33</v>
      </c>
      <c r="O8" s="2" t="s">
        <v>1111</v>
      </c>
      <c r="P8" t="str">
        <f t="shared" si="2"/>
        <v>0,33 мк</v>
      </c>
    </row>
    <row r="9" spans="1:18" x14ac:dyDescent="0.35">
      <c r="A9" t="s">
        <v>695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696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6">
        <v>68</v>
      </c>
      <c r="O9" s="2" t="s">
        <v>1112</v>
      </c>
      <c r="P9" s="2" t="str">
        <f t="shared" si="2"/>
        <v>68 мк</v>
      </c>
    </row>
    <row r="10" spans="1:18" x14ac:dyDescent="0.35">
      <c r="A10" t="s">
        <v>698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699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6">
        <v>12</v>
      </c>
      <c r="O10" t="s">
        <v>1110</v>
      </c>
      <c r="P10" s="2" t="str">
        <f t="shared" si="2"/>
        <v>12 мк</v>
      </c>
    </row>
    <row r="11" spans="1:18" x14ac:dyDescent="0.35">
      <c r="A11" t="s">
        <v>734</v>
      </c>
      <c r="B11" t="s">
        <v>735</v>
      </c>
      <c r="C11" t="s">
        <v>775</v>
      </c>
      <c r="D11" s="2" t="s">
        <v>736</v>
      </c>
      <c r="E11" s="2" t="s">
        <v>734</v>
      </c>
      <c r="F11" s="2" t="str">
        <f t="shared" si="12"/>
        <v>Footprints\Inductance\M20VN.PcbLib</v>
      </c>
      <c r="G11" s="2" t="s">
        <v>734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6">
        <v>1.2</v>
      </c>
      <c r="O11" t="s">
        <v>1111</v>
      </c>
      <c r="P11" t="s">
        <v>737</v>
      </c>
      <c r="R11" t="s">
        <v>1065</v>
      </c>
    </row>
    <row r="12" spans="1:18" x14ac:dyDescent="0.35">
      <c r="A12" t="s">
        <v>746</v>
      </c>
      <c r="B12" t="s">
        <v>747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227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6">
        <v>47</v>
      </c>
      <c r="O12" t="s">
        <v>1113</v>
      </c>
      <c r="P12" s="2" t="str">
        <f t="shared" si="2"/>
        <v>47 мк</v>
      </c>
    </row>
    <row r="13" spans="1:18" x14ac:dyDescent="0.35">
      <c r="A13" t="s">
        <v>748</v>
      </c>
      <c r="B13" t="s">
        <v>752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227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6">
        <v>100</v>
      </c>
      <c r="O13" t="s">
        <v>1113</v>
      </c>
      <c r="P13" s="2" t="str">
        <f t="shared" si="2"/>
        <v>100 мк</v>
      </c>
    </row>
    <row r="14" spans="1:18" x14ac:dyDescent="0.35">
      <c r="A14" t="s">
        <v>768</v>
      </c>
      <c r="B14" t="s">
        <v>770</v>
      </c>
      <c r="C14" t="str">
        <f t="shared" si="11"/>
        <v>HV_trans</v>
      </c>
      <c r="D14" s="2" t="s">
        <v>769</v>
      </c>
      <c r="E14" s="2" t="s">
        <v>768</v>
      </c>
      <c r="F14" s="2" t="str">
        <f t="shared" si="12"/>
        <v>Footprints\Inductance\EE16_transformer.PcbLib</v>
      </c>
      <c r="G14" s="2" t="s">
        <v>771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1114</v>
      </c>
      <c r="P14">
        <f>N14</f>
        <v>0</v>
      </c>
      <c r="R14" t="s">
        <v>1065</v>
      </c>
    </row>
    <row r="15" spans="1:18" x14ac:dyDescent="0.35">
      <c r="A15" t="s">
        <v>913</v>
      </c>
      <c r="B15" t="s">
        <v>914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936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6">
        <v>15</v>
      </c>
      <c r="O15" t="s">
        <v>1115</v>
      </c>
      <c r="P15" t="s">
        <v>463</v>
      </c>
    </row>
    <row r="16" spans="1:18" x14ac:dyDescent="0.35">
      <c r="A16" t="s">
        <v>960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699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6">
        <v>1</v>
      </c>
      <c r="O16" t="s">
        <v>1116</v>
      </c>
      <c r="P16" t="s">
        <v>428</v>
      </c>
    </row>
    <row r="17" spans="1:18" x14ac:dyDescent="0.35">
      <c r="A17" t="s">
        <v>961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6">
        <v>330</v>
      </c>
      <c r="O17" t="s">
        <v>1117</v>
      </c>
      <c r="P17" t="s">
        <v>471</v>
      </c>
    </row>
    <row r="18" spans="1:18" x14ac:dyDescent="0.35">
      <c r="A18" t="s">
        <v>990</v>
      </c>
      <c r="B18" t="s">
        <v>991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992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6">
        <v>15</v>
      </c>
      <c r="O18" t="s">
        <v>1118</v>
      </c>
      <c r="P18" t="s">
        <v>463</v>
      </c>
    </row>
    <row r="19" spans="1:18" x14ac:dyDescent="0.35">
      <c r="A19" t="s">
        <v>1032</v>
      </c>
      <c r="B19" t="s">
        <v>1033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606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6">
        <v>4.7</v>
      </c>
      <c r="O19" t="s">
        <v>1119</v>
      </c>
      <c r="P19" t="str">
        <f t="shared" ref="P19:P25" si="23">CONCATENATE(N19, " мк")</f>
        <v>4,7 мк</v>
      </c>
      <c r="R19" t="s">
        <v>1065</v>
      </c>
    </row>
    <row r="20" spans="1:18" x14ac:dyDescent="0.35">
      <c r="A20" t="s">
        <v>1034</v>
      </c>
      <c r="B20" t="s">
        <v>1035</v>
      </c>
      <c r="C20" t="str">
        <f t="shared" si="21"/>
        <v>CDRH6D12NP-2R2NC</v>
      </c>
      <c r="D20" s="2" t="s">
        <v>1036</v>
      </c>
      <c r="E20" s="2" t="s">
        <v>1037</v>
      </c>
      <c r="F20" s="2" t="str">
        <f t="shared" ref="F20:F26" si="24">CONCATENATE("Footprints\Inductance\",G20,".PcbLib")</f>
        <v>Footprints\Inductance\CDRH6D12.PcbLib</v>
      </c>
      <c r="G20" s="2" t="s">
        <v>1038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6">
        <v>2.2000000000000002</v>
      </c>
      <c r="O20" t="s">
        <v>1119</v>
      </c>
      <c r="P20" t="str">
        <f t="shared" si="23"/>
        <v>2,2 мк</v>
      </c>
      <c r="R20" t="s">
        <v>1065</v>
      </c>
    </row>
    <row r="21" spans="1:18" x14ac:dyDescent="0.35">
      <c r="A21" t="s">
        <v>1136</v>
      </c>
      <c r="B21" t="s">
        <v>1137</v>
      </c>
      <c r="C21" t="str">
        <f t="shared" si="21"/>
        <v>GP2426SR</v>
      </c>
      <c r="D21" s="2" t="s">
        <v>1138</v>
      </c>
      <c r="E21" s="2" t="s">
        <v>1139</v>
      </c>
      <c r="F21" s="2" t="str">
        <f t="shared" si="24"/>
        <v>Footprints\Inductance\GP2426SR.PcbLib</v>
      </c>
      <c r="G21" t="s">
        <v>1136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6">
        <v>0</v>
      </c>
      <c r="O21" t="s">
        <v>1140</v>
      </c>
      <c r="P21" t="s">
        <v>1141</v>
      </c>
      <c r="R21" t="s">
        <v>1065</v>
      </c>
    </row>
    <row r="22" spans="1:18" x14ac:dyDescent="0.35">
      <c r="A22" t="s">
        <v>1162</v>
      </c>
      <c r="B22" t="s">
        <v>1163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699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6">
        <v>2.2000000000000002</v>
      </c>
      <c r="O22" t="s">
        <v>1168</v>
      </c>
      <c r="P22" t="str">
        <f t="shared" si="23"/>
        <v>2,2 мк</v>
      </c>
      <c r="Q22" t="s">
        <v>1170</v>
      </c>
      <c r="R22" t="s">
        <v>1065</v>
      </c>
    </row>
    <row r="23" spans="1:18" x14ac:dyDescent="0.35">
      <c r="A23" t="s">
        <v>1164</v>
      </c>
      <c r="B23" t="s">
        <v>1165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1166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6">
        <v>2.2000000000000002</v>
      </c>
      <c r="O23" t="s">
        <v>1167</v>
      </c>
      <c r="P23" t="str">
        <f t="shared" si="23"/>
        <v>2,2 мк</v>
      </c>
      <c r="Q23" t="s">
        <v>1169</v>
      </c>
      <c r="R23" t="s">
        <v>1065</v>
      </c>
    </row>
    <row r="24" spans="1:18" x14ac:dyDescent="0.35">
      <c r="A24" t="s">
        <v>1217</v>
      </c>
      <c r="B24" t="s">
        <v>1218</v>
      </c>
      <c r="C24" t="str">
        <f>A24</f>
        <v>B78476A8065A003</v>
      </c>
      <c r="D24" s="2" t="s">
        <v>1219</v>
      </c>
      <c r="E24" t="s">
        <v>1217</v>
      </c>
      <c r="F24" s="2" t="str">
        <f t="shared" si="24"/>
        <v>Footprints\Inductance\B78476A8065A003.PcbLib</v>
      </c>
      <c r="G24" s="2" t="s">
        <v>1217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6">
        <v>0</v>
      </c>
      <c r="O24" t="s">
        <v>1140</v>
      </c>
      <c r="P24" t="s">
        <v>1141</v>
      </c>
      <c r="Q24" t="s">
        <v>1220</v>
      </c>
      <c r="R24" t="s">
        <v>1065</v>
      </c>
    </row>
    <row r="25" spans="1:18" x14ac:dyDescent="0.35">
      <c r="A25" t="s">
        <v>1243</v>
      </c>
      <c r="B25" t="s">
        <v>1244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1242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6">
        <v>15</v>
      </c>
      <c r="O25" t="s">
        <v>1246</v>
      </c>
      <c r="P25" t="str">
        <f t="shared" si="23"/>
        <v>15 мк</v>
      </c>
      <c r="Q25" t="s">
        <v>1245</v>
      </c>
      <c r="R25" t="s">
        <v>1065</v>
      </c>
    </row>
    <row r="26" spans="1:18" x14ac:dyDescent="0.35">
      <c r="A26" t="s">
        <v>1247</v>
      </c>
      <c r="B26" t="s">
        <v>1248</v>
      </c>
      <c r="C26" t="str">
        <f t="shared" ref="C26" si="25">A26</f>
        <v>H5120NLT</v>
      </c>
      <c r="D26" s="2" t="s">
        <v>1250</v>
      </c>
      <c r="E26" s="2" t="s">
        <v>1249</v>
      </c>
      <c r="F26" s="2" t="str">
        <f t="shared" si="24"/>
        <v>Footprints\Inductance\H5120NLT.PcbLib</v>
      </c>
      <c r="G26" t="s">
        <v>1247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6">
        <v>0</v>
      </c>
      <c r="O26" t="s">
        <v>1140</v>
      </c>
      <c r="P26" t="s">
        <v>1141</v>
      </c>
      <c r="Q26" t="s">
        <v>1251</v>
      </c>
      <c r="R26" t="s">
        <v>1065</v>
      </c>
    </row>
    <row r="27" spans="1:18" x14ac:dyDescent="0.35">
      <c r="A27" t="s">
        <v>1253</v>
      </c>
      <c r="B27" s="2" t="s">
        <v>1254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227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6">
        <v>15</v>
      </c>
      <c r="O27" t="s">
        <v>1255</v>
      </c>
      <c r="P27" s="2" t="str">
        <f t="shared" ref="P27" si="29">CONCATENATE(N27, " мк")</f>
        <v>15 мк</v>
      </c>
      <c r="Q27" t="s">
        <v>1256</v>
      </c>
      <c r="R27" t="s">
        <v>1065</v>
      </c>
    </row>
    <row r="28" spans="1:18" x14ac:dyDescent="0.35">
      <c r="A28" t="s">
        <v>1276</v>
      </c>
      <c r="B28" t="s">
        <v>1277</v>
      </c>
      <c r="C28" t="str">
        <f>A28</f>
        <v>Transformer_RM8</v>
      </c>
      <c r="D28" s="2" t="s">
        <v>1280</v>
      </c>
      <c r="E28" s="2" t="s">
        <v>1276</v>
      </c>
      <c r="F28" s="2" t="str">
        <f>CONCATENATE("Footprints\Inductance\",G28,".PcbLib")</f>
        <v>Footprints\Inductance\RM8_trans.PcbLib</v>
      </c>
      <c r="G28" s="2" t="s">
        <v>1278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6" t="s">
        <v>1279</v>
      </c>
      <c r="R28" t="s">
        <v>1088</v>
      </c>
    </row>
    <row r="29" spans="1:18" x14ac:dyDescent="0.35">
      <c r="A29" t="s">
        <v>1281</v>
      </c>
      <c r="B29" t="s">
        <v>1282</v>
      </c>
      <c r="C29" t="str">
        <f>A29</f>
        <v>Inductance_RM8</v>
      </c>
      <c r="D29" s="2" t="s">
        <v>1283</v>
      </c>
      <c r="E29" t="s">
        <v>1281</v>
      </c>
      <c r="F29" s="2" t="str">
        <f>CONCATENATE("Footprints\Inductance\",G29,".PcbLib")</f>
        <v>Footprints\Inductance\RM8_trans.PcbLib</v>
      </c>
      <c r="G29" s="2" t="s">
        <v>1278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6" t="s">
        <v>1279</v>
      </c>
      <c r="R29" t="s">
        <v>1088</v>
      </c>
    </row>
    <row r="30" spans="1:18" x14ac:dyDescent="0.35">
      <c r="A30" t="s">
        <v>1299</v>
      </c>
      <c r="B30" t="s">
        <v>1300</v>
      </c>
      <c r="C30" t="str">
        <f>A30</f>
        <v>BLM18AG102SN1D</v>
      </c>
      <c r="D30" s="2" t="s">
        <v>1302</v>
      </c>
      <c r="E30" s="2" t="s">
        <v>1301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6" t="s">
        <v>1303</v>
      </c>
      <c r="R30" t="s">
        <v>1088</v>
      </c>
    </row>
    <row r="31" spans="1:18" x14ac:dyDescent="0.35">
      <c r="A31" t="s">
        <v>1378</v>
      </c>
      <c r="B31" t="s">
        <v>1379</v>
      </c>
      <c r="C31" t="str">
        <f>A31</f>
        <v>B82464A4103M000</v>
      </c>
      <c r="D31" s="2"/>
      <c r="E31" s="2"/>
      <c r="F31" s="2" t="str">
        <f>CONCATENATE("Footprints\Inductance\",G31,".PcbLib")</f>
        <v>Footprints\Inductance\.PcbLib</v>
      </c>
      <c r="G31" s="2"/>
      <c r="H31" s="2" t="str">
        <f>CONCATENATE("Footprints\Inductance\",I31,".PcbLib")</f>
        <v>Footprints\Inductance\.PcbLib</v>
      </c>
      <c r="I31" s="2"/>
      <c r="J31" s="2" t="str">
        <f>CONCATENATE("Footprints\Inductance\",K31,".PcbLib")</f>
        <v>Footprints\Inductance\.PcbLib</v>
      </c>
      <c r="K31" s="2"/>
      <c r="L31" s="2" t="str">
        <f>CONCATENATE("Footprints\Inductance\",M31,".PcbLib")</f>
        <v>Footprints\Inductance\.PcbLib</v>
      </c>
      <c r="M31" s="2"/>
      <c r="P31" t="s">
        <v>462</v>
      </c>
      <c r="R31" t="s">
        <v>1375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356</v>
      </c>
      <c r="K1" s="1" t="s">
        <v>1096</v>
      </c>
      <c r="L1" s="1" t="s">
        <v>782</v>
      </c>
      <c r="M1" s="47" t="s">
        <v>1064</v>
      </c>
      <c r="N1" s="15"/>
      <c r="O1" s="1"/>
      <c r="P1" s="1"/>
      <c r="Q1" s="1"/>
    </row>
    <row r="2" spans="1:17" ht="15.5" x14ac:dyDescent="0.35">
      <c r="A2" s="19" t="s">
        <v>757</v>
      </c>
      <c r="B2" s="20" t="s">
        <v>758</v>
      </c>
      <c r="C2" s="18" t="str">
        <f>A2</f>
        <v>TS820-600B-TR</v>
      </c>
      <c r="D2" s="20" t="s">
        <v>760</v>
      </c>
      <c r="E2" s="20" t="s">
        <v>759</v>
      </c>
      <c r="F2" s="18" t="str">
        <f t="shared" ref="F2" si="0">CONCATENATE("Footprints\",G2,".PcbLib")</f>
        <v>Footprints\DPAK.PcbLib</v>
      </c>
      <c r="G2" s="20" t="s">
        <v>6</v>
      </c>
      <c r="H2" s="18"/>
      <c r="I2" s="18"/>
      <c r="J2" s="18" t="s">
        <v>761</v>
      </c>
      <c r="K2" s="24" t="s">
        <v>762</v>
      </c>
      <c r="L2" s="24"/>
      <c r="M2" s="2" t="s">
        <v>1065</v>
      </c>
      <c r="N2" s="16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6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6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6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6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6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6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6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6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6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6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6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6"/>
    </row>
    <row r="22" spans="14:14" x14ac:dyDescent="0.35">
      <c r="N22" s="16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4.5" x14ac:dyDescent="0.35"/>
  <cols>
    <col min="1" max="1" width="14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6.632812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  <col min="15" max="15" width="11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782</v>
      </c>
      <c r="P1" s="47" t="s">
        <v>1064</v>
      </c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842</v>
      </c>
      <c r="L2" s="2" t="str">
        <f t="shared" ref="L2:L25" si="0">CONCATENATE("Footprints\",M2,".PcbLib")</f>
        <v>Footprints\.PcbLib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837</v>
      </c>
      <c r="I3" s="2" t="s">
        <v>836</v>
      </c>
      <c r="J3" s="2"/>
      <c r="K3" s="2"/>
      <c r="L3" s="2" t="str">
        <f t="shared" si="0"/>
        <v>Footprints\.PcbLib</v>
      </c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1066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5">
      <c r="A6" s="2" t="s">
        <v>259</v>
      </c>
      <c r="B6" s="2" t="s">
        <v>261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260</v>
      </c>
      <c r="H6" s="2" t="str">
        <f t="shared" si="1"/>
        <v>Footprints\1206SB.PcbLib</v>
      </c>
      <c r="I6" s="2" t="s">
        <v>652</v>
      </c>
      <c r="J6" s="2" t="str">
        <f t="shared" ref="J6" si="2">CONCATENATE("Footprints\",K6,".PcbLib")</f>
        <v>Footprints\0805SB_wide_gap.PcbLib</v>
      </c>
      <c r="K6" s="2" t="s">
        <v>700</v>
      </c>
      <c r="L6" s="2" t="str">
        <f t="shared" si="0"/>
        <v>Footprints\0603SB.PcbLib</v>
      </c>
      <c r="M6" s="2" t="s">
        <v>1208</v>
      </c>
      <c r="P6" t="s">
        <v>1065</v>
      </c>
    </row>
    <row r="7" spans="1:20" x14ac:dyDescent="0.35">
      <c r="A7" s="2" t="s">
        <v>532</v>
      </c>
      <c r="B7" s="2" t="s">
        <v>533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534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1065</v>
      </c>
    </row>
    <row r="8" spans="1:20" x14ac:dyDescent="0.35">
      <c r="A8" s="2" t="s">
        <v>556</v>
      </c>
      <c r="B8" s="2" t="s">
        <v>555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534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1065</v>
      </c>
    </row>
    <row r="9" spans="1:20" x14ac:dyDescent="0.35">
      <c r="A9" s="2" t="s">
        <v>568</v>
      </c>
      <c r="B9" s="2" t="s">
        <v>566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567</v>
      </c>
      <c r="F9" s="2" t="str">
        <f t="shared" si="1"/>
        <v>Footprints\fuse_20x5_on_clips_FC-M.PcbLib</v>
      </c>
      <c r="G9" s="2" t="s">
        <v>565</v>
      </c>
      <c r="H9" s="2"/>
      <c r="I9" s="2"/>
      <c r="J9" s="2"/>
      <c r="K9" s="2"/>
      <c r="L9" s="2" t="str">
        <f t="shared" si="0"/>
        <v>Footprints\.PcbLib</v>
      </c>
      <c r="P9" t="s">
        <v>1065</v>
      </c>
    </row>
    <row r="10" spans="1:20" x14ac:dyDescent="0.35">
      <c r="A10" s="2" t="s">
        <v>610</v>
      </c>
      <c r="B10" s="2" t="s">
        <v>611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610</v>
      </c>
      <c r="H10" s="2"/>
      <c r="I10" s="2"/>
      <c r="J10" s="2"/>
      <c r="K10" s="2"/>
      <c r="L10" s="2" t="str">
        <f t="shared" si="0"/>
        <v>Footprints\.PcbLib</v>
      </c>
      <c r="P10" t="s">
        <v>1065</v>
      </c>
    </row>
    <row r="11" spans="1:20" x14ac:dyDescent="0.35">
      <c r="A11" s="2" t="s">
        <v>641</v>
      </c>
      <c r="B11" s="2" t="s">
        <v>642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641</v>
      </c>
      <c r="H11" s="2"/>
      <c r="I11" s="2"/>
      <c r="J11" s="2"/>
      <c r="K11" s="2"/>
      <c r="L11" s="2" t="str">
        <f t="shared" si="0"/>
        <v>Footprints\.PcbLib</v>
      </c>
      <c r="P11" t="s">
        <v>1065</v>
      </c>
    </row>
    <row r="12" spans="1:20" x14ac:dyDescent="0.35">
      <c r="A12" s="2" t="s">
        <v>689</v>
      </c>
      <c r="B12" s="2" t="s">
        <v>690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641</v>
      </c>
      <c r="F12" s="2" t="str">
        <f t="shared" ref="F12" si="5">CONCATENATE("Footprints\",G12,".PcbLib")</f>
        <v>Footprints\cooler3030.PcbLib</v>
      </c>
      <c r="G12" s="2" t="s">
        <v>689</v>
      </c>
      <c r="H12" s="2"/>
      <c r="I12" s="2"/>
      <c r="J12" s="2"/>
      <c r="K12" s="2"/>
      <c r="L12" s="2" t="str">
        <f t="shared" si="0"/>
        <v>Footprints\.PcbLib</v>
      </c>
      <c r="P12" t="s">
        <v>1065</v>
      </c>
    </row>
    <row r="13" spans="1:20" x14ac:dyDescent="0.35">
      <c r="A13" s="2" t="s">
        <v>809</v>
      </c>
      <c r="B13" s="2" t="s">
        <v>811</v>
      </c>
      <c r="C13" s="2" t="s">
        <v>810</v>
      </c>
      <c r="D13" t="s">
        <v>812</v>
      </c>
      <c r="E13" s="2" t="s">
        <v>813</v>
      </c>
      <c r="F13" s="2" t="s">
        <v>808</v>
      </c>
      <c r="G13" s="2" t="s">
        <v>807</v>
      </c>
      <c r="H13" s="2"/>
      <c r="I13" s="2"/>
      <c r="J13" s="2"/>
      <c r="K13" s="2"/>
      <c r="L13" s="2" t="str">
        <f t="shared" si="0"/>
        <v>Footprints\.PcbLib</v>
      </c>
      <c r="O13" s="21" t="s">
        <v>814</v>
      </c>
      <c r="P13" t="s">
        <v>1065</v>
      </c>
    </row>
    <row r="14" spans="1:20" x14ac:dyDescent="0.35">
      <c r="A14" t="s">
        <v>815</v>
      </c>
      <c r="B14" t="s">
        <v>817</v>
      </c>
      <c r="C14" t="s">
        <v>816</v>
      </c>
      <c r="D14" t="s">
        <v>812</v>
      </c>
      <c r="E14" s="2" t="s">
        <v>813</v>
      </c>
      <c r="F14" s="2" t="str">
        <f t="shared" ref="F14:F15" si="6">CONCATENATE("Footprints\",G14,".PcbLib")</f>
        <v>Footprints\spacer_m2.5_h16.PcbLib</v>
      </c>
      <c r="G14" t="s">
        <v>815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1065</v>
      </c>
    </row>
    <row r="15" spans="1:20" x14ac:dyDescent="0.35">
      <c r="A15" t="s">
        <v>838</v>
      </c>
      <c r="B15" t="s">
        <v>839</v>
      </c>
      <c r="C15" t="str">
        <f>A15</f>
        <v>CR2032-VAY3-15.2</v>
      </c>
      <c r="D15" t="s">
        <v>840</v>
      </c>
      <c r="E15" t="s">
        <v>841</v>
      </c>
      <c r="F15" s="2" t="str">
        <f t="shared" si="6"/>
        <v>Footprints\CR2032-VAY3-15.2.PcbLib</v>
      </c>
      <c r="G15" t="s">
        <v>838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1065</v>
      </c>
    </row>
    <row r="16" spans="1:20" x14ac:dyDescent="0.35">
      <c r="A16" t="s">
        <v>866</v>
      </c>
      <c r="B16" t="s">
        <v>867</v>
      </c>
      <c r="C16" t="s">
        <v>868</v>
      </c>
      <c r="D16" t="str">
        <f t="shared" ref="D16" si="7">CONCATENATE("Schematic\",A16,".SchLib")</f>
        <v>Schematic\4WayDIP.SchLib</v>
      </c>
      <c r="E16" t="s">
        <v>869</v>
      </c>
      <c r="F16" t="s">
        <v>870</v>
      </c>
      <c r="G16" t="s">
        <v>871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5">
      <c r="A17" t="s">
        <v>1013</v>
      </c>
      <c r="B17" t="s">
        <v>1014</v>
      </c>
      <c r="C17" t="str">
        <f>A17</f>
        <v>Button_DIP_12x12</v>
      </c>
      <c r="D17" t="s">
        <v>1015</v>
      </c>
      <c r="E17" s="2" t="s">
        <v>54</v>
      </c>
      <c r="F17" t="s">
        <v>1016</v>
      </c>
      <c r="G17" t="s">
        <v>1013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5">
      <c r="A18" t="s">
        <v>1051</v>
      </c>
      <c r="B18" t="s">
        <v>1052</v>
      </c>
      <c r="C18" t="str">
        <f>A18</f>
        <v>X322525MOB4SI</v>
      </c>
      <c r="D18" t="str">
        <f>CONCATENATE("Schematic\",E18,".SchLib")</f>
        <v>Schematic\XTAL_1-3_GND.SchLib</v>
      </c>
      <c r="E18" t="s">
        <v>1048</v>
      </c>
      <c r="F18" t="s">
        <v>1053</v>
      </c>
      <c r="G18" t="s">
        <v>1051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1049</v>
      </c>
      <c r="O18" t="s">
        <v>1050</v>
      </c>
      <c r="P18" t="s">
        <v>1065</v>
      </c>
    </row>
    <row r="19" spans="1:16" x14ac:dyDescent="0.35">
      <c r="A19" s="2" t="s">
        <v>1072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1072</v>
      </c>
      <c r="H19" s="2"/>
      <c r="I19" s="2"/>
      <c r="J19" s="2"/>
      <c r="K19" s="2"/>
      <c r="L19" s="2" t="str">
        <f t="shared" si="0"/>
        <v>Footprints\.PcbLib</v>
      </c>
      <c r="O19" t="s">
        <v>1087</v>
      </c>
      <c r="P19" t="s">
        <v>1088</v>
      </c>
    </row>
    <row r="20" spans="1:16" x14ac:dyDescent="0.35">
      <c r="A20" t="s">
        <v>1089</v>
      </c>
      <c r="B20" s="2" t="s">
        <v>1090</v>
      </c>
      <c r="C20" s="2" t="str">
        <f>A20</f>
        <v>SMT-NUT-M2H1.5</v>
      </c>
      <c r="D20" t="s">
        <v>812</v>
      </c>
      <c r="E20" s="2" t="s">
        <v>813</v>
      </c>
      <c r="F20" s="2" t="s">
        <v>808</v>
      </c>
      <c r="G20">
        <v>9774015151</v>
      </c>
      <c r="L20" s="2" t="str">
        <f t="shared" si="0"/>
        <v>Footprints\.PcbLib</v>
      </c>
      <c r="O20" s="21" t="s">
        <v>814</v>
      </c>
      <c r="P20" t="s">
        <v>1088</v>
      </c>
    </row>
    <row r="21" spans="1:16" x14ac:dyDescent="0.35">
      <c r="A21" t="s">
        <v>1171</v>
      </c>
      <c r="B21" t="s">
        <v>1172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1173</v>
      </c>
      <c r="L21" s="2" t="str">
        <f t="shared" si="0"/>
        <v>Footprints\.PcbLib</v>
      </c>
      <c r="N21" t="s">
        <v>1186</v>
      </c>
      <c r="P21" t="s">
        <v>1065</v>
      </c>
    </row>
    <row r="22" spans="1:16" x14ac:dyDescent="0.35">
      <c r="A22" t="s">
        <v>1174</v>
      </c>
      <c r="B22" t="s">
        <v>1177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1180</v>
      </c>
      <c r="L22" s="2" t="str">
        <f t="shared" si="0"/>
        <v>Footprints\.PcbLib</v>
      </c>
      <c r="N22" t="s">
        <v>1187</v>
      </c>
      <c r="P22" t="s">
        <v>1065</v>
      </c>
    </row>
    <row r="23" spans="1:16" x14ac:dyDescent="0.35">
      <c r="A23" t="s">
        <v>1175</v>
      </c>
      <c r="B23" t="s">
        <v>1178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1181</v>
      </c>
      <c r="L23" s="2" t="str">
        <f t="shared" si="0"/>
        <v>Footprints\.PcbLib</v>
      </c>
      <c r="N23" t="s">
        <v>1188</v>
      </c>
      <c r="P23" t="s">
        <v>1065</v>
      </c>
    </row>
    <row r="24" spans="1:16" x14ac:dyDescent="0.35">
      <c r="A24" t="s">
        <v>1176</v>
      </c>
      <c r="B24" t="s">
        <v>1179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1182</v>
      </c>
      <c r="L24" s="2" t="str">
        <f t="shared" si="0"/>
        <v>Footprints\.PcbLib</v>
      </c>
      <c r="N24" t="s">
        <v>1189</v>
      </c>
      <c r="P24" t="s">
        <v>1065</v>
      </c>
    </row>
    <row r="25" spans="1:16" x14ac:dyDescent="0.35">
      <c r="A25" s="49" t="s">
        <v>1183</v>
      </c>
      <c r="B25" t="s">
        <v>1190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1184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1185</v>
      </c>
      <c r="P25" t="s">
        <v>1065</v>
      </c>
    </row>
    <row r="26" spans="1:16" x14ac:dyDescent="0.35">
      <c r="A26" t="s">
        <v>1321</v>
      </c>
      <c r="B26" t="s">
        <v>1322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133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1323</v>
      </c>
    </row>
    <row r="27" spans="1:16" x14ac:dyDescent="0.35">
      <c r="A27" t="s">
        <v>1356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1356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1357</v>
      </c>
      <c r="P27" t="s">
        <v>1342</v>
      </c>
    </row>
    <row r="28" spans="1:16" x14ac:dyDescent="0.35">
      <c r="A28" t="s">
        <v>1358</v>
      </c>
      <c r="B28" t="s">
        <v>1359</v>
      </c>
      <c r="C28" t="str">
        <f t="shared" si="10"/>
        <v>L-KLS5-CR2032-03</v>
      </c>
      <c r="D28" t="s">
        <v>840</v>
      </c>
      <c r="E28" t="s">
        <v>841</v>
      </c>
      <c r="F28" t="str">
        <f t="shared" ref="F28" si="13">CONCATENATE("Footprints\",G28,".PcbLib")</f>
        <v>Footprints\L-KLS5-CR2032-03.PcbLib</v>
      </c>
      <c r="G28" t="s">
        <v>1358</v>
      </c>
      <c r="J28" t="str">
        <f t="shared" si="11"/>
        <v>Footprints\.PcbLib</v>
      </c>
      <c r="L28" s="2" t="str">
        <f t="shared" si="12"/>
        <v>Footprints\.PcbLib</v>
      </c>
      <c r="O28" t="s">
        <v>1360</v>
      </c>
      <c r="P28" t="s">
        <v>1342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9"/>
  <sheetViews>
    <sheetView topLeftCell="A45" zoomScale="85" zoomScaleNormal="85" workbookViewId="0">
      <selection activeCell="F63" sqref="F63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26.54296875" customWidth="1"/>
    <col min="6" max="6" width="58" customWidth="1"/>
    <col min="7" max="7" width="29.3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  <col min="12" max="12" width="15.179687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782</v>
      </c>
      <c r="K1" s="1" t="s">
        <v>805</v>
      </c>
      <c r="L1" s="47" t="s">
        <v>1064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235</v>
      </c>
      <c r="E2" s="2" t="s">
        <v>111</v>
      </c>
      <c r="F2" t="s">
        <v>236</v>
      </c>
      <c r="G2" s="2" t="s">
        <v>65</v>
      </c>
      <c r="K2" t="s">
        <v>806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237</v>
      </c>
      <c r="E3" s="2" t="s">
        <v>112</v>
      </c>
      <c r="F3" t="s">
        <v>238</v>
      </c>
      <c r="G3" s="2" t="s">
        <v>67</v>
      </c>
      <c r="K3" t="s">
        <v>806</v>
      </c>
    </row>
    <row r="4" spans="1:12" x14ac:dyDescent="0.35">
      <c r="A4" t="s">
        <v>710</v>
      </c>
      <c r="B4" t="s">
        <v>108</v>
      </c>
      <c r="C4" s="2" t="s">
        <v>710</v>
      </c>
      <c r="D4" t="s">
        <v>239</v>
      </c>
      <c r="E4" s="2" t="s">
        <v>113</v>
      </c>
      <c r="F4" t="s">
        <v>776</v>
      </c>
      <c r="G4" t="s">
        <v>107</v>
      </c>
      <c r="K4" t="s">
        <v>806</v>
      </c>
      <c r="L4" t="s">
        <v>1088</v>
      </c>
    </row>
    <row r="5" spans="1:12" x14ac:dyDescent="0.35">
      <c r="A5" t="s">
        <v>109</v>
      </c>
      <c r="B5" t="s">
        <v>110</v>
      </c>
      <c r="C5" s="2" t="s">
        <v>109</v>
      </c>
      <c r="D5" t="s">
        <v>240</v>
      </c>
      <c r="E5" s="2" t="s">
        <v>114</v>
      </c>
      <c r="F5" t="s">
        <v>241</v>
      </c>
      <c r="G5" t="s">
        <v>109</v>
      </c>
      <c r="K5" t="s">
        <v>806</v>
      </c>
      <c r="L5" t="s">
        <v>1088</v>
      </c>
    </row>
    <row r="6" spans="1:12" x14ac:dyDescent="0.35">
      <c r="A6" t="s">
        <v>115</v>
      </c>
      <c r="B6" t="s">
        <v>116</v>
      </c>
      <c r="C6" s="2" t="s">
        <v>115</v>
      </c>
      <c r="D6" t="s">
        <v>242</v>
      </c>
      <c r="E6" s="2" t="s">
        <v>117</v>
      </c>
      <c r="F6" t="s">
        <v>243</v>
      </c>
      <c r="G6" t="s">
        <v>115</v>
      </c>
      <c r="H6" t="s">
        <v>248</v>
      </c>
      <c r="I6" t="s">
        <v>224</v>
      </c>
      <c r="K6" t="s">
        <v>806</v>
      </c>
    </row>
    <row r="7" spans="1:12" x14ac:dyDescent="0.35">
      <c r="A7" t="s">
        <v>675</v>
      </c>
      <c r="B7" t="s">
        <v>118</v>
      </c>
      <c r="C7" s="2" t="s">
        <v>675</v>
      </c>
      <c r="D7" t="s">
        <v>489</v>
      </c>
      <c r="E7" s="2" t="s">
        <v>487</v>
      </c>
      <c r="F7" t="s">
        <v>676</v>
      </c>
      <c r="G7" t="s">
        <v>675</v>
      </c>
      <c r="K7" t="s">
        <v>806</v>
      </c>
      <c r="L7" t="s">
        <v>1065</v>
      </c>
    </row>
    <row r="8" spans="1:12" x14ac:dyDescent="0.35">
      <c r="A8" t="s">
        <v>221</v>
      </c>
      <c r="B8" t="s">
        <v>222</v>
      </c>
      <c r="C8" s="2" t="s">
        <v>221</v>
      </c>
      <c r="D8" t="s">
        <v>244</v>
      </c>
      <c r="E8" t="s">
        <v>119</v>
      </c>
      <c r="F8" t="s">
        <v>245</v>
      </c>
      <c r="G8" t="s">
        <v>221</v>
      </c>
      <c r="H8" t="s">
        <v>258</v>
      </c>
      <c r="I8" t="s">
        <v>246</v>
      </c>
      <c r="K8" t="s">
        <v>806</v>
      </c>
    </row>
    <row r="9" spans="1:12" x14ac:dyDescent="0.35">
      <c r="A9" t="s">
        <v>223</v>
      </c>
      <c r="B9" t="s">
        <v>486</v>
      </c>
      <c r="C9" s="2" t="s">
        <v>223</v>
      </c>
      <c r="D9" t="s">
        <v>674</v>
      </c>
      <c r="E9" t="s">
        <v>673</v>
      </c>
      <c r="F9" t="s">
        <v>247</v>
      </c>
      <c r="G9" t="s">
        <v>223</v>
      </c>
      <c r="K9" t="s">
        <v>806</v>
      </c>
      <c r="L9" t="s">
        <v>1065</v>
      </c>
    </row>
    <row r="10" spans="1:12" x14ac:dyDescent="0.35">
      <c r="A10" t="s">
        <v>233</v>
      </c>
      <c r="B10" t="s">
        <v>234</v>
      </c>
      <c r="C10" s="2" t="s">
        <v>233</v>
      </c>
      <c r="D10" t="s">
        <v>244</v>
      </c>
      <c r="E10" t="s">
        <v>119</v>
      </c>
      <c r="F10" t="s">
        <v>249</v>
      </c>
      <c r="G10" t="s">
        <v>233</v>
      </c>
      <c r="K10" t="s">
        <v>806</v>
      </c>
    </row>
    <row r="11" spans="1:12" x14ac:dyDescent="0.35">
      <c r="A11" t="s">
        <v>250</v>
      </c>
      <c r="B11" t="s">
        <v>251</v>
      </c>
      <c r="C11" s="2" t="s">
        <v>250</v>
      </c>
      <c r="D11" t="s">
        <v>252</v>
      </c>
      <c r="E11" t="s">
        <v>253</v>
      </c>
      <c r="F11" t="s">
        <v>254</v>
      </c>
      <c r="G11" t="s">
        <v>250</v>
      </c>
      <c r="K11" t="s">
        <v>806</v>
      </c>
      <c r="L11" t="s">
        <v>1065</v>
      </c>
    </row>
    <row r="12" spans="1:12" x14ac:dyDescent="0.35">
      <c r="A12" t="s">
        <v>255</v>
      </c>
      <c r="B12" t="s">
        <v>256</v>
      </c>
      <c r="C12" s="2" t="s">
        <v>255</v>
      </c>
      <c r="D12" t="s">
        <v>252</v>
      </c>
      <c r="E12" t="s">
        <v>253</v>
      </c>
      <c r="F12" t="s">
        <v>257</v>
      </c>
      <c r="G12" t="s">
        <v>255</v>
      </c>
      <c r="K12" t="s">
        <v>806</v>
      </c>
      <c r="L12" t="s">
        <v>1065</v>
      </c>
    </row>
    <row r="13" spans="1:12" x14ac:dyDescent="0.35">
      <c r="A13" t="s">
        <v>484</v>
      </c>
      <c r="B13" t="s">
        <v>485</v>
      </c>
      <c r="C13" s="2"/>
      <c r="D13" t="s">
        <v>489</v>
      </c>
      <c r="E13" t="s">
        <v>487</v>
      </c>
      <c r="F13" t="s">
        <v>488</v>
      </c>
      <c r="G13" t="s">
        <v>484</v>
      </c>
      <c r="K13" t="s">
        <v>806</v>
      </c>
    </row>
    <row r="14" spans="1:12" x14ac:dyDescent="0.35">
      <c r="A14" t="s">
        <v>513</v>
      </c>
      <c r="B14" t="s">
        <v>514</v>
      </c>
      <c r="C14" s="2" t="s">
        <v>515</v>
      </c>
      <c r="D14" t="s">
        <v>516</v>
      </c>
      <c r="E14" t="s">
        <v>515</v>
      </c>
      <c r="F14" t="s">
        <v>517</v>
      </c>
      <c r="G14" t="s">
        <v>515</v>
      </c>
      <c r="K14" t="s">
        <v>806</v>
      </c>
    </row>
    <row r="15" spans="1:12" x14ac:dyDescent="0.35">
      <c r="A15" t="s">
        <v>582</v>
      </c>
      <c r="B15" t="s">
        <v>585</v>
      </c>
      <c r="C15" s="2" t="s">
        <v>582</v>
      </c>
      <c r="D15" t="s">
        <v>583</v>
      </c>
      <c r="E15" t="s">
        <v>582</v>
      </c>
      <c r="F15" t="s">
        <v>584</v>
      </c>
      <c r="G15" t="s">
        <v>582</v>
      </c>
      <c r="K15" t="s">
        <v>806</v>
      </c>
    </row>
    <row r="16" spans="1:12" x14ac:dyDescent="0.35">
      <c r="A16" t="s">
        <v>627</v>
      </c>
      <c r="B16" t="s">
        <v>635</v>
      </c>
      <c r="C16" s="2" t="s">
        <v>628</v>
      </c>
      <c r="D16" t="s">
        <v>629</v>
      </c>
      <c r="E16" t="s">
        <v>627</v>
      </c>
      <c r="F16" t="s">
        <v>630</v>
      </c>
      <c r="G16" t="s">
        <v>627</v>
      </c>
      <c r="K16" t="s">
        <v>806</v>
      </c>
      <c r="L16" t="s">
        <v>1065</v>
      </c>
    </row>
    <row r="17" spans="1:12" x14ac:dyDescent="0.35">
      <c r="A17" t="s">
        <v>631</v>
      </c>
      <c r="B17" t="s">
        <v>634</v>
      </c>
      <c r="C17" s="2" t="s">
        <v>632</v>
      </c>
      <c r="D17" t="s">
        <v>633</v>
      </c>
      <c r="E17" t="s">
        <v>631</v>
      </c>
      <c r="F17" t="s">
        <v>636</v>
      </c>
      <c r="G17" t="s">
        <v>637</v>
      </c>
      <c r="K17" t="s">
        <v>806</v>
      </c>
      <c r="L17" t="s">
        <v>1065</v>
      </c>
    </row>
    <row r="18" spans="1:12" x14ac:dyDescent="0.35">
      <c r="A18" t="s">
        <v>638</v>
      </c>
      <c r="B18" t="s">
        <v>639</v>
      </c>
      <c r="C18" s="2" t="s">
        <v>638</v>
      </c>
      <c r="D18" t="s">
        <v>235</v>
      </c>
      <c r="E18" t="s">
        <v>111</v>
      </c>
      <c r="F18" t="s">
        <v>640</v>
      </c>
      <c r="G18" t="s">
        <v>638</v>
      </c>
      <c r="K18" t="s">
        <v>806</v>
      </c>
      <c r="L18" t="s">
        <v>1065</v>
      </c>
    </row>
    <row r="19" spans="1:12" x14ac:dyDescent="0.35">
      <c r="A19" t="s">
        <v>643</v>
      </c>
      <c r="B19" t="s">
        <v>647</v>
      </c>
      <c r="C19" s="2" t="s">
        <v>644</v>
      </c>
      <c r="D19" t="s">
        <v>645</v>
      </c>
      <c r="E19" t="s">
        <v>643</v>
      </c>
      <c r="F19" t="s">
        <v>646</v>
      </c>
      <c r="G19" t="s">
        <v>643</v>
      </c>
      <c r="K19" t="s">
        <v>806</v>
      </c>
      <c r="L19" t="s">
        <v>1065</v>
      </c>
    </row>
    <row r="20" spans="1:12" x14ac:dyDescent="0.35">
      <c r="A20" t="s">
        <v>650</v>
      </c>
      <c r="B20" t="s">
        <v>634</v>
      </c>
      <c r="C20" s="2" t="s">
        <v>651</v>
      </c>
      <c r="D20" t="s">
        <v>633</v>
      </c>
      <c r="E20" t="s">
        <v>631</v>
      </c>
      <c r="F20" t="s">
        <v>649</v>
      </c>
      <c r="G20" t="s">
        <v>648</v>
      </c>
      <c r="K20" t="s">
        <v>806</v>
      </c>
      <c r="L20" t="s">
        <v>1065</v>
      </c>
    </row>
    <row r="21" spans="1:12" x14ac:dyDescent="0.35">
      <c r="A21" t="s">
        <v>653</v>
      </c>
      <c r="B21" t="s">
        <v>657</v>
      </c>
      <c r="C21" s="2" t="s">
        <v>653</v>
      </c>
      <c r="D21" t="s">
        <v>242</v>
      </c>
      <c r="E21" t="s">
        <v>117</v>
      </c>
      <c r="F21" t="s">
        <v>654</v>
      </c>
      <c r="G21" t="s">
        <v>653</v>
      </c>
      <c r="K21" t="s">
        <v>806</v>
      </c>
      <c r="L21" t="s">
        <v>1065</v>
      </c>
    </row>
    <row r="22" spans="1:12" x14ac:dyDescent="0.35">
      <c r="A22" t="s">
        <v>656</v>
      </c>
      <c r="B22" t="s">
        <v>655</v>
      </c>
      <c r="C22" s="2" t="s">
        <v>656</v>
      </c>
      <c r="D22" t="s">
        <v>239</v>
      </c>
      <c r="E22" t="s">
        <v>113</v>
      </c>
      <c r="F22" t="s">
        <v>658</v>
      </c>
      <c r="G22" t="s">
        <v>656</v>
      </c>
      <c r="K22" t="s">
        <v>806</v>
      </c>
      <c r="L22" t="s">
        <v>1065</v>
      </c>
    </row>
    <row r="23" spans="1:12" x14ac:dyDescent="0.35">
      <c r="A23" t="s">
        <v>659</v>
      </c>
      <c r="B23" t="s">
        <v>660</v>
      </c>
      <c r="C23" s="2" t="s">
        <v>659</v>
      </c>
      <c r="D23" t="s">
        <v>240</v>
      </c>
      <c r="E23" t="s">
        <v>114</v>
      </c>
      <c r="F23" t="s">
        <v>661</v>
      </c>
      <c r="G23" t="s">
        <v>659</v>
      </c>
      <c r="K23" t="s">
        <v>806</v>
      </c>
      <c r="L23" t="s">
        <v>1065</v>
      </c>
    </row>
    <row r="24" spans="1:12" x14ac:dyDescent="0.35">
      <c r="A24" t="s">
        <v>663</v>
      </c>
      <c r="B24" t="s">
        <v>662</v>
      </c>
      <c r="C24" s="2" t="s">
        <v>663</v>
      </c>
      <c r="D24" t="s">
        <v>242</v>
      </c>
      <c r="E24" t="s">
        <v>117</v>
      </c>
      <c r="F24" t="s">
        <v>666</v>
      </c>
      <c r="G24" t="s">
        <v>663</v>
      </c>
      <c r="K24" t="s">
        <v>806</v>
      </c>
      <c r="L24" t="s">
        <v>1065</v>
      </c>
    </row>
    <row r="25" spans="1:12" x14ac:dyDescent="0.35">
      <c r="A25" t="s">
        <v>669</v>
      </c>
      <c r="B25" t="s">
        <v>672</v>
      </c>
      <c r="C25" s="2" t="s">
        <v>669</v>
      </c>
      <c r="D25" t="s">
        <v>239</v>
      </c>
      <c r="E25" t="s">
        <v>113</v>
      </c>
      <c r="F25" t="s">
        <v>667</v>
      </c>
      <c r="G25" t="s">
        <v>669</v>
      </c>
      <c r="K25" t="s">
        <v>806</v>
      </c>
      <c r="L25" t="s">
        <v>1065</v>
      </c>
    </row>
    <row r="26" spans="1:12" x14ac:dyDescent="0.35">
      <c r="A26" t="s">
        <v>670</v>
      </c>
      <c r="B26" t="s">
        <v>671</v>
      </c>
      <c r="C26" s="2" t="s">
        <v>670</v>
      </c>
      <c r="D26" t="s">
        <v>664</v>
      </c>
      <c r="E26" t="s">
        <v>665</v>
      </c>
      <c r="F26" t="s">
        <v>668</v>
      </c>
      <c r="G26" t="s">
        <v>670</v>
      </c>
      <c r="K26" t="s">
        <v>806</v>
      </c>
      <c r="L26" t="s">
        <v>1065</v>
      </c>
    </row>
    <row r="27" spans="1:12" x14ac:dyDescent="0.35">
      <c r="A27" t="s">
        <v>709</v>
      </c>
      <c r="B27" t="s">
        <v>708</v>
      </c>
      <c r="C27" s="2" t="s">
        <v>709</v>
      </c>
      <c r="D27" t="s">
        <v>244</v>
      </c>
      <c r="E27" s="2" t="s">
        <v>119</v>
      </c>
      <c r="F27" t="s">
        <v>776</v>
      </c>
      <c r="G27" t="s">
        <v>707</v>
      </c>
      <c r="K27" t="s">
        <v>806</v>
      </c>
      <c r="L27" t="s">
        <v>1065</v>
      </c>
    </row>
    <row r="28" spans="1:12" x14ac:dyDescent="0.35">
      <c r="A28" t="s">
        <v>777</v>
      </c>
      <c r="B28" t="s">
        <v>784</v>
      </c>
      <c r="C28" t="s">
        <v>777</v>
      </c>
      <c r="D28" t="s">
        <v>239</v>
      </c>
      <c r="E28" s="2" t="s">
        <v>113</v>
      </c>
      <c r="F28" t="s">
        <v>778</v>
      </c>
      <c r="G28" t="s">
        <v>779</v>
      </c>
      <c r="J28" t="s">
        <v>783</v>
      </c>
      <c r="K28" t="s">
        <v>806</v>
      </c>
      <c r="L28" t="s">
        <v>1065</v>
      </c>
    </row>
    <row r="29" spans="1:12" x14ac:dyDescent="0.35">
      <c r="A29" t="s">
        <v>780</v>
      </c>
      <c r="B29" t="s">
        <v>785</v>
      </c>
      <c r="C29" t="s">
        <v>780</v>
      </c>
      <c r="D29" t="s">
        <v>244</v>
      </c>
      <c r="E29" s="2" t="s">
        <v>119</v>
      </c>
      <c r="F29" t="s">
        <v>778</v>
      </c>
      <c r="G29" t="s">
        <v>781</v>
      </c>
      <c r="J29" t="s">
        <v>783</v>
      </c>
      <c r="K29" t="s">
        <v>806</v>
      </c>
      <c r="L29" t="s">
        <v>1065</v>
      </c>
    </row>
    <row r="30" spans="1:12" x14ac:dyDescent="0.35">
      <c r="A30" t="s">
        <v>787</v>
      </c>
      <c r="B30" t="s">
        <v>786</v>
      </c>
      <c r="C30" t="str">
        <f>Таблица9[[#This Row],[Part Number]]</f>
        <v>PBS-4</v>
      </c>
      <c r="D30" t="s">
        <v>239</v>
      </c>
      <c r="E30" s="2" t="s">
        <v>113</v>
      </c>
      <c r="F30" t="s">
        <v>791</v>
      </c>
      <c r="G30" t="s">
        <v>789</v>
      </c>
      <c r="J30" t="s">
        <v>792</v>
      </c>
      <c r="K30" t="s">
        <v>806</v>
      </c>
      <c r="L30" t="s">
        <v>1065</v>
      </c>
    </row>
    <row r="31" spans="1:12" x14ac:dyDescent="0.35">
      <c r="A31" t="s">
        <v>788</v>
      </c>
      <c r="B31" t="s">
        <v>786</v>
      </c>
      <c r="C31" t="str">
        <f>Таблица9[[#This Row],[Part Number]]</f>
        <v>PBS-2</v>
      </c>
      <c r="D31" t="s">
        <v>244</v>
      </c>
      <c r="E31" s="2" t="s">
        <v>119</v>
      </c>
      <c r="F31" t="s">
        <v>791</v>
      </c>
      <c r="G31" t="s">
        <v>790</v>
      </c>
      <c r="J31" t="s">
        <v>792</v>
      </c>
      <c r="K31" t="s">
        <v>806</v>
      </c>
      <c r="L31" t="s">
        <v>1065</v>
      </c>
    </row>
    <row r="32" spans="1:12" x14ac:dyDescent="0.35">
      <c r="A32" t="s">
        <v>802</v>
      </c>
      <c r="B32" t="s">
        <v>118</v>
      </c>
      <c r="C32" t="s">
        <v>802</v>
      </c>
      <c r="D32" t="s">
        <v>244</v>
      </c>
      <c r="E32" s="2" t="s">
        <v>119</v>
      </c>
      <c r="F32" t="s">
        <v>803</v>
      </c>
      <c r="G32" t="s">
        <v>802</v>
      </c>
      <c r="J32" t="s">
        <v>804</v>
      </c>
      <c r="K32" t="s">
        <v>806</v>
      </c>
      <c r="L32" t="s">
        <v>1065</v>
      </c>
    </row>
    <row r="33" spans="1:12" x14ac:dyDescent="0.35">
      <c r="A33" t="s">
        <v>818</v>
      </c>
      <c r="B33" t="s">
        <v>819</v>
      </c>
      <c r="C33" t="s">
        <v>818</v>
      </c>
      <c r="D33" t="s">
        <v>240</v>
      </c>
      <c r="E33" s="2" t="s">
        <v>114</v>
      </c>
      <c r="F33" t="s">
        <v>776</v>
      </c>
      <c r="G33" t="s">
        <v>820</v>
      </c>
      <c r="J33" t="s">
        <v>832</v>
      </c>
      <c r="K33" t="s">
        <v>806</v>
      </c>
      <c r="L33" t="s">
        <v>1065</v>
      </c>
    </row>
    <row r="34" spans="1:12" x14ac:dyDescent="0.35">
      <c r="A34" t="s">
        <v>821</v>
      </c>
      <c r="B34" t="s">
        <v>822</v>
      </c>
      <c r="C34" t="s">
        <v>821</v>
      </c>
      <c r="D34" t="s">
        <v>970</v>
      </c>
      <c r="E34" s="2" t="s">
        <v>971</v>
      </c>
      <c r="F34" t="s">
        <v>823</v>
      </c>
      <c r="G34" t="s">
        <v>824</v>
      </c>
      <c r="J34" t="s">
        <v>792</v>
      </c>
      <c r="K34" t="s">
        <v>806</v>
      </c>
      <c r="L34" t="s">
        <v>1065</v>
      </c>
    </row>
    <row r="35" spans="1:12" x14ac:dyDescent="0.35">
      <c r="A35" t="s">
        <v>1007</v>
      </c>
      <c r="B35" t="s">
        <v>822</v>
      </c>
      <c r="C35" t="s">
        <v>1007</v>
      </c>
      <c r="D35" t="s">
        <v>970</v>
      </c>
      <c r="E35" s="2" t="s">
        <v>971</v>
      </c>
      <c r="F35" t="s">
        <v>1008</v>
      </c>
      <c r="G35" t="s">
        <v>1009</v>
      </c>
      <c r="J35" s="36" t="s">
        <v>832</v>
      </c>
      <c r="K35" t="s">
        <v>806</v>
      </c>
      <c r="L35" t="s">
        <v>1065</v>
      </c>
    </row>
    <row r="36" spans="1:12" x14ac:dyDescent="0.35">
      <c r="A36" t="s">
        <v>825</v>
      </c>
      <c r="B36" t="s">
        <v>826</v>
      </c>
      <c r="C36" s="2" t="s">
        <v>827</v>
      </c>
      <c r="D36" t="s">
        <v>828</v>
      </c>
      <c r="E36" t="s">
        <v>829</v>
      </c>
      <c r="F36" t="s">
        <v>830</v>
      </c>
      <c r="G36" t="s">
        <v>825</v>
      </c>
      <c r="J36" t="s">
        <v>831</v>
      </c>
      <c r="K36" t="s">
        <v>806</v>
      </c>
      <c r="L36" t="s">
        <v>1065</v>
      </c>
    </row>
    <row r="37" spans="1:12" x14ac:dyDescent="0.35">
      <c r="A37" t="s">
        <v>833</v>
      </c>
      <c r="B37" t="s">
        <v>834</v>
      </c>
      <c r="C37" s="2" t="s">
        <v>833</v>
      </c>
      <c r="D37" t="s">
        <v>242</v>
      </c>
      <c r="E37" s="2" t="s">
        <v>117</v>
      </c>
      <c r="F37" t="s">
        <v>776</v>
      </c>
      <c r="G37" t="s">
        <v>835</v>
      </c>
      <c r="J37" t="s">
        <v>832</v>
      </c>
      <c r="K37" t="s">
        <v>806</v>
      </c>
      <c r="L37" t="s">
        <v>1065</v>
      </c>
    </row>
    <row r="38" spans="1:12" x14ac:dyDescent="0.35">
      <c r="A38" t="s">
        <v>872</v>
      </c>
      <c r="B38" t="s">
        <v>873</v>
      </c>
      <c r="C38" s="2" t="s">
        <v>872</v>
      </c>
      <c r="D38" t="s">
        <v>874</v>
      </c>
      <c r="E38" t="s">
        <v>872</v>
      </c>
      <c r="F38" t="s">
        <v>875</v>
      </c>
      <c r="G38" t="s">
        <v>872</v>
      </c>
      <c r="K38" t="s">
        <v>806</v>
      </c>
    </row>
    <row r="39" spans="1:12" x14ac:dyDescent="0.35">
      <c r="A39" t="s">
        <v>876</v>
      </c>
      <c r="B39" t="s">
        <v>877</v>
      </c>
      <c r="C39" s="2" t="s">
        <v>876</v>
      </c>
      <c r="D39" t="s">
        <v>878</v>
      </c>
      <c r="E39" t="s">
        <v>876</v>
      </c>
      <c r="F39" t="s">
        <v>879</v>
      </c>
      <c r="G39" t="s">
        <v>876</v>
      </c>
      <c r="K39" t="s">
        <v>806</v>
      </c>
    </row>
    <row r="40" spans="1:12" x14ac:dyDescent="0.35">
      <c r="A40" t="s">
        <v>1120</v>
      </c>
      <c r="B40" t="s">
        <v>1153</v>
      </c>
      <c r="C40" t="s">
        <v>1120</v>
      </c>
      <c r="D40" t="s">
        <v>1155</v>
      </c>
      <c r="E40" t="s">
        <v>1156</v>
      </c>
      <c r="F40" t="s">
        <v>881</v>
      </c>
      <c r="G40" t="s">
        <v>880</v>
      </c>
      <c r="H40" t="s">
        <v>1121</v>
      </c>
      <c r="I40" t="s">
        <v>1120</v>
      </c>
      <c r="J40" t="s">
        <v>1154</v>
      </c>
      <c r="K40" t="s">
        <v>806</v>
      </c>
      <c r="L40" t="s">
        <v>1065</v>
      </c>
    </row>
    <row r="41" spans="1:12" x14ac:dyDescent="0.35">
      <c r="A41" t="s">
        <v>882</v>
      </c>
      <c r="B41" t="s">
        <v>883</v>
      </c>
      <c r="C41" s="2" t="s">
        <v>884</v>
      </c>
      <c r="D41" t="s">
        <v>885</v>
      </c>
      <c r="E41" t="s">
        <v>886</v>
      </c>
      <c r="F41" t="s">
        <v>887</v>
      </c>
      <c r="G41" t="s">
        <v>888</v>
      </c>
      <c r="K41" t="s">
        <v>806</v>
      </c>
    </row>
    <row r="42" spans="1:12" x14ac:dyDescent="0.35">
      <c r="A42" s="2" t="s">
        <v>891</v>
      </c>
      <c r="B42" t="s">
        <v>889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892</v>
      </c>
      <c r="F42" t="str">
        <f>CONCATENATE("Footprints\Connectors\", G42, ".PcbLib")</f>
        <v>Footprints\Connectors\DF12(3.0)-32DP.PcbLib</v>
      </c>
      <c r="G42" t="s">
        <v>891</v>
      </c>
      <c r="K42" t="s">
        <v>806</v>
      </c>
      <c r="L42" t="s">
        <v>1088</v>
      </c>
    </row>
    <row r="43" spans="1:12" x14ac:dyDescent="0.35">
      <c r="A43" s="2" t="s">
        <v>890</v>
      </c>
      <c r="B43" t="s">
        <v>893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892</v>
      </c>
      <c r="F43" t="str">
        <f>CONCATENATE("Footprints\Connectors\", G43, ".PcbLib")</f>
        <v>Footprints\Connectors\DF12(3.0)-32DS.PcbLib</v>
      </c>
      <c r="G43" t="s">
        <v>890</v>
      </c>
      <c r="K43" t="s">
        <v>806</v>
      </c>
      <c r="L43" t="s">
        <v>1088</v>
      </c>
    </row>
    <row r="44" spans="1:12" x14ac:dyDescent="0.35">
      <c r="A44" t="s">
        <v>894</v>
      </c>
      <c r="B44" t="s">
        <v>895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896</v>
      </c>
      <c r="F44" t="str">
        <f t="shared" ref="F44:F46" si="2">CONCATENATE("Footprints\Connectors\", G44, ".PcbLib")</f>
        <v>Footprints\Connectors\DF40C-50DP.PcbLib</v>
      </c>
      <c r="G44" t="s">
        <v>894</v>
      </c>
      <c r="K44" t="s">
        <v>806</v>
      </c>
      <c r="L44" t="s">
        <v>1088</v>
      </c>
    </row>
    <row r="45" spans="1:12" x14ac:dyDescent="0.35">
      <c r="A45" t="s">
        <v>897</v>
      </c>
      <c r="B45" t="s">
        <v>898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896</v>
      </c>
      <c r="F45" t="str">
        <f t="shared" si="2"/>
        <v>Footprints\Connectors\DF40C-50DS.PcbLib</v>
      </c>
      <c r="G45" t="s">
        <v>897</v>
      </c>
      <c r="K45" t="s">
        <v>806</v>
      </c>
      <c r="L45" t="s">
        <v>1088</v>
      </c>
    </row>
    <row r="46" spans="1:12" x14ac:dyDescent="0.35">
      <c r="A46" t="s">
        <v>899</v>
      </c>
      <c r="B46" t="s">
        <v>898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896</v>
      </c>
      <c r="F46" t="str">
        <f t="shared" si="2"/>
        <v>Footprints\Connectors\DF40HC(4.0)-50DS.PcbLib</v>
      </c>
      <c r="G46" t="s">
        <v>899</v>
      </c>
      <c r="K46" t="s">
        <v>806</v>
      </c>
      <c r="L46" t="s">
        <v>1088</v>
      </c>
    </row>
    <row r="47" spans="1:12" x14ac:dyDescent="0.35">
      <c r="A47" t="s">
        <v>900</v>
      </c>
      <c r="B47" t="s">
        <v>901</v>
      </c>
      <c r="C47" s="2" t="str">
        <f t="shared" si="0"/>
        <v>PLS-6</v>
      </c>
      <c r="D47" t="str">
        <f t="shared" si="1"/>
        <v>Schematic\Connectors\Conn_6pin.SchLib</v>
      </c>
      <c r="E47" t="s">
        <v>902</v>
      </c>
      <c r="F47" t="s">
        <v>776</v>
      </c>
      <c r="G47" t="s">
        <v>903</v>
      </c>
      <c r="K47" t="s">
        <v>806</v>
      </c>
      <c r="L47" t="s">
        <v>1088</v>
      </c>
    </row>
    <row r="48" spans="1:12" x14ac:dyDescent="0.35">
      <c r="A48" t="s">
        <v>962</v>
      </c>
      <c r="B48" t="s">
        <v>963</v>
      </c>
      <c r="C48" s="2" t="s">
        <v>962</v>
      </c>
      <c r="D48" t="s">
        <v>242</v>
      </c>
      <c r="E48" s="2" t="s">
        <v>117</v>
      </c>
      <c r="F48" t="s">
        <v>964</v>
      </c>
      <c r="G48" t="s">
        <v>962</v>
      </c>
      <c r="K48" t="s">
        <v>806</v>
      </c>
      <c r="L48" t="s">
        <v>1088</v>
      </c>
    </row>
    <row r="49" spans="1:12" x14ac:dyDescent="0.35">
      <c r="A49" t="s">
        <v>965</v>
      </c>
      <c r="B49" t="s">
        <v>966</v>
      </c>
      <c r="C49" s="2" t="s">
        <v>965</v>
      </c>
      <c r="D49" t="s">
        <v>489</v>
      </c>
      <c r="E49" s="2" t="s">
        <v>487</v>
      </c>
      <c r="F49" t="s">
        <v>967</v>
      </c>
      <c r="G49" t="s">
        <v>965</v>
      </c>
      <c r="K49" t="s">
        <v>806</v>
      </c>
      <c r="L49" t="s">
        <v>1088</v>
      </c>
    </row>
    <row r="50" spans="1:12" x14ac:dyDescent="0.35">
      <c r="A50" t="s">
        <v>968</v>
      </c>
      <c r="B50" t="s">
        <v>969</v>
      </c>
      <c r="C50" s="2" t="s">
        <v>968</v>
      </c>
      <c r="D50" t="s">
        <v>970</v>
      </c>
      <c r="E50" s="2" t="s">
        <v>971</v>
      </c>
      <c r="F50" t="s">
        <v>972</v>
      </c>
      <c r="G50" t="s">
        <v>968</v>
      </c>
      <c r="K50" t="s">
        <v>806</v>
      </c>
      <c r="L50" t="s">
        <v>1088</v>
      </c>
    </row>
    <row r="51" spans="1:12" x14ac:dyDescent="0.35">
      <c r="A51" t="s">
        <v>974</v>
      </c>
      <c r="B51" t="s">
        <v>975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971</v>
      </c>
      <c r="F51" t="str">
        <f t="shared" ref="F51:F54" si="5">CONCATENATE("Footprints\Connectors\", G51, ".PcbLib")</f>
        <v>Footprints\Connectors\DF40C-40DP.PcbLib</v>
      </c>
      <c r="G51" t="s">
        <v>974</v>
      </c>
      <c r="K51" t="s">
        <v>806</v>
      </c>
      <c r="L51" t="s">
        <v>1088</v>
      </c>
    </row>
    <row r="52" spans="1:12" x14ac:dyDescent="0.35">
      <c r="A52" t="s">
        <v>976</v>
      </c>
      <c r="B52" t="s">
        <v>977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971</v>
      </c>
      <c r="F52" t="str">
        <f t="shared" si="5"/>
        <v>Footprints\Connectors\DF40C-40DS.PcbLib</v>
      </c>
      <c r="G52" t="s">
        <v>976</v>
      </c>
      <c r="K52" t="s">
        <v>806</v>
      </c>
      <c r="L52" t="s">
        <v>1088</v>
      </c>
    </row>
    <row r="53" spans="1:12" x14ac:dyDescent="0.35">
      <c r="A53" t="s">
        <v>996</v>
      </c>
      <c r="B53" t="s">
        <v>997</v>
      </c>
      <c r="C53" s="2" t="s">
        <v>996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996</v>
      </c>
      <c r="J53" t="s">
        <v>998</v>
      </c>
      <c r="K53" t="s">
        <v>806</v>
      </c>
      <c r="L53" t="s">
        <v>1065</v>
      </c>
    </row>
    <row r="54" spans="1:12" x14ac:dyDescent="0.35">
      <c r="A54" t="s">
        <v>1000</v>
      </c>
      <c r="B54" t="s">
        <v>999</v>
      </c>
      <c r="C54" t="s">
        <v>996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1001</v>
      </c>
      <c r="J54" t="s">
        <v>998</v>
      </c>
      <c r="K54" t="s">
        <v>806</v>
      </c>
      <c r="L54" t="s">
        <v>1065</v>
      </c>
    </row>
    <row r="55" spans="1:12" x14ac:dyDescent="0.35">
      <c r="A55" s="31" t="s">
        <v>1022</v>
      </c>
      <c r="B55" s="32" t="s">
        <v>1023</v>
      </c>
      <c r="C55" s="32" t="s">
        <v>1022</v>
      </c>
      <c r="D55" s="32" t="s">
        <v>812</v>
      </c>
      <c r="E55" s="32" t="s">
        <v>813</v>
      </c>
      <c r="F55" s="32" t="s">
        <v>1024</v>
      </c>
      <c r="G55" s="32" t="s">
        <v>1025</v>
      </c>
      <c r="H55" s="32"/>
      <c r="I55" s="32"/>
      <c r="J55" s="32"/>
      <c r="K55" s="38" t="s">
        <v>806</v>
      </c>
    </row>
    <row r="56" spans="1:12" x14ac:dyDescent="0.35">
      <c r="A56" t="s">
        <v>1026</v>
      </c>
      <c r="B56" t="s">
        <v>1027</v>
      </c>
      <c r="C56" s="2" t="s">
        <v>1026</v>
      </c>
      <c r="D56" s="32" t="s">
        <v>1028</v>
      </c>
      <c r="E56" t="s">
        <v>1026</v>
      </c>
      <c r="F56" s="32" t="s">
        <v>1030</v>
      </c>
      <c r="G56" t="s">
        <v>1031</v>
      </c>
      <c r="J56" t="s">
        <v>1029</v>
      </c>
      <c r="K56" s="38" t="s">
        <v>806</v>
      </c>
      <c r="L56" t="s">
        <v>1065</v>
      </c>
    </row>
    <row r="57" spans="1:12" x14ac:dyDescent="0.35">
      <c r="A57" t="s">
        <v>1039</v>
      </c>
      <c r="B57" t="s">
        <v>1040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1041</v>
      </c>
      <c r="F57" t="str">
        <f t="shared" ref="F57:F58" si="8">CONCATENATE("Footprints\Connectors\", G57, ".PcbLib")</f>
        <v>Footprints\Connectors\DIN41612_48_3row_straight_female.PcbLib</v>
      </c>
      <c r="G57" t="s">
        <v>1039</v>
      </c>
      <c r="J57" s="36" t="s">
        <v>1042</v>
      </c>
      <c r="K57" t="s">
        <v>806</v>
      </c>
      <c r="L57" t="s">
        <v>1088</v>
      </c>
    </row>
    <row r="58" spans="1:12" x14ac:dyDescent="0.35">
      <c r="A58" t="s">
        <v>1043</v>
      </c>
      <c r="B58" t="s">
        <v>1044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1041</v>
      </c>
      <c r="F58" t="str">
        <f t="shared" si="8"/>
        <v>Footprints\Connectors\DIN41612_48_3row_right_angle_male.PcbLib</v>
      </c>
      <c r="G58" t="s">
        <v>1043</v>
      </c>
      <c r="J58" s="36" t="s">
        <v>1042</v>
      </c>
      <c r="K58" s="39" t="s">
        <v>806</v>
      </c>
      <c r="L58" t="s">
        <v>1088</v>
      </c>
    </row>
    <row r="59" spans="1:12" x14ac:dyDescent="0.35">
      <c r="A59">
        <v>430450200</v>
      </c>
      <c r="B59" t="s">
        <v>1073</v>
      </c>
      <c r="C59">
        <v>430450200</v>
      </c>
      <c r="D59" t="s">
        <v>244</v>
      </c>
      <c r="E59" t="s">
        <v>119</v>
      </c>
      <c r="F59" t="s">
        <v>1074</v>
      </c>
      <c r="G59" t="s">
        <v>1075</v>
      </c>
      <c r="J59" t="s">
        <v>1076</v>
      </c>
      <c r="K59" t="s">
        <v>806</v>
      </c>
      <c r="L59" t="s">
        <v>1065</v>
      </c>
    </row>
    <row r="60" spans="1:12" x14ac:dyDescent="0.35">
      <c r="A60" t="s">
        <v>1077</v>
      </c>
      <c r="B60" t="s">
        <v>1078</v>
      </c>
      <c r="C60" t="s">
        <v>1077</v>
      </c>
      <c r="D60" t="s">
        <v>1079</v>
      </c>
      <c r="E60" t="s">
        <v>1077</v>
      </c>
      <c r="F60" t="s">
        <v>1080</v>
      </c>
      <c r="G60" t="s">
        <v>1077</v>
      </c>
      <c r="J60" t="s">
        <v>1081</v>
      </c>
      <c r="K60" t="s">
        <v>806</v>
      </c>
      <c r="L60" t="s">
        <v>1065</v>
      </c>
    </row>
    <row r="61" spans="1:12" x14ac:dyDescent="0.35">
      <c r="A61" t="s">
        <v>1091</v>
      </c>
      <c r="B61" t="s">
        <v>1092</v>
      </c>
      <c r="C61" s="2" t="s">
        <v>1093</v>
      </c>
      <c r="D61" t="str">
        <f t="shared" ref="D61" si="9">CONCATENATE("Schematic\Connectors\", E61, ".SchLib")</f>
        <v>Schematic\Connectors\RJ45-8p8c.SchLib</v>
      </c>
      <c r="E61" t="s">
        <v>1094</v>
      </c>
      <c r="F61" t="str">
        <f t="shared" ref="F61" si="10">CONCATENATE("Footprints\Connectors\", G61, ".PcbLib")</f>
        <v>Footprints\Connectors\1-406541-5.PcbLib</v>
      </c>
      <c r="G61" t="s">
        <v>1093</v>
      </c>
      <c r="J61" s="36" t="s">
        <v>1095</v>
      </c>
      <c r="K61" t="s">
        <v>806</v>
      </c>
      <c r="L61" t="s">
        <v>1088</v>
      </c>
    </row>
    <row r="62" spans="1:12" x14ac:dyDescent="0.35">
      <c r="A62" t="s">
        <v>1122</v>
      </c>
      <c r="B62" t="s">
        <v>1123</v>
      </c>
      <c r="C62" t="s">
        <v>1122</v>
      </c>
      <c r="D62" s="32" t="s">
        <v>1124</v>
      </c>
      <c r="E62" t="s">
        <v>1122</v>
      </c>
      <c r="F62" s="32" t="s">
        <v>1125</v>
      </c>
      <c r="G62" t="s">
        <v>1122</v>
      </c>
      <c r="J62" s="36" t="s">
        <v>1126</v>
      </c>
      <c r="K62" s="38" t="s">
        <v>806</v>
      </c>
      <c r="L62" t="s">
        <v>1065</v>
      </c>
    </row>
    <row r="63" spans="1:12" x14ac:dyDescent="0.35">
      <c r="A63" t="s">
        <v>1193</v>
      </c>
      <c r="B63" t="s">
        <v>1196</v>
      </c>
      <c r="C63" s="2" t="s">
        <v>1193</v>
      </c>
      <c r="D63" s="32" t="s">
        <v>1192</v>
      </c>
      <c r="E63" t="s">
        <v>1193</v>
      </c>
      <c r="F63" s="32" t="s">
        <v>1195</v>
      </c>
      <c r="G63" t="s">
        <v>1194</v>
      </c>
      <c r="J63" t="s">
        <v>1191</v>
      </c>
      <c r="K63" s="38" t="s">
        <v>806</v>
      </c>
      <c r="L63" t="s">
        <v>1065</v>
      </c>
    </row>
    <row r="64" spans="1:12" x14ac:dyDescent="0.35">
      <c r="A64" t="s">
        <v>1198</v>
      </c>
      <c r="B64" t="s">
        <v>1197</v>
      </c>
      <c r="C64">
        <v>467650001</v>
      </c>
      <c r="D64" s="32" t="s">
        <v>1199</v>
      </c>
      <c r="E64">
        <v>467650001</v>
      </c>
      <c r="F64" s="32" t="s">
        <v>1200</v>
      </c>
      <c r="G64">
        <v>467650001</v>
      </c>
      <c r="J64" t="s">
        <v>1201</v>
      </c>
      <c r="K64" s="38" t="s">
        <v>806</v>
      </c>
      <c r="L64" t="s">
        <v>1065</v>
      </c>
    </row>
    <row r="65" spans="1:12" x14ac:dyDescent="0.35">
      <c r="A65" t="s">
        <v>1206</v>
      </c>
      <c r="B65" t="s">
        <v>1207</v>
      </c>
      <c r="C65" s="2" t="s">
        <v>1206</v>
      </c>
      <c r="D65" s="32" t="s">
        <v>1204</v>
      </c>
      <c r="E65" t="s">
        <v>1202</v>
      </c>
      <c r="F65" s="32" t="s">
        <v>1203</v>
      </c>
      <c r="G65" t="s">
        <v>1202</v>
      </c>
      <c r="J65" t="s">
        <v>1205</v>
      </c>
      <c r="K65" s="38" t="s">
        <v>806</v>
      </c>
      <c r="L65" t="s">
        <v>1065</v>
      </c>
    </row>
    <row r="66" spans="1:12" x14ac:dyDescent="0.35">
      <c r="A66" t="s">
        <v>1209</v>
      </c>
      <c r="B66" t="s">
        <v>1213</v>
      </c>
      <c r="C66" s="2" t="s">
        <v>1209</v>
      </c>
      <c r="D66" s="32" t="s">
        <v>1210</v>
      </c>
      <c r="E66" t="s">
        <v>1209</v>
      </c>
      <c r="F66" s="32" t="s">
        <v>1211</v>
      </c>
      <c r="G66" t="s">
        <v>1209</v>
      </c>
      <c r="J66" t="s">
        <v>1212</v>
      </c>
      <c r="K66" s="38" t="s">
        <v>806</v>
      </c>
      <c r="L66" t="s">
        <v>1065</v>
      </c>
    </row>
    <row r="67" spans="1:12" x14ac:dyDescent="0.35">
      <c r="A67" t="s">
        <v>1226</v>
      </c>
      <c r="B67" t="s">
        <v>1227</v>
      </c>
      <c r="C67" s="2" t="s">
        <v>1226</v>
      </c>
      <c r="D67" t="str">
        <f t="shared" ref="D67:D69" si="11">CONCATENATE("Schematic\Connectors\", E67, ".SchLib")</f>
        <v>Schematic\Connectors\Conn_4pin_sh.SchLib</v>
      </c>
      <c r="E67" t="s">
        <v>1225</v>
      </c>
      <c r="F67" t="str">
        <f t="shared" ref="F67:H69" si="12">CONCATENATE("Footprints\Connectors\", G67, ".PcbLib")</f>
        <v>Footprints\Connectors\BM04B-SRSS-TB.PcbLib</v>
      </c>
      <c r="G67" t="s">
        <v>1226</v>
      </c>
      <c r="J67" s="36" t="s">
        <v>1228</v>
      </c>
      <c r="K67" s="38" t="s">
        <v>806</v>
      </c>
      <c r="L67" t="s">
        <v>1065</v>
      </c>
    </row>
    <row r="68" spans="1:12" x14ac:dyDescent="0.35">
      <c r="A68" t="s">
        <v>1361</v>
      </c>
      <c r="B68" t="s">
        <v>1362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1363</v>
      </c>
      <c r="J68" t="s">
        <v>1364</v>
      </c>
      <c r="K68" s="39" t="s">
        <v>806</v>
      </c>
      <c r="L68" t="s">
        <v>1342</v>
      </c>
    </row>
    <row r="69" spans="1:12" x14ac:dyDescent="0.35">
      <c r="A69" t="s">
        <v>1365</v>
      </c>
      <c r="B69" t="s">
        <v>1366</v>
      </c>
      <c r="C69" t="s">
        <v>1365</v>
      </c>
      <c r="D69" t="str">
        <f t="shared" si="11"/>
        <v>Schematic\Connectors\Conn_64pin.SchLib</v>
      </c>
      <c r="E69" t="s">
        <v>1369</v>
      </c>
      <c r="F69" t="str">
        <f t="shared" si="12"/>
        <v>Footprints\Connectors\AMPHENOL_10018783-11111TLF.PcbLib</v>
      </c>
      <c r="G69" t="s">
        <v>1368</v>
      </c>
      <c r="H69" t="str">
        <f t="shared" si="12"/>
        <v>Footprints\Connectors\PCIexpress_x4_full.PcbLib</v>
      </c>
      <c r="I69" t="s">
        <v>1380</v>
      </c>
      <c r="J69" t="s">
        <v>1367</v>
      </c>
      <c r="K69" t="s">
        <v>1065</v>
      </c>
      <c r="L69" t="s">
        <v>1381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2026-10-24T18:57:51Z</dcterms:modified>
</cp:coreProperties>
</file>