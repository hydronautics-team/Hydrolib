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FC9D20D7-817C-4E5E-9EDE-C059D3A1C75F}" xr6:coauthVersionLast="47" xr6:coauthVersionMax="47" xr10:uidLastSave="{00000000-0000-0000-0000-000000000000}"/>
  <bookViews>
    <workbookView xWindow="-108" yWindow="-108" windowWidth="23256" windowHeight="12456" firstSheet="4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1" l="1"/>
  <c r="D18" i="5"/>
  <c r="C18" i="5"/>
  <c r="J18" i="5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<sst xmlns="http://schemas.openxmlformats.org/spreadsheetml/2006/main" count="3400" uniqueCount="1436">
  <si>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</si>
  <si>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</si>
  <si>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</si>
  <si>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</si>
  <si>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</si>
  <si>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</si>
  <si>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</si>
  <si>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</si>
  <si>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</si>
  <si>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</si>
  <si>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</si>
  <si>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</si>
  <si>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</si>
  <si>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</si>
  <si>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</si>
  <si>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</si>
  <si>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</si>
  <si>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</si>
  <si>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</si>
  <si>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</si>
  <si>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</si>
  <si>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</si>
  <si>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</si>
  <si>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</si>
  <si>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</si>
  <si>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</si>
  <si>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</si>
  <si>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</si>
  <si>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</si>
  <si>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</si>
  <si>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</si>
  <si>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</si>
  <si>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</si>
  <si>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</si>
  <si>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</si>
  <si>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</si>
  <si>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</si>
  <si>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</si>
  <si>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</si>
  <si>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</si>
  <si>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</si>
  <si>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</si>
  <si>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</si>
  <si>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</si>
  <si>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</si>
  <si>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</si>
  <si>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</si>
  <si>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</si>
  <si>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</si>
  <si>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</si>
  <si>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</si>
  <si>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</si>
  <si>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</si>
  <si>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</si>
  <si>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</si>
  <si>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</si>
  <si>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</si>
  <si>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</si>
  <si>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</si>
  <si>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</si>
  <si>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</si>
  <si>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</si>
  <si>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</si>
  <si>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</si>
  <si>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</si>
  <si>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</si>
  <si>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</si>
  <si>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</si>
  <si>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</si>
  <si>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</si>
  <si>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</si>
  <si>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</si>
  <si>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</si>
  <si>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</si>
  <si>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</si>
  <si>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</si>
  <si>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</si>
  <si>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</si>
  <si>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</si>
  <si>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</si>
  <si>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</si>
  <si>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</si>
  <si>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</si>
  <si>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</si>
  <si>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</si>
  <si>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</si>
  <si>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</si>
  <si>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</si>
  <si>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</si>
  <si>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</si>
  <si>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</si>
  <si>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</si>
  <si>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</si>
  <si>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</si>
  <si>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</si>
  <si>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</si>
  <si>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</si>
  <si>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</si>
  <si>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</si>
  <si>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</si>
  <si>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</si>
  <si>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</si>
  <si>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</si>
  <si>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</si>
  <si>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</si>
  <si>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</si>
  <si>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</si>
  <si>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</si>
  <si>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</si>
  <si>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</si>
  <si>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</si>
  <si>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</si>
  <si>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</si>
  <si>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</si>
  <si>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</si>
  <si>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</si>
  <si>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</si>
  <si>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</si>
  <si>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</si>
  <si>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</si>
  <si>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</si>
  <si>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</si>
  <si>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</si>
  <si>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</si>
  <si>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</si>
  <si>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</si>
  <si>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</si>
  <si>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</si>
  <si>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</si>
  <si>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</si>
  <si>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</si>
  <si>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</si>
  <si>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</si>
  <si>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</si>
  <si>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</si>
  <si>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</si>
  <si>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</si>
  <si>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</si>
  <si>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</si>
  <si>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</si>
  <si>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</si>
  <si>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</si>
  <si>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</si>
  <si>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</si>
  <si>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</si>
  <si>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</si>
  <si>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</si>
  <si>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</si>
  <si>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</si>
  <si>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</si>
  <si>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</si>
  <si>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</si>
  <si>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</si>
  <si>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</si>
  <si>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</si>
  <si>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</si>
  <si>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</si>
  <si>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</si>
  <si>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</si>
  <si>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</si>
  <si>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</si>
  <si>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</si>
  <si>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</si>
  <si>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</si>
  <si>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</si>
  <si>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</si>
  <si>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</si>
  <si>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</si>
  <si>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</si>
  <si>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</si>
  <si>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</si>
  <si>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</si>
  <si>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</si>
  <si>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</si>
  <si>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</si>
  <si>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</si>
  <si>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</si>
  <si>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</si>
  <si>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</si>
  <si>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</si>
  <si>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</si>
  <si>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</si>
  <si>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</si>
  <si>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</si>
  <si>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</si>
  <si>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</si>
  <si>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</si>
  <si>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</si>
  <si>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</si>
  <si>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</si>
  <si>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</si>
  <si>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</si>
  <si>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</si>
  <si>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</si>
  <si>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</si>
  <si>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</si>
  <si>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</si>
  <si>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</si>
  <si>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</si>
  <si>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</si>
  <si>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</si>
  <si>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</si>
  <si>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</si>
  <si>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</si>
  <si>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</si>
  <si>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</si>
  <si>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</si>
  <si>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</si>
  <si>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</si>
  <si>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</si>
  <si>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</si>
  <si>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</si>
  <si>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</si>
  <si>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</si>
  <si>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</si>
  <si>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</si>
  <si>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</si>
  <si>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</si>
  <si>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</si>
  <si>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</si>
  <si>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</si>
  <si>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</si>
  <si>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</si>
  <si>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</si>
  <si>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</si>
  <si>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</si>
  <si>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</si>
  <si>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</si>
  <si>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</si>
  <si>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</si>
  <si>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</si>
  <si>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</si>
  <si>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</si>
  <si>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</si>
  <si>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</si>
  <si>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</si>
  <si>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</si>
  <si>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</si>
  <si>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</si>
  <si>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</si>
  <si>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</si>
  <si>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</si>
  <si>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</si>
  <si>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</si>
  <si>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</si>
  <si>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</si>
  <si>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</si>
  <si>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</si>
  <si>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</si>
  <si>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</si>
  <si>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</si>
  <si>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</si>
  <si>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</si>
  <si>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</si>
  <si>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</si>
  <si>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</si>
  <si>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</si>
  <si>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</si>
  <si>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</si>
  <si>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</si>
  <si>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</si>
  <si>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</si>
  <si>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</si>
  <si>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</si>
  <si>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</si>
  <si>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</si>
  <si>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</si>
  <si>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</si>
  <si>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</si>
  <si>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</si>
  <si>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</si>
  <si>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</si>
  <si>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</si>
  <si>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</si>
  <si>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</si>
  <si>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</si>
  <si>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</si>
  <si>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</si>
  <si>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</si>
  <si>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</si>
  <si>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</si>
  <si>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</si>
  <si>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</si>
  <si>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</si>
  <si>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</si>
  <si>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</si>
  <si>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</si>
  <si>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</si>
  <si>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</si>
  <si>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</si>
  <si>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</si>
  <si>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</si>
  <si>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</si>
  <si>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</si>
  <si>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</si>
  <si>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</si>
  <si>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</si>
  <si>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</si>
  <si>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</si>
  <si>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</si>
  <si>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</si>
  <si>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</si>
  <si>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</si>
  <si>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</si>
  <si>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</si>
  <si>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</si>
  <si>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</si>
  <si>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</si>
  <si>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</si>
  <si>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</si>
  <si>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</si>
  <si>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</si>
  <si>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</si>
  <si>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</si>
  <si>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</si>
  <si>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</si>
  <si>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</si>
  <si>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</si>
  <si>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</si>
  <si>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</si>
  <si>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</si>
  <si>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</si>
  <si>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</si>
  <si>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</si>
  <si>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</si>
  <si>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</si>
  <si>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</si>
  <si>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</si>
  <si>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</si>
  <si>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</si>
  <si>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</si>
  <si>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</si>
  <si>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</si>
  <si>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</si>
  <si>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</si>
  <si>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</si>
  <si>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</si>
  <si>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</si>
  <si>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</si>
  <si>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</si>
  <si>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</si>
  <si>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</si>
  <si>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</si>
  <si>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</si>
  <si>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</si>
  <si>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</si>
  <si>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</si>
  <si>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</si>
  <si>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</si>
  <si>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</si>
  <si>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</si>
  <si>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</si>
  <si>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</si>
  <si>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</si>
  <si>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</si>
  <si>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</si>
  <si>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</si>
  <si>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</si>
  <si>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</si>
  <si>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</si>
  <si>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</si>
  <si>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</si>
  <si>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</si>
  <si>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</si>
  <si>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</si>
  <si>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</si>
  <si>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</si>
  <si>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</si>
  <si>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</si>
  <si>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</si>
  <si>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</si>
  <si>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</si>
  <si>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</si>
  <si>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</si>
  <si>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</si>
  <si>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</si>
  <si>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</si>
  <si>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</si>
  <si>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</si>
  <si>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</si>
  <si>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</si>
  <si>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</si>
  <si>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</si>
  <si>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</si>
  <si>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</si>
  <si>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</si>
  <si>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</si>
  <si>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</si>
  <si>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</si>
  <si>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</si>
  <si>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</si>
  <si>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</si>
  <si>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</si>
  <si>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</si>
  <si>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</si>
  <si>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</si>
  <si>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</si>
  <si>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</si>
  <si>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</si>
  <si>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</si>
  <si>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</si>
  <si>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</si>
  <si>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</si>
  <si>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</si>
  <si>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</si>
  <si>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</si>
  <si>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</si>
  <si>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</si>
  <si>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</si>
  <si>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</si>
  <si>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</si>
  <si>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</si>
  <si>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</si>
  <si>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</si>
  <si>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</si>
  <si>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</si>
  <si>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</si>
  <si>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</si>
  <si>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</si>
  <si>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</si>
  <si>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</si>
  <si>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</si>
  <si>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</si>
  <si>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</si>
  <si>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</si>
  <si>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</si>
  <si>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</si>
  <si>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</si>
  <si>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</si>
  <si>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</si>
  <si>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</si>
  <si>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</si>
  <si>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</si>
  <si>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</si>
  <si>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</si>
  <si>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</si>
  <si>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</si>
  <si>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</si>
  <si>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</si>
  <si>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</si>
  <si>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</si>
  <si>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</si>
  <si>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</si>
  <si>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</si>
  <si>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</si>
  <si>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</si>
  <si>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</si>
  <si>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</si>
  <si>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</si>
  <si>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</si>
  <si>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</si>
  <si>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</si>
  <si>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</si>
  <si>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</si>
  <si>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</si>
  <si>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</si>
  <si>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</si>
  <si>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</si>
  <si>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</si>
  <si>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</si>
  <si>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</si>
  <si>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</si>
  <si>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</si>
  <si>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</si>
  <si>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</si>
  <si>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</si>
  <si>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</si>
  <si>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</si>
  <si>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</si>
  <si>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</si>
  <si>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</si>
  <si>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</si>
  <si>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</si>
  <si>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</si>
  <si>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</si>
  <si>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</si>
  <si>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</si>
  <si>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</si>
  <si>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</si>
  <si>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</si>
  <si>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</si>
  <si>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</si>
  <si>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</si>
  <si>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</si>
  <si>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</si>
  <si>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</si>
  <si>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</si>
  <si>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</si>
  <si>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</si>
  <si>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</si>
  <si>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</si>
  <si>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</si>
  <si>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</si>
  <si>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</si>
  <si>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</si>
  <si>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</si>
  <si>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</si>
  <si>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</si>
  <si>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</si>
  <si>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</si>
  <si>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</si>
  <si>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</si>
  <si>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</si>
  <si>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</si>
  <si>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</si>
  <si>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</si>
  <si>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</si>
  <si>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</si>
  <si>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</si>
  <si>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</si>
  <si>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</si>
  <si>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</si>
  <si>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</si>
  <si>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</si>
  <si>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</si>
  <si>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</si>
  <si>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</si>
  <si>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</si>
  <si>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</si>
  <si>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</si>
  <si>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</si>
  <si>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</si>
  <si>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</si>
  <si>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</si>
  <si>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</si>
  <si>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</si>
  <si>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</si>
  <si>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</si>
  <si>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</si>
  <si>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</si>
  <si>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</si>
  <si>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</si>
  <si>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</si>
  <si>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</si>
  <si>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</si>
  <si>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</si>
  <si>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</si>
  <si>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</si>
  <si>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</si>
  <si>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</si>
  <si>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</si>
  <si>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</si>
  <si>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</si>
  <si>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</si>
  <si>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</si>
  <si>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</si>
  <si>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</si>
  <si>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</si>
  <si>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</si>
  <si>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</si>
  <si>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</si>
  <si>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</si>
  <si>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</si>
  <si>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</si>
  <si>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</si>
  <si>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</si>
  <si>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</si>
  <si>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</si>
  <si>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</si>
  <si>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</si>
  <si>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</si>
  <si>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</si>
  <si>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</si>
  <si>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</si>
  <si>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</si>
  <si>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</si>
  <si>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</si>
  <si>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</si>
  <si>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</si>
  <si>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</si>
  <si>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</si>
  <si>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</si>
  <si>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</si>
  <si>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</si>
  <si>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</si>
  <si>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</si>
  <si>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</si>
  <si>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</si>
  <si>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</si>
  <si>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</si>
  <si>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</si>
  <si>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</si>
  <si>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</si>
  <si>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</si>
  <si>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</si>
  <si>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</si>
  <si>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</si>
  <si>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</si>
  <si>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</si>
  <si>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</si>
  <si>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</si>
  <si>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</si>
  <si>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</si>
  <si>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</si>
  <si>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</si>
  <si>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</si>
  <si>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</si>
  <si>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</si>
  <si>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</si>
  <si>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</si>
  <si>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</si>
  <si>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</si>
  <si>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</si>
  <si>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</si>
  <si>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</si>
  <si>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</si>
  <si>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</si>
  <si>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</si>
  <si>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</si>
  <si>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</si>
  <si>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</si>
  <si>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</si>
  <si>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</si>
  <si>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</si>
  <si>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</si>
  <si>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</si>
  <si>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</si>
  <si>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</si>
  <si>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</si>
  <si>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</si>
  <si>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</si>
  <si>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</si>
  <si>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</si>
  <si>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</si>
  <si>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</si>
  <si>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</si>
  <si>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</si>
  <si>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</si>
  <si>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</si>
  <si>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</si>
  <si>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</si>
  <si>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</si>
  <si>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</si>
  <si>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</si>
  <si>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</si>
  <si>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</si>
  <si>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</si>
  <si>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</si>
  <si>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</si>
  <si>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</si>
  <si>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</si>
  <si>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</si>
  <si>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</si>
  <si>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</si>
  <si>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</si>
  <si>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</si>
  <si>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</si>
  <si>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</si>
  <si>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</si>
  <si>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</si>
  <si>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</si>
  <si>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</si>
  <si>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</si>
  <si>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</si>
  <si>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</si>
  <si>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</si>
  <si>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</si>
  <si>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</si>
  <si>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</si>
  <si>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</si>
  <si>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</si>
  <si>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</si>
  <si>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</si>
  <si>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</si>
  <si>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</si>
  <si>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</si>
  <si>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</si>
  <si>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</si>
  <si>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</si>
  <si>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</si>
  <si>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</si>
  <si>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</si>
  <si>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</si>
  <si>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</si>
  <si>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</si>
  <si>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</si>
  <si>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</si>
  <si>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</si>
  <si>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</si>
  <si>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</si>
  <si>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</si>
  <si>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</si>
  <si>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</si>
  <si>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</si>
  <si>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</si>
  <si>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</si>
  <si>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</si>
  <si>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</si>
  <si>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</si>
  <si>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</si>
  <si>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</si>
  <si>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</si>
  <si>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</si>
  <si>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</si>
  <si>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</si>
  <si>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</si>
  <si>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</si>
  <si>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</si>
  <si>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</si>
  <si>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</si>
  <si>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</si>
  <si>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</si>
  <si>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</si>
  <si>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</si>
  <si>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</si>
  <si>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</si>
  <si>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</si>
  <si>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</si>
  <si>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</si>
  <si>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</si>
  <si>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</si>
  <si>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</si>
  <si>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</si>
  <si>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</si>
  <si>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</si>
  <si>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</si>
  <si>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</si>
  <si>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</si>
  <si>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</si>
  <si>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</si>
  <si>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</si>
  <si>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</si>
  <si>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</si>
  <si>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</si>
  <si>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</si>
  <si>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</si>
  <si>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</si>
  <si>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</si>
  <si>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</si>
  <si>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</si>
  <si>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</si>
  <si>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</si>
  <si>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</si>
  <si>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</si>
  <si>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</si>
  <si>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</si>
  <si>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</si>
  <si>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</si>
  <si>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</si>
  <si>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</si>
  <si>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</si>
  <si>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</si>
  <si>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</si>
  <si>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</si>
  <si>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</si>
  <si>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</si>
  <si>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</si>
  <si>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</si>
  <si>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</si>
  <si>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</si>
  <si>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</si>
  <si>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</si>
  <si>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</si>
  <si>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</si>
  <si>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</si>
  <si>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</si>
  <si>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</si>
  <si>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</si>
  <si>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</si>
  <si>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</si>
  <si>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</si>
  <si>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</si>
  <si>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</si>
  <si>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</si>
  <si>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</si>
  <si>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</si>
  <si>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</si>
  <si>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</si>
  <si>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</si>
  <si>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</si>
  <si>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</si>
  <si>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</si>
  <si>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</si>
  <si>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</si>
  <si>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</si>
  <si>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</si>
  <si>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</si>
  <si>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</si>
  <si>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</si>
  <si>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</si>
  <si>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</si>
  <si>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</si>
  <si>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</si>
  <si>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</si>
  <si>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</si>
  <si>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</si>
  <si>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</si>
  <si>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</si>
  <si>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</si>
  <si>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</si>
  <si>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</si>
  <si>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</si>
  <si>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</si>
  <si>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</si>
  <si>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</si>
  <si>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</si>
  <si>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</si>
  <si>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</si>
  <si>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</si>
  <si>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</si>
  <si>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</si>
  <si>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</si>
  <si>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</si>
  <si>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</si>
  <si>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</si>
  <si>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</si>
  <si>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</si>
  <si>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</si>
  <si>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</si>
  <si>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</si>
  <si>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</si>
  <si>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</si>
  <si>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</si>
  <si>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</si>
  <si>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</si>
  <si>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</si>
  <si>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</si>
  <si>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</si>
  <si>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</si>
  <si>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</si>
  <si>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</si>
  <si>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</si>
  <si>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</si>
  <si>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</si>
  <si>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</si>
  <si>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</si>
  <si>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</si>
  <si>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</si>
  <si>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</si>
  <si>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</si>
  <si>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</si>
  <si>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</si>
  <si>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</si>
  <si>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</si>
  <si>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</si>
  <si>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</si>
  <si>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</si>
  <si>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</si>
  <si>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</si>
  <si>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</si>
  <si>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</si>
  <si>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</si>
  <si>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</si>
  <si>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</si>
  <si>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</si>
  <si>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</si>
  <si>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</si>
  <si>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</si>
  <si>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</si>
  <si>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</si>
  <si>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</si>
  <si>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</si>
  <si>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</si>
  <si>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</si>
  <si>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</si>
  <si>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</si>
  <si>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</si>
  <si>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</si>
  <si>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</si>
  <si>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</si>
  <si>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</si>
  <si>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</si>
  <si>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</si>
  <si>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</si>
  <si>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</si>
  <si>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</si>
  <si>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</si>
  <si>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</si>
  <si>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</si>
  <si>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</si>
  <si>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</si>
  <si>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</si>
  <si>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</si>
  <si>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</si>
  <si>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</si>
  <si>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</si>
  <si>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</si>
  <si>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</si>
  <si>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</si>
  <si>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</si>
  <si>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</si>
  <si>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</si>
  <si>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</si>
  <si>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</si>
  <si>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</si>
  <si>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</si>
  <si>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</si>
  <si>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</si>
  <si>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</si>
  <si>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</si>
  <si>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</si>
  <si>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</si>
  <si>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</si>
  <si>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</si>
  <si>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</si>
  <si>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</si>
  <si>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</si>
  <si>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</si>
  <si>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</si>
  <si>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</si>
  <si>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</si>
  <si>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</si>
  <si>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</si>
  <si>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</si>
  <si>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</si>
  <si>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</si>
  <si>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</si>
  <si>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</si>
  <si>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</si>
  <si>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</si>
  <si>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</si>
  <si>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</si>
  <si>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</si>
  <si>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</si>
  <si>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</si>
  <si>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</si>
  <si>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</si>
  <si>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</si>
  <si>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</si>
  <si>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</si>
  <si>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</si>
  <si>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</si>
  <si>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</si>
  <si>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</si>
  <si>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</si>
  <si>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</si>
  <si>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</si>
  <si>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</si>
  <si>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</si>
  <si>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</si>
  <si>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</si>
  <si>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</si>
  <si>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</si>
  <si>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</si>
  <si>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</si>
  <si>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</si>
  <si>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</si>
  <si>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</si>
  <si>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</si>
  <si>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</si>
  <si>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</si>
  <si>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</si>
  <si>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</si>
  <si>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</si>
  <si>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</si>
  <si>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</si>
  <si>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</si>
  <si>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</si>
  <si>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</si>
  <si>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</si>
  <si>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</si>
  <si>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</si>
  <si>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</si>
  <si>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</si>
  <si>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</si>
  <si>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</si>
  <si>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</si>
  <si>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</si>
  <si>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</si>
  <si>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</si>
  <si>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</si>
  <si>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</si>
  <si>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</si>
  <si>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</si>
  <si>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</si>
  <si>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</si>
  <si>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</si>
  <si>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</si>
  <si>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</si>
  <si>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</si>
  <si>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</si>
  <si>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</si>
  <si>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</si>
  <si>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</si>
  <si>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</si>
  <si>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</si>
  <si>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</si>
  <si>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</si>
  <si>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</si>
  <si>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</si>
  <si>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</si>
  <si>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</si>
  <si>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</si>
  <si>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</si>
  <si>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</si>
  <si>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</si>
  <si>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</si>
  <si>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</si>
  <si>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</si>
  <si>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</si>
  <si>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</si>
  <si>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</si>
  <si>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</si>
  <si>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</si>
  <si>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</si>
  <si>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</si>
  <si>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</si>
  <si>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</si>
  <si>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</si>
  <si>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</si>
  <si>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</si>
  <si>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</si>
  <si>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</si>
  <si>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</si>
  <si>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</si>
  <si>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</si>
  <si>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</si>
  <si>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</si>
  <si>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</si>
  <si>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</si>
  <si>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</si>
  <si>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</si>
  <si>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</si>
  <si>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</si>
  <si>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</si>
  <si>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</si>
  <si>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</si>
  <si>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</si>
  <si>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</si>
  <si>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</si>
  <si>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</si>
  <si>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</si>
  <si>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</si>
  <si>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</si>
  <si>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</si>
  <si>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</si>
  <si>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</si>
  <si>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</si>
  <si>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</si>
  <si>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</si>
  <si>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</si>
  <si>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</si>
  <si>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</si>
  <si>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</si>
  <si>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</si>
  <si>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</si>
  <si>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</si>
  <si>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</si>
  <si>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</si>
  <si>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</si>
  <si>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</si>
  <si>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</si>
  <si>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</si>
  <si>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</si>
  <si>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</si>
  <si>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</si>
  <si>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</si>
  <si>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</si>
  <si>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</si>
  <si>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</si>
  <si>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</si>
  <si>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</si>
  <si>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</si>
  <si>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</si>
  <si>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</si>
  <si>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</si>
  <si>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</si>
  <si>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</si>
  <si>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</si>
  <si>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</si>
  <si>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</si>
  <si>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</si>
  <si>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</si>
  <si>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</si>
  <si>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</si>
  <si>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</si>
  <si>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</si>
  <si>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</si>
  <si>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</si>
  <si>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</si>
  <si>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</si>
  <si>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</si>
  <si>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</si>
  <si>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</si>
  <si>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</si>
  <si>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</si>
  <si>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</si>
  <si>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</si>
  <si>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</si>
  <si>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</si>
  <si>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</si>
  <si>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</si>
  <si>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</si>
  <si>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</si>
  <si>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</si>
  <si>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</si>
  <si>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</si>
  <si>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</si>
  <si>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</si>
  <si>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</si>
  <si>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</si>
  <si>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</si>
  <si>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</si>
  <si>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</si>
  <si>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</si>
  <si>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</si>
  <si>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</si>
  <si>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</si>
  <si>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</si>
  <si>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</si>
  <si>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</si>
  <si>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</si>
  <si>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</si>
  <si>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</si>
  <si>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</si>
  <si>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</si>
  <si>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</si>
  <si>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</si>
  <si>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</si>
  <si>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</si>
  <si>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</si>
  <si>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</si>
  <si>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</si>
  <si>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</si>
  <si>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</si>
  <si>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</si>
  <si>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</si>
  <si>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</si>
  <si>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</si>
  <si>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</si>
  <si>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</si>
  <si>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</si>
  <si>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</si>
  <si>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</si>
  <si>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</si>
  <si>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</si>
  <si>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</si>
  <si>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</si>
  <si>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</si>
  <si>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</si>
  <si>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</si>
  <si>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</si>
  <si>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</si>
  <si>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</si>
  <si>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</si>
  <si>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</si>
  <si>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</si>
  <si>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</si>
  <si>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</si>
  <si>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</si>
  <si>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</si>
  <si>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</si>
  <si>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</si>
  <si>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</si>
  <si>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</si>
  <si>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</si>
  <si>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</si>
  <si>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</si>
  <si>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</si>
  <si>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</si>
  <si>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</si>
  <si>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</si>
  <si>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</si>
  <si>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</si>
  <si>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</si>
  <si>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</si>
  <si>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</si>
  <si>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</si>
  <si>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</si>
  <si>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</si>
  <si>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</si>
  <si>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</si>
  <si>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</si>
  <si>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</si>
  <si>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</si>
  <si>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</si>
  <si>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</si>
  <si>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</si>
  <si>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</si>
  <si>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</si>
  <si>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</si>
  <si>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</si>
  <si>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</si>
  <si>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</si>
  <si>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</si>
  <si>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</si>
  <si>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</si>
  <si>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</si>
  <si>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</si>
  <si>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</si>
  <si>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</si>
  <si>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</si>
  <si>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</si>
  <si>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</si>
  <si>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</si>
  <si>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</si>
  <si>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</si>
  <si>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</si>
  <si>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</si>
  <si>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</si>
  <si>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</si>
  <si>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</si>
  <si>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</si>
  <si>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</si>
  <si>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</si>
  <si>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</si>
  <si>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</si>
  <si>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</si>
  <si>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</si>
  <si>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</si>
  <si>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</si>
  <si>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</si>
  <si>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</si>
  <si>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</si>
  <si>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</si>
  <si>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</si>
  <si>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</si>
  <si>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</si>
  <si>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</si>
  <si>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</si>
  <si>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</si>
  <si>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</si>
  <si>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</si>
  <si>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</si>
  <si>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</si>
  <si>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</si>
  <si>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</si>
  <si>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</si>
  <si>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</si>
  <si>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</si>
  <si>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</si>
  <si>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</si>
  <si>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</si>
  <si>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</si>
  <si>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</si>
  <si>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</si>
  <si>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</si>
  <si>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</si>
  <si>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</si>
  <si>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</si>
  <si>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</si>
  <si>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</si>
  <si>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</si>
  <si>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</si>
  <si>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</si>
  <si>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</si>
  <si>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</si>
  <si>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</si>
  <si>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</si>
  <si>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</si>
  <si>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</si>
  <si>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</si>
  <si>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</si>
  <si>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</si>
  <si>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</si>
  <si>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</si>
  <si>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</si>
  <si>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</si>
  <si>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</si>
  <si>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</si>
  <si>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</si>
  <si>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</si>
  <si>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</si>
  <si>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</si>
  <si>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</si>
  <si>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</si>
  <si>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</si>
  <si>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</si>
  <si>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</si>
  <si>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</si>
  <si>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</si>
  <si>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</si>
  <si>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</si>
  <si>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</si>
  <si>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</si>
  <si>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</si>
  <si>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</si>
  <si>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</si>
  <si>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</si>
  <si>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</si>
  <si>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</si>
  <si>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</si>
  <si>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</si>
  <si>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</si>
  <si>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</si>
  <si>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</si>
  <si>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</si>
  <si>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</si>
  <si>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</si>
  <si>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</si>
  <si>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</si>
  <si>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</si>
  <si>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</si>
  <si>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</si>
  <si>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</si>
  <si>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</si>
  <si>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</si>
  <si>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</si>
  <si>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</si>
  <si>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</si>
  <si>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</si>
  <si>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</si>
  <si>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</si>
  <si>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</si>
  <si>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</si>
  <si>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</si>
  <si>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</si>
  <si>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</si>
  <si>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</si>
  <si>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</si>
  <si>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</si>
  <si>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</si>
  <si>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</si>
  <si>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</si>
  <si>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</si>
  <si>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</si>
  <si>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</si>
  <si>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</si>
  <si>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</si>
  <si>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</si>
  <si>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</si>
  <si>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</si>
  <si>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</si>
  <si>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</si>
  <si>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</si>
  <si>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</si>
  <si>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</si>
  <si>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</si>
  <si>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</si>
  <si>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</si>
  <si>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</si>
  <si>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</si>
  <si>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</si>
  <si>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</si>
  <si>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</si>
  <si>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</si>
  <si>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</si>
  <si>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</si>
  <si>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</si>
  <si>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</si>
  <si>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</si>
  <si>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</si>
  <si>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</si>
  <si>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</si>
  <si>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</si>
  <si>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</si>
  <si>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</si>
  <si>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</si>
  <si>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</si>
  <si>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</si>
  <si>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</si>
  <si>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</si>
  <si>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</si>
  <si>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</si>
  <si>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</si>
  <si>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</si>
  <si>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</si>
  <si>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</si>
  <si>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</si>
  <si>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</si>
  <si>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</si>
  <si>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</si>
  <si>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</si>
  <si>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</si>
  <si>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</si>
  <si>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</si>
  <si>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</si>
  <si>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</si>
  <si>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</si>
  <si>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</si>
  <si>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</si>
  <si>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</si>
  <si>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</si>
  <si>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</si>
  <si>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</si>
  <si>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</si>
  <si>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</si>
  <si>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</si>
  <si>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</si>
  <si>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</si>
  <si>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</si>
  <si>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</si>
  <si>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</si>
  <si>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</si>
  <si>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</si>
  <si>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</si>
  <si>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</si>
  <si>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</si>
  <si>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</si>
  <si>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</si>
  <si>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</si>
  <si>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</si>
  <si>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</si>
  <si>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</si>
  <si>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</si>
  <si>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</si>
  <si>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</si>
  <si>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</si>
  <si>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</si>
  <si>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</si>
  <si>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</si>
  <si>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</si>
  <si>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</si>
  <si>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</si>
  <si>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</si>
  <si>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</si>
  <si>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</si>
  <si>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</si>
  <si>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</si>
  <si>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</si>
  <si>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</si>
  <si>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</si>
  <si>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</si>
  <si>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</si>
  <si>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</si>
  <si>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</si>
  <si>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</si>
  <si>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</si>
  <si>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</si>
  <si>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</si>
  <si>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</si>
  <si>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</si>
  <si>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</si>
  <si>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</si>
  <si>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</si>
  <si>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</si>
  <si>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</si>
  <si>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</si>
  <si>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</si>
  <si>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</si>
  <si>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</si>
  <si>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</si>
  <si>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</si>
  <si>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</si>
  <si>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=СЦЕПИТЬ("Footprints\XTAL\";G5;".PcbLib")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</si>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</sst>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0" fontId="0" fillId="0" borderId="6" xfId="0" applyBorder="1"/>
    <xf numFmtId="0" fontId="11" fillId="0" borderId="0" xfId="0" applyFont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2" tableType="xml" totalsRowShown="0" headerRowDxfId="112" dataDxfId="111" connectionId="14">
  <autoFilter ref="A1:N182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9" tableType="xml" totalsRowShown="0" headerRowDxfId="61" headerRowBorderDxfId="60" tableBorderDxfId="59" connectionId="2">
  <autoFilter ref="A1:M49" xr:uid="{327E2CF9-785D-47F4-832A-C43F8CC576C1}"/>
  <tableColumns count="13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6">
      <xmlColumnPr mapId="43" xpath="/Capacitors_ceramic/Part/LibraryRef" xmlDataType="string"/>
    </tableColumn>
    <tableColumn id="4" xr3:uid="{EC600B45-0E9F-4512-A8BA-DAE1BBEF89DB}" uniqueName="LibraryPath" name="Library Path" dataDxfId="55">
      <xmlColumnPr mapId="43" xpath="/Capacitors_ceramic/Part/LibraryPath" xmlDataType="string"/>
    </tableColumn>
    <tableColumn id="7" xr3:uid="{825A321C-E6A0-4EAF-AEC4-F451D6437D35}" uniqueName="Tolerance" name="Library Ref" dataDxfId="54">
      <xmlColumnPr mapId="43" xpath="/Capacitors_ceramic/Part/Tolerance" xmlDataType="double"/>
    </tableColumn>
    <tableColumn id="8" xr3:uid="{6BBE44D9-FFC5-457D-8041-DAABC8C7BA50}" uniqueName="Voltage" name="Value" dataDxfId="53">
      <xmlColumnPr mapId="43" xpath="/Capacitors_ceramic/Part/Voltage" xmlDataType="integer"/>
    </tableColumn>
    <tableColumn id="9" xr3:uid="{40615D5C-FAC6-4DE7-AD52-985B05512BA6}" uniqueName="Dielectric" name="Tolerance" dataDxfId="52">
      <xmlColumnPr mapId="43" xpath="/Capacitors_ceramic/Part/Dielectric" xmlDataType="string"/>
    </tableColumn>
    <tableColumn id="10" xr3:uid="{A0E5BE7F-C8F6-4C6F-887E-2AC1E17340A3}" uniqueName="FootprintPath1" name="Voltage (V)" dataDxfId="51">
      <xmlColumnPr mapId="43" xpath="/Capacitors_ceramic/Part/FootprintPath1" xmlDataType="string"/>
    </tableColumn>
    <tableColumn id="11" xr3:uid="{1125B898-8A5A-4932-9E6A-70BE1D0B17C2}" uniqueName="FootprintRef1" name="Dielectric" dataDxfId="50">
      <xmlColumnPr mapId="43" xpath="/Capacitors_ceramic/Part/FootprintRef1" xmlDataType="string"/>
    </tableColumn>
    <tableColumn id="12" xr3:uid="{A0B20E33-F9DE-4128-B3C1-A5F5EF419A6A}" uniqueName="Capacity" name="Footprint Path 1" dataDxfId="49">
      <xmlColumnPr mapId="43" xpath="/Capacitors_ceramic/Part/Capacity" xmlDataType="double"/>
    </tableColumn>
    <tableColumn id="3" xr3:uid="{3CA4A3C4-175F-4D31-8C1D-DB8BDFEC6751}" uniqueName="3" name="Footprint Ref 1" dataDxfId="48"/>
    <tableColumn id="13" xr3:uid="{AC6DF023-DF8E-4431-956C-EF5B1E686C64}" uniqueName="13" name="Capacity (nF)" dataDxfId="47"/>
    <tableColumn id="14" xr3:uid="{F581E0EF-A6A3-43F4-9E9D-EE0565B490AB}" uniqueName="14" name="Datasheet" dataDxfId="4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5" headerRowBorderDxfId="44" tableBorderDxfId="43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20" tableType="xml" totalsRowShown="0" headerRowDxfId="42" connectionId="9">
  <autoFilter ref="A1:Q20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1"/>
    <tableColumn id="7" xr3:uid="{49B409CD-94AC-4F2C-BC5E-E8FF519C8D6F}" uniqueName="FootprintRef1" name="Library Ref" dataDxfId="40"/>
    <tableColumn id="8" xr3:uid="{71017A8D-C83B-4D64-80AC-6C5EC84419D6}" uniqueName="FootprintPath1" name="Footprint Path 1" dataDxfId="39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8">
      <xmlColumnPr mapId="66" xpath="/Inductance/Part/FootprintRef1" xmlDataType="string"/>
    </tableColumn>
    <tableColumn id="10" xr3:uid="{14D45471-DB98-4B30-AE3F-A5F2151147AD}" uniqueName="FootprintPath2" name="Footprint Path 2" dataDxfId="37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6">
      <xmlColumnPr mapId="66" xpath="/Inductance/Part/FootprintRef2" xmlDataType="string"/>
    </tableColumn>
    <tableColumn id="12" xr3:uid="{32F2E3FF-9422-4CF5-B324-9B3A82F8F97B}" uniqueName="FootprintPath3" name="Footprint Path 3" dataDxfId="35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4">
      <xmlColumnPr mapId="66" xpath="/Inductance/Part/FootprintRef3" xmlDataType="string"/>
    </tableColumn>
    <tableColumn id="14" xr3:uid="{182C547A-FB6B-4C10-86F9-E53125E130E2}" uniqueName="FootprintPath4" name="Footprint Path 4" dataDxfId="33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2">
      <xmlColumnPr mapId="66" xpath="/Inductance/Part/FootprintRef4" xmlDataType="string"/>
    </tableColumn>
    <tableColumn id="4" xr3:uid="{CA7AF69B-83D2-4752-8493-BAD0C62EE720}" uniqueName="Inductance" name="Inductance (μH)" dataDxfId="31">
      <xmlColumnPr mapId="66" xpath="/Inductance/Part/Inductance" xmlDataType="string"/>
    </tableColumn>
    <tableColumn id="5" xr3:uid="{C2963412-5B9C-4A2F-B88B-CC5D53C10CE2}" uniqueName="Current" name="Current (A)" dataDxfId="30">
      <xmlColumnPr mapId="66" xpath="/Inductance/Part/Current" xmlDataType="string"/>
    </tableColumn>
    <tableColumn id="16" xr3:uid="{CFC80C7F-7597-4120-91B5-A73734ECE731}" uniqueName="Value" name="Value" dataDxfId="29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8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7">
      <xmlColumnPr mapId="81" xpath="/Thyristors/Part/LibraryPath" xmlDataType="string"/>
    </tableColumn>
    <tableColumn id="7" xr3:uid="{80B3F569-C3F5-47F7-8D7B-28E201DA2617}" uniqueName="LibraryRef" name="Library Ref" dataDxfId="26">
      <xmlColumnPr mapId="81" xpath="/Thyristors/Part/LibraryRef" xmlDataType="string"/>
    </tableColumn>
    <tableColumn id="8" xr3:uid="{89EB4D75-A298-4A70-95A0-C55A38516DD5}" uniqueName="FootprintPath1" name="Footprint Path 1" dataDxfId="25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4">
      <xmlColumnPr mapId="81" xpath="/Thyristors/Part/FootprintRef1" xmlDataType="string"/>
    </tableColumn>
    <tableColumn id="10" xr3:uid="{9EE91FEA-9669-439B-8C30-DE7C5C8EDEAC}" uniqueName="FootprintPath2" name="Footprint Path 2" dataDxfId="23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2">
      <xmlColumnPr mapId="81" xpath="/Thyristors/Part/FootprintRef2" xmlDataType="string"/>
    </tableColumn>
    <tableColumn id="12" xr3:uid="{FBA8999D-4F5F-4375-B94D-80D73962B6E9}" uniqueName="Voltage" name="Напряжение" dataDxfId="21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0">
      <xmlColumnPr mapId="81" xpath="/Thyristors/Part/Current" xmlDataType="string"/>
    </tableColumn>
    <tableColumn id="14" xr3:uid="{DB8175AF-F0C6-47C1-8F0E-9BE83B53E316}" uniqueName="Power" name="Datasheet" dataDxfId="19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M18" tableType="xml" totalsRowShown="0" headerRowDxfId="18" dataDxfId="17" connectionId="11">
  <autoFilter ref="A1:M18" xr:uid="{071F457A-0F82-4CD6-80C4-65E86DBEF353}"/>
  <tableColumns count="13">
    <tableColumn id="1" xr3:uid="{AE9DCB61-0A9B-41D9-AC76-56D9ED6F9D71}" uniqueName="PartNumber" name="Part Number" dataDxfId="16">
      <xmlColumnPr mapId="73" xpath="/Other/Part/PartNumber" xmlDataType="string"/>
    </tableColumn>
    <tableColumn id="2" xr3:uid="{8662C04B-9C7C-48A2-ACC7-0FAAF1F41588}" uniqueName="Description" name="Description" dataDxfId="15">
      <xmlColumnPr mapId="73" xpath="/Other/Part/Description" xmlDataType="string"/>
    </tableColumn>
    <tableColumn id="3" xr3:uid="{7CF3CA75-1923-4F19-999C-14E1807BD3F5}" uniqueName="Comment" name="Comment" dataDxfId="14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3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2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1">
      <xmlColumnPr mapId="73" xpath="/Other/Part/FootprintPath1" xmlDataType="string"/>
    </tableColumn>
    <tableColumn id="7" xr3:uid="{78484622-732C-4ACF-9F43-B1AC2CDD73FA}" uniqueName="FootprintRef1" name="Footprint Ref 1" dataDxfId="10">
      <xmlColumnPr mapId="73" xpath="/Other/Part/FootprintRef1" xmlDataType="string"/>
    </tableColumn>
    <tableColumn id="8" xr3:uid="{9B1D9BE1-3884-44C5-88CA-6A2CCE154C24}" uniqueName="FootprintPath2" name="Footprint Path 2" dataDxfId="9">
      <xmlColumnPr mapId="73" xpath="/Other/Part/FootprintPath2" xmlDataType="string"/>
    </tableColumn>
    <tableColumn id="9" xr3:uid="{41DD9B28-B52E-42E2-980C-18F4A1B9EC96}" uniqueName="FootprintRef2" name="Footprint Ref 2" dataDxfId="8">
      <xmlColumnPr mapId="73" xpath="/Other/Part/FootprintRef2" xmlDataType="string"/>
    </tableColumn>
    <tableColumn id="10" xr3:uid="{93223D18-9C09-4B7B-8F23-E7B288A9B36F}" uniqueName="FootprintPath3" name="Footprint Path 3" dataDxfId="7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6">
      <xmlColumnPr mapId="73" xpath="/Other/Part/FootprintRef3" xmlDataType="string"/>
    </tableColumn>
    <tableColumn id="12" xr3:uid="{7C7EE8D3-0879-4E51-BE9D-9FFCF5159E00}" uniqueName="12" name="Value" dataDxfId="5"/>
    <tableColumn id="13" xr3:uid="{C52E9A30-4E71-4BA8-BCEB-15C10C4A25CB}" uniqueName="13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8" tableType="xml" totalsRowShown="0" headerRowDxfId="3" connectionId="7">
  <autoFilter ref="A1:K58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</row>
    <row r="37" spans="1:12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2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2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2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2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2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2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</row>
    <row r="48" spans="1:12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abSelected="1" topLeftCell="A160" zoomScale="85" zoomScaleNormal="85" workbookViewId="0">
      <selection activeCell="H184" sqref="H184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/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</row>
    <row r="59" spans="1:14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</row>
    <row r="61" spans="1:14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</row>
    <row r="67" spans="1:14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</row>
    <row r="75" spans="1:14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</row>
    <row r="83" spans="1:14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</row>
    <row r="88" spans="1:14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</row>
    <row r="92" spans="1:14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</row>
    <row r="100" spans="1:14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</row>
    <row r="109" spans="1:14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</row>
    <row r="110" spans="1:14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</row>
    <row r="127" spans="1:14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</row>
    <row r="180" spans="1:14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2" spans="1:14" ht="15.6" x14ac:dyDescent="0.3">
      <c r="A182" s="1" t="s">
        <v>1433</v>
      </c>
      <c r="B182" s="1" t="s">
        <v>1434</v>
      </c>
      <c r="C182" s="1" t="s">
        <v>1433</v>
      </c>
      <c r="D182" s="1" t="s">
        <v>29</v>
      </c>
      <c r="E182" s="1" t="s">
        <v>26</v>
      </c>
      <c r="F182" s="1" t="s">
        <v>1435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923</v>
      </c>
      <c r="I1" t="s">
        <v>84</v>
      </c>
      <c r="J1" t="s">
        <v>71</v>
      </c>
      <c r="K1" t="s">
        <v>964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8" zoomScale="70" zoomScaleNormal="70" workbookViewId="0">
      <selection activeCell="B51" sqref="B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</row>
    <row r="5" spans="1:14" x14ac:dyDescent="0.3">
      <c r="A5" s="19" t="s">
        <v>1109</v>
      </c>
      <c r="B5" s="34" t="str">
        <f t="shared" si="0"/>
        <v>Конденсатор 0603C ёмкостью 0,75 н 10%, 50 В, X7R</v>
      </c>
      <c r="C5" s="20" t="s">
        <v>27</v>
      </c>
      <c r="D5" s="20" t="s">
        <v>30</v>
      </c>
      <c r="E5" s="20" t="s">
        <v>27</v>
      </c>
      <c r="F5" s="20" t="s">
        <v>1110</v>
      </c>
      <c r="G5" s="28" t="s">
        <v>1207</v>
      </c>
      <c r="H5" s="20">
        <v>50</v>
      </c>
      <c r="I5" s="20" t="s">
        <v>602</v>
      </c>
      <c r="J5" s="20" t="s">
        <v>603</v>
      </c>
      <c r="K5" s="20" t="s">
        <v>37</v>
      </c>
      <c r="L5" s="20" t="s">
        <v>1111</v>
      </c>
      <c r="M5" s="26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s="41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/>
    </row>
    <row r="49" spans="1:13" x14ac:dyDescent="0.3">
      <c r="A49" s="2" t="s">
        <v>1430</v>
      </c>
      <c r="B49" s="44" t="str">
        <f>CONCATENATE("Конденсатор ",K49," ёмкостью ",F49, " ", G49, ", ",H49," В, ",I49)</f>
        <v>Конденсатор 0603C ёмкостью 22п 5%, 50 В, NP0</v>
      </c>
      <c r="C49" s="2" t="s">
        <v>1430</v>
      </c>
      <c r="D49" s="2" t="s">
        <v>30</v>
      </c>
      <c r="E49" s="2" t="s">
        <v>27</v>
      </c>
      <c r="F49" s="43" t="s">
        <v>1426</v>
      </c>
      <c r="G49" s="37" t="s">
        <v>1427</v>
      </c>
      <c r="H49" s="43" t="s">
        <v>1428</v>
      </c>
      <c r="I49" s="43" t="s">
        <v>1429</v>
      </c>
      <c r="J49" s="2" t="s">
        <v>603</v>
      </c>
      <c r="K49" s="2" t="s">
        <v>37</v>
      </c>
      <c r="L49" s="43" t="s">
        <v>1431</v>
      </c>
      <c r="M49" s="43" t="s">
        <v>1432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</row>
    <row r="25" spans="1:14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</row>
    <row r="26" spans="1:14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4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20"/>
  <sheetViews>
    <sheetView zoomScaleNormal="100" workbookViewId="0">
      <selection activeCell="B23" sqref="B23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</row>
    <row r="12" spans="1:17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6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</row>
    <row r="20" spans="1:16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1"/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zoomScale="85" zoomScaleNormal="85" workbookViewId="0">
      <selection activeCell="B23" sqref="B23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6" t="s">
        <v>25</v>
      </c>
      <c r="M1" s="1" t="s">
        <v>964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  <c r="M2" s="41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  <c r="M3" s="41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M4" s="41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1424</v>
      </c>
      <c r="G5" s="2" t="s">
        <v>64</v>
      </c>
      <c r="H5" s="2"/>
      <c r="I5" s="2"/>
      <c r="J5" s="2"/>
      <c r="K5" s="2"/>
      <c r="M5" s="41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M6" s="41"/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M7" s="41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M8" s="41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M9" s="41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M10" s="41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M11" s="41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M12" s="41"/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M14" s="41"/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M15" s="41"/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  <c r="M16" s="41"/>
    </row>
    <row r="17" spans="1:13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  <c r="M17" s="41"/>
    </row>
    <row r="18" spans="1:13" x14ac:dyDescent="0.3">
      <c r="A18" s="41" t="s">
        <v>1422</v>
      </c>
      <c r="B18" s="41" t="s">
        <v>1423</v>
      </c>
      <c r="C18" s="41" t="str">
        <f>A18</f>
        <v>X322525MOB4SI</v>
      </c>
      <c r="D18" s="41" t="str">
        <f>CONCATENATE("Schematic\",E18,".SchLib")</f>
        <v>Schematic\XTAL_1-3_GND.SchLib</v>
      </c>
      <c r="E18" s="41" t="s">
        <v>1419</v>
      </c>
      <c r="F18" t="s">
        <v>1425</v>
      </c>
      <c r="G18" s="41" t="s">
        <v>1422</v>
      </c>
      <c r="H18" s="41"/>
      <c r="I18" s="41"/>
      <c r="J18" s="41" t="str">
        <f>CONCATENATE("Footprints\",K18,".PcbLib")</f>
        <v>Footprints\.PcbLib</v>
      </c>
      <c r="K18" s="41"/>
      <c r="L18" t="s">
        <v>1420</v>
      </c>
      <c r="M18" s="41" t="s">
        <v>1421</v>
      </c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8"/>
  <sheetViews>
    <sheetView topLeftCell="A45" zoomScaleNormal="100" workbookViewId="0">
      <selection activeCell="B59" sqref="B5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</row>
    <row r="28" spans="1:11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</row>
    <row r="29" spans="1:11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</row>
    <row r="30" spans="1:11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</row>
    <row r="31" spans="1:11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</row>
    <row r="32" spans="1:11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</row>
    <row r="33" spans="1:11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</row>
    <row r="34" spans="1:11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</row>
    <row r="35" spans="1:11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</row>
    <row r="36" spans="1:11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</row>
    <row r="37" spans="1:11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</row>
    <row r="38" spans="1:11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1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1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1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1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1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1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1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1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1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1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1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1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1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1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1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</row>
    <row r="54" spans="1:11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</row>
    <row r="55" spans="1:11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1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</row>
    <row r="57" spans="1:11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s="41" t="str">
        <f t="shared" ref="D57:D58" si="7">CONCATENATE("Schematic\Connectors\", E57, ".SchLib")</f>
        <v>Schematic\Connectors\Conn_48pin_3row.SchLib</v>
      </c>
      <c r="E57" t="s">
        <v>1412</v>
      </c>
      <c r="F57" s="41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1" x14ac:dyDescent="0.3">
      <c r="A58" s="42" t="s">
        <v>1414</v>
      </c>
      <c r="B58" s="42" t="s">
        <v>1415</v>
      </c>
      <c r="C58" s="43" t="str">
        <f t="shared" si="6"/>
        <v>DIN41612_48_3row_right_angle_male</v>
      </c>
      <c r="D58" s="44" t="str">
        <f t="shared" si="7"/>
        <v>Schematic\Connectors\Conn_48pin_3row.SchLib</v>
      </c>
      <c r="E58" s="42" t="s">
        <v>1412</v>
      </c>
      <c r="F58" s="44" t="str">
        <f t="shared" si="8"/>
        <v>Footprints\Connectors\DIN41612_48_3row_right_angle_male.PcbLib</v>
      </c>
      <c r="G58" s="42" t="s">
        <v>1414</v>
      </c>
      <c r="H58" s="42"/>
      <c r="I58" s="42"/>
      <c r="J58" s="42" t="s">
        <v>1413</v>
      </c>
      <c r="K58" s="45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2025-09-29T20:44:39Z</dcterms:modified>
</cp:coreProperties>
</file>