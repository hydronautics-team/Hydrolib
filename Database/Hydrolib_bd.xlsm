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1CE48440-85A9-4338-9A97-CA7A67330CFF}" xr6:coauthVersionLast="47" xr6:coauthVersionMax="47" xr10:uidLastSave="{00000000-0000-0000-0000-000000000000}"/>
  <bookViews>
    <workbookView xWindow="-108" yWindow="-108" windowWidth="23256" windowHeight="12456" tabRatio="896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<sst xmlns="http://schemas.openxmlformats.org/spreadsheetml/2006/main" count="3766" uniqueCount="1554">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</sst>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GOST type B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12" fillId="0" borderId="0" xfId="0" applyNumberFormat="1" applyFon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4" tableType="xml" totalsRowShown="0" headerRowDxfId="144" connectionId="6">
  <autoFilter ref="A1:M5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39" connectionId="19">
  <autoFilter ref="A1:M13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5" connectionId="18">
  <autoFilter ref="A1:M18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3" tableType="xml" totalsRowShown="0" headerRowDxfId="44" connectionId="9">
  <autoFilter ref="A1:R23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5" tableType="xml" totalsRowShown="0" headerRowDxfId="19" dataDxfId="18" connectionId="11">
  <autoFilter ref="A1:N25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4"/>
  <sheetViews>
    <sheetView topLeftCell="A14" zoomScale="55" zoomScaleNormal="55" workbookViewId="0">
      <selection activeCell="B57" sqref="B5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t="s">
        <v>1523</v>
      </c>
      <c r="M54" t="s">
        <v>1426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3"/>
  <sheetViews>
    <sheetView topLeftCell="B1" zoomScale="55" zoomScaleNormal="55" workbookViewId="0">
      <selection activeCell="I27" sqref="I27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5"/>
  <sheetViews>
    <sheetView tabSelected="1" zoomScale="85" zoomScaleNormal="85" workbookViewId="0">
      <selection activeCell="B30" sqref="B30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11.3320312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955</v>
      </c>
      <c r="N1" s="49" t="s">
        <v>1425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369</v>
      </c>
      <c r="H6" s="2" t="str">
        <f t="shared" si="0"/>
        <v>Footprints\1206SB.PcbLib</v>
      </c>
      <c r="I6" s="2" t="s">
        <v>823</v>
      </c>
      <c r="J6" s="2" t="str">
        <f t="shared" ref="J6" si="1">CONCATENATE("Footprints\",K6,".PcbLib")</f>
        <v>Footprints\0805SB_wide_gap.PcbLib</v>
      </c>
      <c r="K6" s="2" t="s">
        <v>871</v>
      </c>
      <c r="N6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1426</v>
      </c>
    </row>
    <row r="9" spans="1:20" x14ac:dyDescent="0.3">
      <c r="A9" s="2" t="s">
        <v>739</v>
      </c>
      <c r="B9" s="2" t="s">
        <v>737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0"/>
        <v>Footprints\fuse_20x5_on_clips_FC-M.PcbLib</v>
      </c>
      <c r="G9" s="2" t="s">
        <v>736</v>
      </c>
      <c r="H9" s="2"/>
      <c r="I9" s="2"/>
      <c r="J9" s="2"/>
      <c r="K9" s="2"/>
      <c r="N9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781</v>
      </c>
      <c r="H10" s="2"/>
      <c r="I10" s="2"/>
      <c r="J10" s="2"/>
      <c r="K10" s="2"/>
      <c r="N10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812</v>
      </c>
      <c r="H11" s="2"/>
      <c r="I11" s="2"/>
      <c r="J11" s="2"/>
      <c r="K11" s="2"/>
      <c r="N11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4">CONCATENATE("Footprints\",G12,".PcbLib")</f>
        <v>Footprints\cooler3030.PcbLib</v>
      </c>
      <c r="G12" s="2" t="s">
        <v>860</v>
      </c>
      <c r="H12" s="2"/>
      <c r="I12" s="2"/>
      <c r="J12" s="2"/>
      <c r="K12" s="2"/>
      <c r="N12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M13" s="23" t="s">
        <v>987</v>
      </c>
      <c r="N1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5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N14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5"/>
        <v>Footprints\CR2032-VAY3-15.2.PcbLib</v>
      </c>
      <c r="G15" t="s">
        <v>1011</v>
      </c>
      <c r="J15" t="str">
        <f>CONCATENATE("Footprints\",K15,".PcbLib")</f>
        <v>Footprints\.PcbLib</v>
      </c>
      <c r="N15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6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7">CONCATENATE("Footprints\",K16,".PcbLib")</f>
        <v>Footprints\.PcbLib</v>
      </c>
    </row>
    <row r="17" spans="1:14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</row>
    <row r="18" spans="1:14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t="s">
        <v>1407</v>
      </c>
      <c r="M18" t="s">
        <v>1408</v>
      </c>
      <c r="N18" t="s">
        <v>1426</v>
      </c>
    </row>
    <row r="19" spans="1:14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M19" t="s">
        <v>1450</v>
      </c>
      <c r="N19" t="s">
        <v>1451</v>
      </c>
    </row>
    <row r="20" spans="1:14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M20" s="23" t="s">
        <v>987</v>
      </c>
      <c r="N20" t="s">
        <v>1451</v>
      </c>
    </row>
    <row r="21" spans="1:14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53" t="s">
        <v>1549</v>
      </c>
      <c r="M21" s="53"/>
      <c r="N21" t="s">
        <v>1426</v>
      </c>
    </row>
    <row r="22" spans="1:14" x14ac:dyDescent="0.3">
      <c r="A22" s="53" t="s">
        <v>1537</v>
      </c>
      <c r="B22" s="53" t="s">
        <v>1540</v>
      </c>
      <c r="C22" s="53" t="str">
        <f t="shared" ref="C22:C24" si="8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53" t="s">
        <v>1550</v>
      </c>
      <c r="M22" s="53"/>
      <c r="N22" t="s">
        <v>1426</v>
      </c>
    </row>
    <row r="23" spans="1:14" x14ac:dyDescent="0.3">
      <c r="A23" s="53" t="s">
        <v>1538</v>
      </c>
      <c r="B23" s="53" t="s">
        <v>1541</v>
      </c>
      <c r="C23" s="53" t="str">
        <f t="shared" si="8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53" t="s">
        <v>1551</v>
      </c>
      <c r="M23" s="53"/>
      <c r="N23" t="s">
        <v>1426</v>
      </c>
    </row>
    <row r="24" spans="1:14" x14ac:dyDescent="0.3">
      <c r="A24" s="53" t="s">
        <v>1539</v>
      </c>
      <c r="B24" s="53" t="s">
        <v>1542</v>
      </c>
      <c r="C24" s="53" t="str">
        <f t="shared" si="8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53" t="s">
        <v>1552</v>
      </c>
      <c r="M24" s="53"/>
      <c r="N24" t="s">
        <v>1426</v>
      </c>
    </row>
    <row r="25" spans="1:14" x14ac:dyDescent="0.3">
      <c r="A25" s="54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53" t="s">
        <v>1548</v>
      </c>
      <c r="M25" s="53"/>
      <c r="N25" t="s">
        <v>1426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B51" zoomScaleNormal="100" workbookViewId="0">
      <selection activeCell="F51" sqref="F5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2026-02-14T18:56:53Z</dcterms:modified>
</cp:coreProperties>
</file>