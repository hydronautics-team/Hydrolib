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BB9A5A85-8341-485C-9103-DDBD5740382C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J4" i="8" l="1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<sst xmlns="http://schemas.openxmlformats.org/spreadsheetml/2006/main" count="258" uniqueCount="142">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</sst>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7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74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72" connectionId="11">
  <autoFilter ref="A1:K4" xr:uid="{35EAFB53-5120-48E8-B7CF-F527619EF3EB}"/>
  <tableColumns count="11">
    <tableColumn id="1" xr3:uid="{8FF51BCB-1CBC-41C4-B0E3-6994AEB249EF}" uniqueName="PartNumber" name="Part Number" dataDxfId="71">
      <xmlColumnPr mapId="6" xpath="/TVS/Part/PartNumber" xmlDataType="string"/>
    </tableColumn>
    <tableColumn id="2" xr3:uid="{254709FF-71DC-4C18-A11E-3F482A74905F}" uniqueName="Description" name="Description" dataDxfId="7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7">
      <xmlColumnPr mapId="6" xpath="/TVS/Part/LibraryRef" xmlDataType="string"/>
    </tableColumn>
    <tableColumn id="6" xr3:uid="{C5C7E783-B9B8-469C-B255-FC24F12E71DC}" uniqueName="FootprintPath1" name="Footprint Path 1" dataDxfId="6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5">
      <xmlColumnPr mapId="6" xpath="/TVS/Part/FootprintRef1" xmlDataType="string"/>
    </tableColumn>
    <tableColumn id="8" xr3:uid="{16B3AEE3-BEA7-4870-9494-F8A0EC5E9CCD}" uniqueName="VoltageNominal" name="Voltage nominal (V)" dataDxfId="64">
      <xmlColumnPr mapId="6" xpath="/TVS/Part/VoltageNominal" xmlDataType="string"/>
    </tableColumn>
    <tableColumn id="9" xr3:uid="{7DDE345A-D145-4A55-B781-91F88095B1FE}" uniqueName="Power" name="Power (W)" dataDxfId="63">
      <xmlColumnPr mapId="6" xpath="/TVS/Part/Power" xmlDataType="string"/>
    </tableColumn>
    <tableColumn id="10" xr3:uid="{EBB777BC-3BC6-4EF4-AC63-F94C7CFCFC0E}" uniqueName="Value" name="Value" dataDxfId="6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0" connectionId="10">
  <autoFilter ref="A1:I6" xr:uid="{11DAD5D3-6841-4BFD-8583-65DE6E00D680}"/>
  <tableColumns count="9">
    <tableColumn id="1" xr3:uid="{59488B22-9EFD-4960-9418-72616CC8F6CC}" uniqueName="PartNumber" name="Part Number" dataDxfId="59">
      <xmlColumnPr mapId="8" xpath="/Transistors/Part/PartNumber" xmlDataType="string"/>
    </tableColumn>
    <tableColumn id="2" xr3:uid="{B6051881-2BC5-4D5F-9AEE-A86DF4412A4C}" uniqueName="Description" name="Description" dataDxfId="58">
      <xmlColumnPr mapId="8" xpath="/Transistors/Part/Description" xmlDataType="string"/>
    </tableColumn>
    <tableColumn id="3" xr3:uid="{377CEA9C-B3A1-4F57-920A-BA1AC9164370}" uniqueName="Comment" name="Comment" dataDxfId="5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6">
      <xmlColumnPr mapId="8" xpath="/Transistors/Part/LibraryPath" xmlDataType="string"/>
    </tableColumn>
    <tableColumn id="5" xr3:uid="{02693066-D721-4B47-BEE5-D678B96A10FB}" uniqueName="LibraryRef" name="Library Ref" dataDxfId="5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53" dataDxfId="52" connectionId="8">
  <autoFilter ref="A1:N2" xr:uid="{02061886-A591-4FD8-8C5B-3D1D2DB1F417}"/>
  <tableColumns count="14">
    <tableColumn id="1" xr3:uid="{1DE1C76C-B7F9-47FB-9EB0-156A2D87FD9E}" uniqueName="PartNumber" name="Part Number" dataDxfId="51">
      <xmlColumnPr mapId="9" xpath="/Resistors/Part/PartNumber" xmlDataType="string"/>
    </tableColumn>
    <tableColumn id="2" xr3:uid="{64E60790-EB9B-4A0D-B52C-7CB5A6F82DE8}" uniqueName="Description" name="Description" dataDxfId="50">
      <xmlColumnPr mapId="9" xpath="/Resistors/Part/Description" xmlDataType="string"/>
    </tableColumn>
    <tableColumn id="3" xr3:uid="{497E7478-3EE2-4F8D-A572-C738B7321387}" uniqueName="Comment" name="Comment" dataDxfId="49">
      <xmlColumnPr mapId="9" xpath="/Resistors/Part/Comment" xmlDataType="string"/>
    </tableColumn>
    <tableColumn id="4" xr3:uid="{255B034D-70D9-458C-8FA7-FEB8317A497F}" uniqueName="LibraryPath" name="Library Path" dataDxfId="48">
      <xmlColumnPr mapId="9" xpath="/Resistors/Part/LibraryPath" xmlDataType="string"/>
    </tableColumn>
    <tableColumn id="5" xr3:uid="{A3865419-9EA5-4AAA-B07F-FF52D437DC02}" uniqueName="LibraryRef" name="Library Ref" dataDxfId="47">
      <xmlColumnPr mapId="9" xpath="/Resistors/Part/LibraryRef" xmlDataType="string"/>
    </tableColumn>
    <tableColumn id="6" xr3:uid="{CE64E0F7-2F9E-477F-8D1B-040D90CB5685}" uniqueName="Value" name="Value" dataDxfId="46">
      <xmlColumnPr mapId="9" xpath="/Resistors/Part/Value" xmlDataType="string"/>
    </tableColumn>
    <tableColumn id="7" xr3:uid="{41F7703B-5A2D-47F6-B9C9-B9D386FC3CF8}" uniqueName="FootprintPath1" name="Footprint Path 1" dataDxfId="45">
      <xmlColumnPr mapId="9" xpath="/Resistors/Part/FootprintPath1" xmlDataType="string"/>
    </tableColumn>
    <tableColumn id="8" xr3:uid="{429E7452-DB30-417B-B5E7-8F2AA238A5A4}" uniqueName="FootprintRef1" name="Footprint Ref 1" dataDxfId="44">
      <xmlColumnPr mapId="9" xpath="/Resistors/Part/FootprintRef1" xmlDataType="string"/>
    </tableColumn>
    <tableColumn id="9" xr3:uid="{298A4272-57F5-45C2-AFCD-965909B2DD40}" uniqueName="FootprintPath2" name="Footprint Path 2" dataDxfId="43">
      <xmlColumnPr mapId="9" xpath="/Resistors/Part/FootprintPath2" xmlDataType="string"/>
    </tableColumn>
    <tableColumn id="10" xr3:uid="{5E217B5D-6ACC-4540-B99E-39835DE9B5AD}" uniqueName="FootprintRef2" name="Footprint Ref 2" dataDxfId="42">
      <xmlColumnPr mapId="9" xpath="/Resistors/Part/FootprintRef2" xmlDataType="string"/>
    </tableColumn>
    <tableColumn id="11" xr3:uid="{2334B57C-78D1-472F-90FA-52F299D17996}" uniqueName="FootprintPath3" name="Footprint Path 3" dataDxfId="41">
      <xmlColumnPr mapId="9" xpath="/Resistors/Part/FootprintPath3" xmlDataType="string"/>
    </tableColumn>
    <tableColumn id="12" xr3:uid="{CE6D1B76-86DB-4BB5-B08C-5172CD9AEB92}" uniqueName="FootprintRef3" name="Footprint Ref 3" dataDxfId="40">
      <xmlColumnPr mapId="9" xpath="/Resistors/Part/FootprintRef3" xmlDataType="string"/>
    </tableColumn>
    <tableColumn id="13" xr3:uid="{687D638D-A43B-4A58-8F97-2721414A608C}" uniqueName="FootprintPath4" name="Footprint Path 4" dataDxfId="39">
      <xmlColumnPr mapId="9" xpath="/Resistors/Part/FootprintPath4" xmlDataType="string"/>
    </tableColumn>
    <tableColumn id="14" xr3:uid="{F0FD1873-DBEF-4B39-9FCA-E48EB3E6741F}" uniqueName="FootprintRef4" name="Footprint Ref 4" dataDxfId="38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7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55</v>
      </c>
      <c r="B2" s="2" t="s">
        <v>56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60</v>
      </c>
    </row>
    <row r="3" spans="1:20" x14ac:dyDescent="0.3">
      <c r="A3" s="2" t="s">
        <v>57</v>
      </c>
      <c r="B3" s="2" t="s">
        <v>58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59</v>
      </c>
    </row>
    <row r="4" spans="1:20" x14ac:dyDescent="0.3">
      <c r="A4" s="2" t="s">
        <v>83</v>
      </c>
      <c r="B4" s="2" t="s">
        <v>84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85</v>
      </c>
    </row>
    <row r="5" spans="1:20" x14ac:dyDescent="0.3">
      <c r="A5" t="s">
        <v>96</v>
      </c>
      <c r="B5" t="s">
        <v>56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97</v>
      </c>
    </row>
    <row r="6" spans="1:20" x14ac:dyDescent="0.3">
      <c r="A6" t="s">
        <v>98</v>
      </c>
      <c r="B6" t="s">
        <v>99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85</v>
      </c>
    </row>
    <row r="7" spans="1:20" x14ac:dyDescent="0.3">
      <c r="A7" t="s">
        <v>100</v>
      </c>
      <c r="B7" t="s">
        <v>101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102</v>
      </c>
    </row>
    <row r="8" spans="1:20" x14ac:dyDescent="0.3">
      <c r="A8" t="s">
        <v>103</v>
      </c>
      <c r="B8" t="s">
        <v>104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105</v>
      </c>
    </row>
    <row r="9" spans="1:20" x14ac:dyDescent="0.3">
      <c r="A9" t="s">
        <v>106</v>
      </c>
      <c r="B9" t="s">
        <v>107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108</v>
      </c>
    </row>
    <row r="10" spans="1:20" x14ac:dyDescent="0.3">
      <c r="A10" t="s">
        <v>109</v>
      </c>
      <c r="B10" t="s">
        <v>101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75</v>
      </c>
      <c r="I1" t="s">
        <v>91</v>
      </c>
    </row>
    <row r="2" spans="1:9" x14ac:dyDescent="0.3">
      <c r="A2" s="2" t="s">
        <v>92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93</v>
      </c>
      <c r="E2" s="2" t="s">
        <v>94</v>
      </c>
      <c r="F2" s="2" t="str">
        <f>CONCATENATE("Footprints\",G2,".PcbLib")</f>
        <v>Footprints\SMC.PcbLib</v>
      </c>
      <c r="G2" s="2" t="s">
        <v>95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75</v>
      </c>
      <c r="I1" t="s">
        <v>76</v>
      </c>
      <c r="J1" t="s">
        <v>78</v>
      </c>
      <c r="K1" t="s">
        <v>25</v>
      </c>
    </row>
    <row r="2" spans="1:11" ht="13.05" customHeight="1" x14ac:dyDescent="0.3">
      <c r="A2" s="2" t="s">
        <v>77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80</v>
      </c>
      <c r="E2" s="2" t="s">
        <v>81</v>
      </c>
      <c r="F2" s="2" t="str">
        <f>CONCATENATE("Footprints\",G2,".PcbLib")</f>
        <v>Footprints\SOD-323.PcbLib</v>
      </c>
      <c r="G2" s="2" t="s">
        <v>79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75</v>
      </c>
      <c r="I1" t="s">
        <v>78</v>
      </c>
      <c r="J1" t="s">
        <v>25</v>
      </c>
      <c r="K1" t="s">
        <v>89</v>
      </c>
    </row>
    <row r="2" spans="1:11" x14ac:dyDescent="0.3">
      <c r="A2" t="s">
        <v>82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88</v>
      </c>
      <c r="F3" t="str">
        <f>CONCATENATE("Footprints\",G3,".PcbLib")</f>
        <v>Footprints\SOT23-3.PcbLib</v>
      </c>
      <c r="G3" t="s">
        <v>18</v>
      </c>
      <c r="K3" t="s">
        <v>90</v>
      </c>
    </row>
    <row r="4" spans="1:11" x14ac:dyDescent="0.3">
      <c r="A4" t="s">
        <v>138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87</v>
      </c>
      <c r="F4" t="str">
        <f>CONCATENATE("Footprints\",G4,".PcbLib")</f>
        <v>Footprints\SMA.PcbLib</v>
      </c>
      <c r="G4" t="s">
        <v>139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activeCell="D29" sqref="D2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35</v>
      </c>
      <c r="I2" s="3" t="s">
        <v>34</v>
      </c>
      <c r="J2" s="3" t="s">
        <v>36</v>
      </c>
      <c r="K2" s="3" t="s">
        <v>34</v>
      </c>
      <c r="L2" s="3" t="s">
        <v>39</v>
      </c>
      <c r="M2" s="3" t="s">
        <v>34</v>
      </c>
      <c r="N2" s="3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abSelected="1" topLeftCell="J1" workbookViewId="0">
      <selection activeCell="T4" sqref="T4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 t="s">
        <v>48</v>
      </c>
      <c r="P1" s="1" t="s">
        <v>49</v>
      </c>
      <c r="Q1" s="1" t="s">
        <v>50</v>
      </c>
      <c r="R1" s="1" t="s">
        <v>51</v>
      </c>
      <c r="S1" s="1" t="s">
        <v>52</v>
      </c>
      <c r="T1" s="1" t="s">
        <v>53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tr">
        <f>CONCATENATE("Footprints\Capacitors\",H2,".PcbLib")</f>
        <v>Footprints\Capacitors\0603C.PcbLib</v>
      </c>
      <c r="H2" s="1" t="s">
        <v>43</v>
      </c>
      <c r="I2" s="1" t="str">
        <f>CONCATENATE("Footprints\Capacitors\",J2,".PcbLib")</f>
        <v>Footprints\Capacitors\0805C.PcbLib</v>
      </c>
      <c r="J2" s="1" t="s">
        <v>44</v>
      </c>
    </row>
    <row r="3" spans="1:20" ht="15.6" x14ac:dyDescent="0.3">
      <c r="A3" s="1" t="s">
        <v>45</v>
      </c>
      <c r="B3" s="1" t="s">
        <v>46</v>
      </c>
      <c r="C3" s="1" t="s">
        <v>45</v>
      </c>
      <c r="D3" s="1" t="s">
        <v>32</v>
      </c>
      <c r="E3" s="1" t="s">
        <v>45</v>
      </c>
      <c r="F3" s="1" t="s">
        <v>47</v>
      </c>
      <c r="G3" s="1" t="str">
        <f>CONCATENATE("Footprints\Capacitors\",H3,".PcbLib")</f>
        <v>Footprints\Capacitors\TC_A.PcbLib</v>
      </c>
      <c r="H3" s="1" t="s">
        <v>132</v>
      </c>
      <c r="I3" s="1" t="str">
        <f>CONCATENATE("Footprints\Capacitors\",J3,".PcbLib")</f>
        <v>Footprints\Capacitors\TC_B.PcbLib</v>
      </c>
      <c r="J3" s="1" t="s">
        <v>133</v>
      </c>
      <c r="K3" s="1" t="str">
        <f t="shared" ref="K3" si="0">CONCATENATE("Footprints\Capacitors\",L3,".PcbLib")</f>
        <v>Footprints\Capacitors\TC_C.PcbLib</v>
      </c>
      <c r="L3" s="1" t="s">
        <v>134</v>
      </c>
      <c r="M3" s="1" t="str">
        <f t="shared" ref="M3" si="1">CONCATENATE("Footprints\Capacitors\",N3,".PcbLib")</f>
        <v>Footprints\Capacitors\TC_D.PcbLib</v>
      </c>
      <c r="N3" s="1" t="s">
        <v>135</v>
      </c>
      <c r="O3" s="1" t="str">
        <f t="shared" ref="O3" si="2">CONCATENATE("Footprints\Capacitors\",P3,".PcbLib")</f>
        <v>Footprints\Capacitors\TC_E.PcbLib</v>
      </c>
      <c r="P3" s="1" t="s">
        <v>136</v>
      </c>
      <c r="Q3" s="1" t="str">
        <f t="shared" ref="Q3" si="3">CONCATENATE("Footprints\Capacitors\",R3,".PcbLib")</f>
        <v>Footprints\Capacitors\RADIAL-2_8mm.PcbLib</v>
      </c>
      <c r="R3" t="s">
        <v>140</v>
      </c>
      <c r="S3" s="1" t="s">
        <v>54</v>
      </c>
      <c r="T3" t="s">
        <v>141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37</v>
      </c>
      <c r="K1" s="1" t="s">
        <v>38</v>
      </c>
      <c r="L1" s="1" t="s">
        <v>40</v>
      </c>
      <c r="M1" s="1" t="s">
        <v>41</v>
      </c>
    </row>
    <row r="2" spans="1:13" x14ac:dyDescent="0.3">
      <c r="A2" s="2" t="s">
        <v>110</v>
      </c>
      <c r="B2" s="2" t="s">
        <v>111</v>
      </c>
      <c r="C2" s="2" t="str">
        <f>A2</f>
        <v>Inductance</v>
      </c>
      <c r="D2" s="2" t="s">
        <v>112</v>
      </c>
      <c r="E2" s="2" t="s">
        <v>110</v>
      </c>
      <c r="F2" s="2" t="str">
        <f>CONCATENATE("Footprints\Inductance\",G2,".PcbLib")</f>
        <v>Footprints\Inductance\0603L.PcbLib</v>
      </c>
      <c r="G2" s="2" t="s">
        <v>113</v>
      </c>
      <c r="H2" s="2" t="str">
        <f>CONCATENATE("Footprints\Inductance\",I2,".PcbLib")</f>
        <v>Footprints\Inductance\1210L.PcbLib</v>
      </c>
      <c r="I2" s="2" t="s">
        <v>114</v>
      </c>
      <c r="J2" s="2" t="str">
        <f>CONCATENATE("Footprints\Inductance\",K2,".PcbLib")</f>
        <v>Footprints\Inductance\1212L.PcbLib</v>
      </c>
      <c r="K2" s="2" t="s">
        <v>115</v>
      </c>
      <c r="L2" s="2" t="str">
        <f>CONCATENATE("Footprints\Inductance\",M2,".PcbLib")</f>
        <v>Footprints\Inductance\12.8x12.8.PcbLib</v>
      </c>
      <c r="M2" s="2" t="s">
        <v>116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61</v>
      </c>
      <c r="B2" t="s">
        <v>62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63</v>
      </c>
      <c r="H2" t="str">
        <f>CONCATENATE("Footprints\Buttons\",I2,".PcbLib")</f>
        <v>Footprints\Buttons\Button_SMD_6x6.PcbLib</v>
      </c>
      <c r="I2" t="s">
        <v>64</v>
      </c>
    </row>
    <row r="3" spans="1:20" x14ac:dyDescent="0.3">
      <c r="A3" t="s">
        <v>65</v>
      </c>
      <c r="B3" t="s">
        <v>66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131</v>
      </c>
    </row>
    <row r="4" spans="1:20" x14ac:dyDescent="0.3">
      <c r="A4" t="s">
        <v>67</v>
      </c>
      <c r="B4" t="s">
        <v>68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137</v>
      </c>
    </row>
    <row r="5" spans="1:20" x14ac:dyDescent="0.3">
      <c r="A5" t="s">
        <v>69</v>
      </c>
      <c r="B5" t="s">
        <v>70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72</v>
      </c>
      <c r="B2" s="2" t="s">
        <v>73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121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74</v>
      </c>
      <c r="B3" s="2" t="s">
        <v>73</v>
      </c>
      <c r="C3" s="2" t="str">
        <f>A3</f>
        <v>D-SUB-26</v>
      </c>
      <c r="D3" t="str">
        <f t="shared" si="0"/>
        <v>Schematic\Connectors\Conn_26pin.SchLib</v>
      </c>
      <c r="E3" s="2" t="s">
        <v>122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117</v>
      </c>
      <c r="B4" t="s">
        <v>118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123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119</v>
      </c>
      <c r="B5" t="s">
        <v>120</v>
      </c>
      <c r="C5" s="2" t="str">
        <f t="shared" si="2"/>
        <v>CWF-5</v>
      </c>
      <c r="D5" t="str">
        <f t="shared" si="0"/>
        <v>Schematic\Connectors\Conn_5pin.SchLib</v>
      </c>
      <c r="E5" s="2" t="s">
        <v>124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125</v>
      </c>
      <c r="B6" t="s">
        <v>126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127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128</v>
      </c>
      <c r="B7" t="s">
        <v>129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130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2024-11-02T16:36:37Z</dcterms:modified>
</cp:coreProperties>
</file>