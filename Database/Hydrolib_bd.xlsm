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1959BD5D-F427-4B30-A3A6-56D5A7153F7B}" xr6:coauthVersionLast="47" xr6:coauthVersionMax="47" xr10:uidLastSave="{00000000-0000-0000-0000-000000000000}"/>
  <bookViews>
    <workbookView xWindow="-110" yWindow="-110" windowWidth="25820" windowHeight="14020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160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86" i="2"/>
  <c r="A150" i="2"/>
  <c r="A151" i="2"/>
  <c r="A156" i="2"/>
  <c r="A166" i="2"/>
  <c r="A167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14" i="2"/>
  <c r="A114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113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F72" i="2"/>
  <c r="F144" i="2" s="1"/>
  <c r="A144" i="2" s="1"/>
  <c r="F71" i="2"/>
  <c r="F143" i="2" s="1"/>
  <c r="A143" i="2" s="1"/>
  <c r="F70" i="2"/>
  <c r="A70" i="2" s="1"/>
  <c r="F69" i="2"/>
  <c r="B69" i="2" s="1"/>
  <c r="F68" i="2"/>
  <c r="A68" i="2" s="1"/>
  <c r="F67" i="2"/>
  <c r="B67" i="2" s="1"/>
  <c r="F66" i="2"/>
  <c r="F138" i="2" s="1"/>
  <c r="A138" i="2" s="1"/>
  <c r="F65" i="2"/>
  <c r="B65" i="2" s="1"/>
  <c r="F64" i="2"/>
  <c r="A64" i="2" s="1"/>
  <c r="F63" i="2"/>
  <c r="F135" i="2" s="1"/>
  <c r="B135" i="2" s="1"/>
  <c r="F62" i="2"/>
  <c r="F134" i="2" s="1"/>
  <c r="B134" i="2" s="1"/>
  <c r="F61" i="2"/>
  <c r="F133" i="2" s="1"/>
  <c r="B133" i="2" s="1"/>
  <c r="F60" i="2"/>
  <c r="F59" i="2"/>
  <c r="F58" i="2"/>
  <c r="F130" i="2" s="1"/>
  <c r="A130" i="2" s="1"/>
  <c r="F57" i="2"/>
  <c r="F56" i="2"/>
  <c r="F128" i="2" s="1"/>
  <c r="A128" i="2" s="1"/>
  <c r="F55" i="2"/>
  <c r="F127" i="2" s="1"/>
  <c r="A127" i="2" s="1"/>
  <c r="F54" i="2"/>
  <c r="F126" i="2" s="1"/>
  <c r="A126" i="2" s="1"/>
  <c r="F53" i="2"/>
  <c r="F125" i="2" s="1"/>
  <c r="F116" i="2" s="1"/>
  <c r="F52" i="2"/>
  <c r="F124" i="2" s="1"/>
  <c r="F115" i="2" s="1"/>
  <c r="F51" i="2"/>
  <c r="F123" i="2" s="1"/>
  <c r="A123" i="2" s="1"/>
  <c r="F50" i="2"/>
  <c r="F122" i="2" s="1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A152" i="2" l="1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B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39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A129" i="2" l="1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<sst xmlns="http://schemas.openxmlformats.org/spreadsheetml/2006/main" count="1115" uniqueCount="169">
  <si>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</si>
  <si>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</si>
  <si>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</si>
  <si>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</si>
  <si>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</si>
  <si>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</si>
  <si>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</si>
  <si>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</si>
  <si>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</si>
  <si>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</si>
  <si>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</si>
  <si>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</si>
  <si>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</si>
  <si>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</si>
  <si>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</si>
  <si>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</si>
  <si>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</si>
  <si>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</si>
  <si>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</si>
  <si>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</si>
  <si>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</si>
  <si>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</si>
  <si>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</si>
  <si>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</si>
  <si>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</si>
  <si>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</si>
  <si>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</si>
  <si>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</si>
  <si>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</si>
  <si>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</si>
  <si>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</si>
  <si>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</si>
  <si>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</si>
  <si>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</si>
  <si>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</si>
  <si>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</si>
  <si>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</si>
  <si>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</si>
  <si>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</si>
  <si>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</si>
  <si>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</si>
  <si>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</si>
  <si>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</si>
  <si>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</si>
  <si>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</si>
  <si>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</si>
  <si>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</si>
  <si>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</si>
  <si>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</si>
  <si>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</si>
  <si>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</si>
  <si>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</si>
  <si>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</si>
  <si>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</si>
  <si>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</si>
  <si>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</si>
  <si>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</si>
  <si>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</si>
  <si>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</si>
  <si>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</si>
  <si>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</si>
  <si>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</si>
  <si>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</si>
  <si>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</si>
  <si>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</si>
  <si>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</si>
  <si>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</si>
  <si>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</si>
  <si>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</si>
  <si>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</si>
  <si>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</si>
  <si>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</si>
  <si>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</si>
  <si>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</si>
  <si>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</si>
  <si>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</si>
  <si>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</si>
  <si>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</si>
  <si>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</si>
  <si>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</si>
  <si>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</si>
  <si>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</si>
  <si>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</si>
  <si>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</si>
  <si>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</si>
  <si>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</si>
  <si>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</si>
  <si>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</si>
  <si>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</si>
  <si>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</si>
  <si>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</si>
  <si>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</si>
  <si>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</si>
  <si>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</si>
  <si>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</si>
  <si>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</si>
  <si>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</si>
  <si>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</si>
  <si>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</si>
  <si>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</si>
  <si>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</si>
  <si>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</si>
  <si>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</si>
  <si>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</si>
  <si>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</si>
  <si>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</si>
  <si>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</si>
  <si>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</si>
  <si>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</si>
  <si>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</si>
  <si>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</si>
  <si>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</si>
  <si>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</si>
  <si>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</si>
  <si>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</si>
  <si>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</si>
  <si>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</si>
  <si>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</si>
  <si>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</si>
  <si>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</si>
  <si>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</si>
  <si>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</si>
  <si>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</si>
  <si>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</si>
  <si>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</si>
  <si>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</si>
  <si>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</si>
  <si>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</si>
  <si>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</si>
  <si>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</si>
  <si>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</si>
  <si>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</si>
  <si>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</si>
  <si>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</si>
  <si>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</si>
  <si>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</si>
  <si>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</si>
  <si>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</si>
  <si>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</si>
  <si>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</si>
  <si>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</si>
  <si>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</si>
  <si>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</si>
  <si>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</si>
  <si>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</si>
  <si>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</si>
  <si>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</si>
  <si>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</si>
  <si>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</si>
  <si>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</si>
  <si>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</si>
  <si>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8,3</t>
  </si>
  <si>
    <t>9,1</t>
  </si>
  <si>
    <t>Tolerance</t>
  </si>
  <si>
    <t>SOIC-16</t>
  </si>
  <si>
    <t>27</t>
  </si>
  <si>
    <t>30</t>
  </si>
  <si>
    <t>33</t>
  </si>
  <si>
    <t>36</t>
  </si>
  <si>
    <t>39</t>
  </si>
  <si>
    <t>43</t>
  </si>
  <si>
    <t>47</t>
  </si>
  <si>
    <t>2,7</t>
  </si>
  <si>
    <t>3,0</t>
  </si>
  <si>
    <t>3,3</t>
  </si>
  <si>
    <t>3,6</t>
  </si>
  <si>
    <t>3,9</t>
  </si>
  <si>
    <t>4,3</t>
  </si>
  <si>
    <t>4,7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</si>
</sst>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</cellXfs>
  <cellStyles count="1">
    <cellStyle name="Обычный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46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45">
      <xmlColumnPr mapId="38" xpath="/Resistors/Part/Comment" xmlDataType="string"/>
    </tableColumn>
    <tableColumn id="4" xr3:uid="{255B034D-70D9-458C-8FA7-FEB8317A497F}" uniqueName="LibraryPath" name="Library Path" dataDxfId="44">
      <xmlColumnPr mapId="38" xpath="/Resistors/Part/LibraryPath" xmlDataType="string"/>
    </tableColumn>
    <tableColumn id="5" xr3:uid="{A3865419-9EA5-4AAA-B07F-FF52D437DC02}" uniqueName="LibraryRef" name="Library Ref" dataDxfId="43">
      <xmlColumnPr mapId="38" xpath="/Resistors/Part/LibraryRef" xmlDataType="string"/>
    </tableColumn>
    <tableColumn id="6" xr3:uid="{CE64E0F7-2F9E-477F-8D1B-040D90CB5685}" uniqueName="Value" name="Value" dataDxfId="42">
      <xmlColumnPr mapId="38" xpath="/Resistors/Part/Value" xmlDataType="string"/>
    </tableColumn>
    <tableColumn id="7" xr3:uid="{41F7703B-5A2D-47F6-B9C9-B9D386FC3CF8}" uniqueName="Tolerance" name="Tolerance" dataDxfId="41">
      <xmlColumnPr mapId="38" xpath="/Resistors/Part/Tolerance" xmlDataType="double"/>
    </tableColumn>
    <tableColumn id="8" xr3:uid="{429E7452-DB30-417B-B5E7-8F2AA238A5A4}" uniqueName="FootprintPath1" name="Footprint Path 1" dataDxfId="40">
      <xmlColumnPr mapId="38" xpath="/Resistors/Part/FootprintPath1" xmlDataType="string"/>
    </tableColumn>
    <tableColumn id="9" xr3:uid="{298A4272-57F5-45C2-AFCD-965909B2DD40}" uniqueName="FootprintRef1" name="Footprint Ref 1" dataDxfId="39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8" dataDxfId="37" connectionId="1">
  <autoFilter ref="A1:T3" xr:uid="{1041C5C1-00FD-47DC-8B7C-9DEBE212D9D4}"/>
  <tableColumns count="20">
    <tableColumn id="1" xr3:uid="{55BDD111-6381-449E-BF2B-3FEC8107762D}" uniqueName="PartNumber" name="Part Number" dataDxfId="36">
      <xmlColumnPr mapId="18" xpath="/Capacitors/Part/PartNumber" xmlDataType="string"/>
    </tableColumn>
    <tableColumn id="2" xr3:uid="{0D3E1F2C-B0CC-4A36-A41B-2F2DAEC98E3B}" uniqueName="Description" name="Description" dataDxfId="35">
      <xmlColumnPr mapId="18" xpath="/Capacitors/Part/Description" xmlDataType="string"/>
    </tableColumn>
    <tableColumn id="3" xr3:uid="{16739D52-8082-4E8D-B1E1-B82F60766E2A}" uniqueName="Comment" name="Comment" dataDxfId="34">
      <xmlColumnPr mapId="18" xpath="/Capacitors/Part/Comment" xmlDataType="string"/>
    </tableColumn>
    <tableColumn id="4" xr3:uid="{AC1F3F2E-0C78-451D-9178-0A9D15C49726}" uniqueName="LibraryPath" name="Library Path" dataDxfId="33">
      <xmlColumnPr mapId="18" xpath="/Capacitors/Part/LibraryPath" xmlDataType="string"/>
    </tableColumn>
    <tableColumn id="5" xr3:uid="{9169ABA3-E41E-40E0-B785-3D3B749D70BB}" uniqueName="LibraryRef" name="Library Ref" dataDxfId="32">
      <xmlColumnPr mapId="18" xpath="/Capacitors/Part/LibraryRef" xmlDataType="string"/>
    </tableColumn>
    <tableColumn id="6" xr3:uid="{01EADD2D-36E6-41EE-B894-B537CCE6649E}" uniqueName="Value" name="Value" dataDxfId="31">
      <xmlColumnPr mapId="18" xpath="/Capacitors/Part/Value" xmlDataType="string"/>
    </tableColumn>
    <tableColumn id="7" xr3:uid="{EC779EF2-47DD-4E8F-A8D2-159E83C79180}" uniqueName="FootprintPath1" name="Footprint Path 1" dataDxfId="30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9">
      <xmlColumnPr mapId="18" xpath="/Capacitors/Part/FootprintRef1" xmlDataType="string"/>
    </tableColumn>
    <tableColumn id="9" xr3:uid="{85136BD9-A68F-40E0-9A6F-E71ECA929F04}" uniqueName="FootprintPath2" name="Footprint Path 2" dataDxfId="28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7">
      <xmlColumnPr mapId="18" xpath="/Capacitors/Part/FootprintRef2" xmlDataType="string"/>
    </tableColumn>
    <tableColumn id="11" xr3:uid="{50FA7750-FC9E-444C-8D52-C6B51BBD63C1}" uniqueName="FootprintPath3" name="Footprint Path 3" dataDxfId="26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5">
      <xmlColumnPr mapId="18" xpath="/Capacitors/Part/FootprintRef3" xmlDataType="string"/>
    </tableColumn>
    <tableColumn id="13" xr3:uid="{6B23463C-82AA-426D-ACBC-49A19C1D46FA}" uniqueName="FootprintPath4" name="Footprint Path 4" dataDxfId="24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3">
      <xmlColumnPr mapId="18" xpath="/Capacitors/Part/FootprintRef4" xmlDataType="string"/>
    </tableColumn>
    <tableColumn id="15" xr3:uid="{FD0F620C-73A8-49FB-B6E9-F06F81ED3185}" uniqueName="FootprintPath5" name="Footprint Path 5" dataDxfId="22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1">
      <xmlColumnPr mapId="18" xpath="/Capacitors/Part/FootprintRef5" xmlDataType="string"/>
    </tableColumn>
    <tableColumn id="17" xr3:uid="{130B1CD3-35EC-447E-93DF-ED8F8DC7A59A}" uniqueName="FootprintPath6" name="Footprint Path 6" dataDxfId="20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9">
      <xmlColumnPr mapId="18" xpath="/Capacitors/Part/FootprintRef6" xmlDataType="string"/>
    </tableColumn>
    <tableColumn id="19" xr3:uid="{6809872D-01AC-4EF6-B33F-6B8DA2D054C9}" uniqueName="FootprintPath7" name="Footprint Path 7" dataDxfId="18">
      <xmlColumnPr mapId="18" xpath="/Capacitors/Part/FootprintPath7" xmlDataType="string"/>
    </tableColumn>
    <tableColumn id="20" xr3:uid="{352E5BAE-89D3-4F1C-AA92-CDC22EDD2B11}" uniqueName="FootprintRef7" name="Footprint Ref 7" dataDxfId="1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5" dataDxfId="14" connectionId="7">
  <autoFilter ref="A1:I5" xr:uid="{071F457A-0F82-4CD6-80C4-65E86DBEF353}"/>
  <tableColumns count="9">
    <tableColumn id="1" xr3:uid="{AE9DCB61-0A9B-41D9-AC76-56D9ED6F9D71}" uniqueName="PartNumber" name="Part Number" dataDxfId="13">
      <xmlColumnPr mapId="11" xpath="/Other/Part/PartNumber" xmlDataType="string"/>
    </tableColumn>
    <tableColumn id="2" xr3:uid="{8662C04B-9C7C-48A2-ACC7-0FAAF1F41588}" uniqueName="Description" name="Description" dataDxfId="12">
      <xmlColumnPr mapId="11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4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154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abSelected="1" workbookViewId="0">
      <selection activeCell="F2" sqref="F2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153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162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163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164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165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166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167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168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8,3Ом и точностью 1 %</v>
      </c>
      <c r="C24" s="3" t="s">
        <v>26</v>
      </c>
      <c r="D24" s="3" t="s">
        <v>29</v>
      </c>
      <c r="E24" s="3" t="s">
        <v>26</v>
      </c>
      <c r="F24" s="5" t="s">
        <v>151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152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6"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6"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6"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6"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6"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 t="s">
        <v>155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6" t="s">
        <v>156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 t="s">
        <v>157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6" t="s">
        <v>158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 t="s">
        <v>159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6" t="s">
        <v>160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 t="s">
        <v>161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6"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6"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6"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83Ом и точностью 1 %</v>
      </c>
      <c r="C48" s="3" t="s">
        <v>26</v>
      </c>
      <c r="D48" s="3" t="s">
        <v>29</v>
      </c>
      <c r="E48" s="3" t="s">
        <v>26</v>
      </c>
      <c r="F48" s="5">
        <v>83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6"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9">
        <f>F26*10</f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9">
        <f>F27*10</f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9">
        <f>F28*10</f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9">
        <f>F29*10</f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9">
        <f>F30*10</f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9">
        <f>F31*10</f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9">
        <f>F32*10</f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9">
        <f>F33*10</f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9">
        <f>F34*10</f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9">
        <f>F35*10</f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9">
        <f>F36*10</f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9">
        <f>F37*10</f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9">
        <f>F38*10</f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9">
        <f>F39*10</f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9">
        <f>F40*10</f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9">
        <f>F41*10</f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9">
        <f>F42*10</f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9">
        <f>F43*10</f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9">
        <f>F44*10</f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9">
        <f>F45*10</f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9">
        <f>F46*10</f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9">
        <f>F47*10</f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830Ом и точностью 1 %</v>
      </c>
      <c r="C72" s="3" t="s">
        <v>26</v>
      </c>
      <c r="D72" s="3" t="s">
        <v>29</v>
      </c>
      <c r="E72" s="3" t="s">
        <v>26</v>
      </c>
      <c r="F72" s="9">
        <f>F48*10</f>
        <v>830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9">
        <f>F49*10</f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>CONCATENATE(F3," к")</f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>CONCATENATE(F4," к")</f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>CONCATENATE(F5," к")</f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>CONCATENATE(F6," к")</f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>CONCATENATE(F7," к")</f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>CONCATENATE(F8," к")</f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>CONCATENATE(F9," к")</f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>CONCATENATE(F10," к")</f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>CONCATENATE(F11," к")</f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>CONCATENATE(F12," к")</f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>CONCATENATE(F13," к")</f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>CONCATENATE(F14," к")</f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>CONCATENATE(F15," к")</f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>CONCATENATE(F16," к")</f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>CONCATENATE(F17," к")</f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>CONCATENATE(F18," к")</f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>CONCATENATE(F19," к")</f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>CONCATENATE(F20," к")</f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>CONCATENATE(F21," к")</f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>CONCATENATE(F22," к")</f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>CONCATENATE(F23," к")</f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8,3 кОм и точностью 1 %</v>
      </c>
      <c r="C96" s="3" t="s">
        <v>26</v>
      </c>
      <c r="D96" s="3" t="s">
        <v>29</v>
      </c>
      <c r="E96" s="3" t="s">
        <v>26</v>
      </c>
      <c r="F96" s="2" t="str">
        <f>CONCATENATE(F24," к")</f>
        <v>8,3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>CONCATENATE(F25," к")</f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>CONCATENATE(F26," к")</f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>CONCATENATE(F27," к")</f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>CONCATENATE(F28," к")</f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>CONCATENATE(F29," к")</f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>CONCATENATE(F30," к")</f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>CONCATENATE(F31," к")</f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>CONCATENATE(F32," к")</f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>CONCATENATE(F33," к")</f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>CONCATENATE(F35," к")</f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>CONCATENATE(F36," к")</f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>CONCATENATE(F37," к")</f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>CONCATENATE(F38," к")</f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>CONCATENATE(F39," к")</f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>CONCATENATE(F40," к")</f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>CONCATENATE(F41," к")</f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>CONCATENATE(F42," к")</f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>CONCATENATE(F43," к")</f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>CONCATENATE(F44," к")</f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>CONCATENATE(F45," к")</f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>CONCATENATE(F46," к")</f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>CONCATENATE(F47," к")</f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83 кОм и точностью 1 %</v>
      </c>
      <c r="C120" s="3" t="s">
        <v>26</v>
      </c>
      <c r="D120" s="3" t="s">
        <v>29</v>
      </c>
      <c r="E120" s="3" t="s">
        <v>26</v>
      </c>
      <c r="F120" s="2" t="str">
        <f>CONCATENATE(F48," к")</f>
        <v>83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>CONCATENATE(F49," к")</f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>CONCATENATE(F50," к")</f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>CONCATENATE(F51," к")</f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>CONCATENATE(F52," к")</f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>CONCATENATE(F53," к")</f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>CONCATENATE(F54," к")</f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>CONCATENATE(F55," к")</f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>CONCATENATE(F56," к")</f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>CONCATENATE(F57," к")</f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>CONCATENATE(F58," к")</f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>CONCATENATE(F59," к")</f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>CONCATENATE(F60," к")</f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>CONCATENATE(F61," к")</f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>CONCATENATE(F62," к")</f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>CONCATENATE(F63," к")</f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>CONCATENATE(F64," к")</f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>CONCATENATE(F65," к")</f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>CONCATENATE(F67," к")</f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>CONCATENATE(F68," к")</f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>CONCATENATE(F69," к")</f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>CONCATENATE(F70," к")</f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>CONCATENATE(F71," к")</f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830 кОм и точностью 1 %</v>
      </c>
      <c r="C144" s="3" t="s">
        <v>26</v>
      </c>
      <c r="D144" s="3" t="s">
        <v>29</v>
      </c>
      <c r="E144" s="3" t="s">
        <v>26</v>
      </c>
      <c r="F144" s="2" t="str">
        <f>CONCATENATE(F72," к")</f>
        <v>830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>CONCATENATE(F73," к")</f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>CONCATENATE(F3," М")</f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>CONCATENATE(F4," М")</f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>CONCATENATE(F5," М")</f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>CONCATENATE(F6," М")</f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>CONCATENATE(F7," М")</f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>CONCATENATE(F8," М")</f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>CONCATENATE(F9," М")</f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>CONCATENATE(F10," М")</f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>CONCATENATE(F11," М")</f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>CONCATENATE(F12," М")</f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>CONCATENATE(F13," М")</f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>CONCATENATE(F14," М")</f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>CONCATENATE(F15," М")</f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>CONCATENATE(F16," М")</f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>CONCATENATE(F17," М")</f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>CONCATENATE(F18," М")</f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>CONCATENATE(F19," М")</f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>CONCATENATE(F20," М")</f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>CONCATENATE(F21," М")</f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>CONCATENATE(F22," М")</f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>CONCATENATE(F23," М")</f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8,3 МОм и точностью 1 %</v>
      </c>
      <c r="C168" s="3" t="s">
        <v>26</v>
      </c>
      <c r="D168" s="3" t="s">
        <v>29</v>
      </c>
      <c r="E168" s="3" t="s">
        <v>26</v>
      </c>
      <c r="F168" s="7" t="str">
        <f>CONCATENATE(F24," М")</f>
        <v>8,3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>CONCATENATE(F25," М")</f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>CONCATENATE(F26," М")</f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2024-11-08T20:14:54Z</dcterms:modified>
</cp:coreProperties>
</file>