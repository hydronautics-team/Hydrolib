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4803DAB8-5A7F-439F-BDB7-47E4190F495D}" xr6:coauthVersionLast="47" xr6:coauthVersionMax="47" xr10:uidLastSave="{00000000-0000-0000-0000-000000000000}"/>
  <bookViews>
    <workbookView xWindow="-108" yWindow="-108" windowWidth="23256" windowHeight="12456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67" i="6" l="1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<sst xmlns="http://schemas.openxmlformats.org/spreadsheetml/2006/main" count="3842" uniqueCount="1593">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</sst>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6" tableType="xml" totalsRowShown="0" headerRowDxfId="146" connectionId="6">
  <autoFilter ref="A1:M56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20" dataDxfId="119" connectionId="14">
  <autoFilter ref="A1:O185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3" connectionId="12">
  <autoFilter ref="A1:L3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6" headerRowBorderDxfId="65" tableBorderDxfId="64" connectionId="2">
  <autoFilter ref="A1:N50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4" tableType="xml" totalsRowShown="0" headerRowDxfId="46" connectionId="9">
  <autoFilter ref="A1:R24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7" tableType="xml" totalsRowShown="0" headerRowDxfId="3" connectionId="7">
  <autoFilter ref="A1:L67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cdn.promelec.ru/upload/items/2023/10/13/NSi8100NC_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6"/>
  <sheetViews>
    <sheetView topLeftCell="A3" zoomScale="85" zoomScaleNormal="85" workbookViewId="0">
      <selection activeCell="F62" sqref="F62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s="38" t="s">
        <v>1523</v>
      </c>
      <c r="M54" t="s">
        <v>1426</v>
      </c>
    </row>
    <row r="55" spans="1:13" x14ac:dyDescent="0.3">
      <c r="A55" t="s">
        <v>1578</v>
      </c>
      <c r="B55" t="s">
        <v>1579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1377</v>
      </c>
      <c r="L55" t="s">
        <v>1577</v>
      </c>
      <c r="M55" t="s">
        <v>1426</v>
      </c>
    </row>
    <row r="56" spans="1:13" x14ac:dyDescent="0.3">
      <c r="A56" t="s">
        <v>1588</v>
      </c>
      <c r="B56" t="s">
        <v>1585</v>
      </c>
      <c r="C56" s="2" t="str">
        <f>A56</f>
        <v>NSi8100NC</v>
      </c>
      <c r="D56" t="str">
        <f>CONCATENATE("Schematic\",A56,".SchLib")</f>
        <v>Schematic\NSi8100NC.SchLib</v>
      </c>
      <c r="E56" t="str">
        <f>A56</f>
        <v>NSi8100NC</v>
      </c>
      <c r="F56" t="str">
        <f>CONCATENATE("Footprints\",G56,".PcbLib")</f>
        <v>Footprints\SOIC-8.PcbLib</v>
      </c>
      <c r="G56" s="2" t="s">
        <v>76</v>
      </c>
      <c r="L56" s="38" t="s">
        <v>1586</v>
      </c>
      <c r="M56" t="s">
        <v>1587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</hyperlinks>
  <pageMargins left="0.7" right="0.7" top="0.75" bottom="0.75" header="0.3" footer="0.3"/>
  <pageSetup paperSize="9"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 t="s">
        <v>1580</v>
      </c>
      <c r="B185" s="3" t="s">
        <v>1259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1447</v>
      </c>
      <c r="I185" s="3" t="s">
        <v>1448</v>
      </c>
      <c r="J185" s="1"/>
      <c r="K185" s="1"/>
      <c r="L185" s="1"/>
      <c r="M185" s="1"/>
      <c r="N185" s="1"/>
      <c r="O185" s="1" t="s">
        <v>1426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4"/>
  <sheetViews>
    <sheetView zoomScale="85" zoomScaleNormal="85" workbookViewId="0">
      <selection activeCell="N26" sqref="N26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  <row r="24" spans="1:18" x14ac:dyDescent="0.3">
      <c r="A24" t="s">
        <v>1581</v>
      </c>
      <c r="B24" t="s">
        <v>1582</v>
      </c>
      <c r="C24" t="str">
        <f>A24</f>
        <v>B78476A8065A003</v>
      </c>
      <c r="D24" s="2" t="s">
        <v>1583</v>
      </c>
      <c r="E24" t="s">
        <v>1581</v>
      </c>
      <c r="F24" s="2" t="str">
        <f>CONCATENATE("Footprints\Inductance\",G24,".PcbLib")</f>
        <v>Footprints\Inductance\B78476A8065A003.PcbLib</v>
      </c>
      <c r="G24" s="2" t="s">
        <v>1581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1503</v>
      </c>
      <c r="P24" t="s">
        <v>1504</v>
      </c>
      <c r="Q24" t="s">
        <v>1584</v>
      </c>
      <c r="R24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955</v>
      </c>
      <c r="P1" s="56" t="s">
        <v>1425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1571</v>
      </c>
      <c r="N6" s="53"/>
      <c r="O6" s="53"/>
      <c r="P6" s="53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1426</v>
      </c>
    </row>
    <row r="9" spans="1:20" x14ac:dyDescent="0.3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987</v>
      </c>
      <c r="P13" s="5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6"/>
        <v>Footprints\CR2032-VAY3-15.2.PcbLib</v>
      </c>
      <c r="G15" t="s">
        <v>1011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7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1407</v>
      </c>
      <c r="O18" s="53" t="s">
        <v>1408</v>
      </c>
      <c r="P18" s="53" t="s">
        <v>1426</v>
      </c>
    </row>
    <row r="19" spans="1:16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1450</v>
      </c>
      <c r="P19" s="53" t="s">
        <v>1451</v>
      </c>
    </row>
    <row r="20" spans="1:16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M20" s="53"/>
      <c r="N20" s="53"/>
      <c r="O20" s="23" t="s">
        <v>987</v>
      </c>
      <c r="P20" s="53" t="s">
        <v>1451</v>
      </c>
    </row>
    <row r="21" spans="1:16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1549</v>
      </c>
      <c r="O21" s="53"/>
      <c r="P21" s="53" t="s">
        <v>1426</v>
      </c>
    </row>
    <row r="22" spans="1:16" x14ac:dyDescent="0.3">
      <c r="A22" s="53" t="s">
        <v>1537</v>
      </c>
      <c r="B22" s="53" t="s">
        <v>1540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1550</v>
      </c>
      <c r="O22" s="53"/>
      <c r="P22" s="53" t="s">
        <v>1426</v>
      </c>
    </row>
    <row r="23" spans="1:16" x14ac:dyDescent="0.3">
      <c r="A23" s="53" t="s">
        <v>1538</v>
      </c>
      <c r="B23" s="53" t="s">
        <v>1541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1551</v>
      </c>
      <c r="O23" s="53"/>
      <c r="P23" s="53" t="s">
        <v>1426</v>
      </c>
    </row>
    <row r="24" spans="1:16" x14ac:dyDescent="0.3">
      <c r="A24" s="53" t="s">
        <v>1539</v>
      </c>
      <c r="B24" s="53" t="s">
        <v>1542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1552</v>
      </c>
      <c r="O24" s="53"/>
      <c r="P24" s="53" t="s">
        <v>1426</v>
      </c>
    </row>
    <row r="25" spans="1:16" x14ac:dyDescent="0.3">
      <c r="A25" s="57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1548</v>
      </c>
      <c r="O25" s="53"/>
      <c r="P25" s="53" t="s">
        <v>1426</v>
      </c>
    </row>
    <row r="26" spans="1:16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7"/>
  <sheetViews>
    <sheetView tabSelected="1" topLeftCell="A24" zoomScale="55" zoomScaleNormal="55" workbookViewId="0">
      <selection activeCell="G73" sqref="G73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">
      <c r="A63" t="s">
        <v>1556</v>
      </c>
      <c r="B63" t="s">
        <v>1559</v>
      </c>
      <c r="C63" s="2" t="s">
        <v>1556</v>
      </c>
      <c r="D63" s="54" t="s">
        <v>1555</v>
      </c>
      <c r="E63" t="s">
        <v>1556</v>
      </c>
      <c r="F63" s="54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">
      <c r="A64" t="s">
        <v>1561</v>
      </c>
      <c r="B64" t="s">
        <v>1560</v>
      </c>
      <c r="C64">
        <v>467650001</v>
      </c>
      <c r="D64" s="54" t="s">
        <v>1562</v>
      </c>
      <c r="E64">
        <v>467650001</v>
      </c>
      <c r="F64" s="54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">
      <c r="A65" t="s">
        <v>1569</v>
      </c>
      <c r="B65" t="s">
        <v>1570</v>
      </c>
      <c r="C65" s="2" t="s">
        <v>1569</v>
      </c>
      <c r="D65" s="54" t="s">
        <v>1567</v>
      </c>
      <c r="E65" t="s">
        <v>1565</v>
      </c>
      <c r="F65" s="54" t="s">
        <v>1566</v>
      </c>
      <c r="G65" t="s">
        <v>1565</v>
      </c>
      <c r="J65" t="s">
        <v>1568</v>
      </c>
      <c r="K65" s="40" t="s">
        <v>979</v>
      </c>
      <c r="L65" t="s">
        <v>1426</v>
      </c>
    </row>
    <row r="66" spans="1:12" x14ac:dyDescent="0.3">
      <c r="A66" t="s">
        <v>1572</v>
      </c>
      <c r="B66" t="s">
        <v>1576</v>
      </c>
      <c r="C66" s="2" t="s">
        <v>1572</v>
      </c>
      <c r="D66" s="54" t="s">
        <v>1573</v>
      </c>
      <c r="E66" t="s">
        <v>1572</v>
      </c>
      <c r="F66" s="54" t="s">
        <v>1574</v>
      </c>
      <c r="G66" t="s">
        <v>1572</v>
      </c>
      <c r="J66" t="s">
        <v>1575</v>
      </c>
      <c r="K66" s="40" t="s">
        <v>979</v>
      </c>
      <c r="L66" t="s">
        <v>1426</v>
      </c>
    </row>
    <row r="67" spans="1:12" x14ac:dyDescent="0.3">
      <c r="A67" t="s">
        <v>1590</v>
      </c>
      <c r="B67" t="s">
        <v>1591</v>
      </c>
      <c r="C67" s="2" t="s">
        <v>1590</v>
      </c>
      <c r="D67" t="str">
        <f t="shared" ref="D67" si="11">CONCATENATE("Schematic\Connectors\", E67, ".SchLib")</f>
        <v>Schematic\Connectors\Conn_4pin_sh.SchLib</v>
      </c>
      <c r="E67" t="s">
        <v>1589</v>
      </c>
      <c r="F67" t="str">
        <f t="shared" ref="F67" si="12">CONCATENATE("Footprints\Connectors\", G67, ".PcbLib")</f>
        <v>Footprints\Connectors\BM04B-SRSS-TB.PcbLib</v>
      </c>
      <c r="G67" t="s">
        <v>1590</v>
      </c>
      <c r="J67" s="38" t="s">
        <v>1592</v>
      </c>
      <c r="K67" s="40" t="s">
        <v>979</v>
      </c>
      <c r="L67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2026-03-30T19:00:53Z</dcterms:modified>
</cp:coreProperties>
</file>