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A96374BE-BC81-4723-A651-5B41469BA838}" xr6:coauthVersionLast="47" xr6:coauthVersionMax="47" xr10:uidLastSave="{00000000-0000-0000-0000-000000000000}"/>
  <bookViews>
    <workbookView xWindow="-110" yWindow="-110" windowWidth="25820" windowHeight="15500" firstSheet="7" activeTab="12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5" l="1"/>
  <c r="D18" i="5"/>
  <c r="E18" i="5"/>
  <c r="J18" i="5"/>
  <c r="D17" i="5"/>
  <c r="J16" i="5"/>
  <c r="J17" i="5"/>
  <c r="C11" i="4"/>
  <c r="F11" i="4"/>
  <c r="F43" i="1"/>
  <c r="C44" i="1"/>
  <c r="D44" i="1"/>
  <c r="E44" i="1"/>
  <c r="F44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<sst xmlns="http://schemas.openxmlformats.org/spreadsheetml/2006/main" count="3102" uniqueCount="1283">
  <si>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</si>
  <si>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</si>
  <si>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</si>
  <si>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</si>
  <si>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</si>
  <si>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</si>
  <si>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</si>
  <si>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</si>
  <si>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</si>
  <si>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</si>
  <si>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</si>
  <si>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</si>
  <si>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</si>
  <si>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</si>
  <si>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</si>
  <si>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</si>
  <si>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</si>
  <si>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</si>
  <si>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</si>
  <si>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</si>
  <si>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</si>
  <si>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</si>
  <si>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</si>
  <si>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</si>
  <si>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</si>
  <si>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</si>
  <si>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</si>
  <si>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</si>
  <si>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</si>
  <si>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</si>
  <si>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</si>
  <si>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</si>
  <si>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</si>
  <si>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</si>
  <si>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</si>
  <si>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</si>
  <si>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</si>
  <si>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</si>
  <si>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</si>
  <si>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</si>
  <si>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</si>
  <si>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</si>
  <si>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</si>
  <si>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</si>
  <si>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</si>
  <si>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</si>
  <si>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</si>
  <si>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</si>
  <si>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</si>
  <si>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</si>
  <si>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</si>
  <si>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</si>
  <si>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</si>
  <si>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</si>
  <si>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</si>
  <si>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</si>
  <si>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</si>
  <si>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</si>
  <si>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</si>
  <si>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</si>
  <si>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</si>
  <si>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</si>
  <si>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</si>
  <si>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</si>
  <si>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</si>
  <si>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</si>
  <si>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</si>
  <si>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</si>
  <si>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</si>
  <si>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</si>
  <si>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</si>
  <si>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</si>
  <si>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</si>
  <si>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</si>
  <si>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</si>
  <si>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</si>
  <si>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</si>
  <si>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</si>
  <si>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</si>
  <si>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</si>
  <si>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</si>
  <si>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</si>
  <si>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</si>
  <si>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</si>
  <si>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</si>
  <si>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</si>
  <si>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</si>
  <si>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</si>
  <si>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</si>
  <si>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</si>
  <si>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</si>
  <si>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</si>
  <si>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</si>
  <si>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</si>
  <si>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</si>
  <si>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</si>
  <si>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</si>
  <si>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</si>
  <si>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</si>
  <si>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</si>
  <si>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</si>
  <si>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</si>
  <si>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</si>
  <si>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</si>
  <si>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</si>
  <si>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</si>
  <si>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</si>
  <si>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</si>
  <si>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</si>
  <si>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</si>
  <si>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</si>
  <si>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</si>
  <si>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</si>
  <si>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</si>
  <si>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</si>
  <si>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</si>
  <si>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</si>
  <si>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</si>
  <si>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</si>
  <si>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</si>
  <si>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</si>
  <si>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</si>
  <si>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</si>
  <si>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</si>
  <si>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</si>
  <si>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</si>
  <si>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</si>
  <si>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</si>
  <si>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</si>
  <si>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</si>
  <si>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</si>
  <si>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</si>
  <si>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</si>
  <si>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</si>
  <si>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</si>
  <si>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</si>
  <si>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</si>
  <si>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</si>
  <si>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</si>
  <si>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</si>
  <si>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</si>
  <si>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</si>
  <si>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</si>
  <si>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</si>
  <si>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</si>
  <si>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</si>
  <si>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</si>
  <si>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</si>
  <si>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</si>
  <si>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</si>
  <si>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</si>
  <si>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</si>
  <si>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</si>
  <si>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</si>
  <si>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</si>
  <si>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</si>
  <si>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</si>
  <si>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</si>
  <si>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</si>
  <si>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</si>
  <si>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</si>
  <si>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</si>
  <si>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</si>
  <si>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</si>
  <si>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</si>
  <si>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</si>
  <si>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</si>
  <si>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</si>
  <si>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</si>
  <si>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</si>
  <si>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</si>
  <si>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</si>
  <si>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</si>
  <si>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</si>
  <si>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</si>
  <si>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</si>
  <si>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</si>
  <si>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</si>
  <si>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</si>
  <si>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</si>
  <si>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</si>
  <si>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</si>
  <si>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</si>
  <si>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</si>
  <si>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</si>
  <si>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</si>
  <si>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</si>
  <si>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</si>
  <si>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</si>
  <si>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</si>
  <si>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</si>
  <si>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</si>
  <si>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</si>
  <si>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</si>
  <si>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</si>
  <si>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</si>
  <si>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</si>
  <si>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</si>
  <si>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</si>
  <si>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</si>
  <si>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</si>
  <si>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</si>
  <si>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</si>
  <si>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</si>
  <si>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</si>
  <si>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</si>
  <si>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</si>
  <si>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</si>
  <si>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</si>
  <si>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</si>
  <si>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</si>
  <si>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</si>
  <si>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</si>
  <si>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</si>
  <si>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</si>
  <si>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</si>
  <si>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</si>
  <si>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</si>
  <si>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</si>
  <si>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</si>
  <si>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</si>
  <si>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</si>
  <si>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</si>
  <si>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</si>
  <si>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</si>
  <si>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</si>
  <si>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</si>
  <si>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</si>
  <si>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</si>
  <si>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</si>
  <si>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</si>
  <si>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</si>
  <si>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</si>
  <si>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</si>
  <si>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</si>
  <si>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</si>
  <si>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</si>
  <si>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</si>
  <si>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</si>
  <si>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</si>
  <si>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</si>
  <si>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</si>
  <si>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</si>
  <si>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</si>
  <si>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</si>
  <si>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</si>
  <si>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</si>
  <si>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</si>
  <si>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</si>
  <si>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</si>
  <si>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</si>
  <si>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</si>
  <si>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</si>
  <si>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</si>
  <si>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</si>
  <si>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</si>
  <si>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</si>
  <si>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</si>
  <si>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</si>
  <si>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</si>
  <si>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</si>
  <si>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</si>
  <si>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</si>
  <si>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</si>
  <si>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</si>
  <si>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</si>
  <si>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</si>
  <si>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</si>
  <si>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</si>
  <si>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</si>
  <si>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</si>
  <si>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</si>
  <si>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</si>
  <si>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</si>
  <si>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</si>
  <si>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</si>
  <si>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</si>
  <si>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</si>
  <si>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</si>
  <si>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</si>
  <si>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</si>
  <si>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</si>
  <si>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</si>
  <si>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</si>
  <si>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</si>
  <si>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</si>
  <si>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</si>
  <si>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</si>
  <si>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</si>
  <si>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</si>
  <si>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</si>
  <si>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</si>
  <si>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</si>
  <si>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</si>
  <si>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</si>
  <si>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</si>
  <si>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</si>
  <si>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</si>
  <si>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</si>
  <si>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</si>
  <si>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</si>
  <si>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</si>
  <si>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</si>
  <si>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</si>
  <si>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</si>
  <si>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</si>
  <si>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</si>
  <si>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</si>
  <si>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</si>
  <si>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</si>
  <si>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</si>
  <si>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</si>
  <si>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</si>
  <si>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</si>
  <si>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</si>
  <si>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</si>
  <si>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</si>
  <si>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</si>
  <si>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</si>
  <si>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</si>
  <si>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</si>
  <si>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</si>
  <si>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</si>
  <si>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</si>
  <si>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</si>
  <si>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</si>
  <si>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</si>
  <si>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</si>
  <si>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</si>
  <si>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</si>
  <si>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</si>
  <si>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</si>
  <si>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</si>
  <si>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</si>
  <si>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</si>
  <si>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</si>
  <si>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</si>
  <si>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</si>
  <si>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</si>
  <si>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</si>
  <si>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</si>
  <si>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</si>
  <si>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</si>
  <si>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</si>
  <si>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</si>
  <si>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</si>
  <si>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</si>
  <si>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</si>
  <si>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</si>
  <si>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</si>
  <si>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</si>
  <si>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</si>
  <si>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</si>
  <si>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</si>
  <si>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</si>
  <si>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</si>
  <si>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</si>
  <si>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</si>
  <si>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</si>
  <si>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</si>
  <si>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</si>
  <si>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</si>
  <si>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</si>
  <si>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</si>
  <si>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</si>
  <si>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</si>
  <si>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</si>
  <si>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</si>
  <si>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</si>
  <si>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</si>
  <si>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</si>
  <si>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</si>
  <si>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</si>
  <si>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</si>
  <si>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</si>
  <si>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</si>
  <si>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</si>
  <si>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</si>
  <si>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</si>
  <si>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</si>
  <si>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</si>
  <si>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</si>
  <si>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</si>
  <si>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</si>
  <si>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</si>
  <si>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</si>
  <si>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</si>
  <si>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</si>
  <si>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</si>
  <si>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</si>
  <si>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</si>
  <si>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</si>
  <si>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</si>
  <si>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</si>
  <si>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</si>
  <si>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</si>
  <si>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</si>
  <si>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</si>
  <si>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</si>
  <si>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</si>
  <si>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</si>
  <si>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</si>
  <si>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</si>
  <si>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</si>
  <si>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</si>
  <si>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</si>
  <si>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</si>
  <si>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</si>
  <si>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</si>
  <si>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</si>
  <si>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</si>
  <si>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</si>
  <si>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</si>
  <si>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</si>
  <si>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</si>
  <si>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</si>
  <si>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</si>
  <si>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</si>
  <si>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</si>
  <si>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</si>
  <si>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</si>
  <si>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</si>
  <si>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</si>
  <si>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</si>
  <si>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</si>
  <si>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</si>
  <si>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</si>
  <si>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</si>
  <si>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</si>
  <si>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</si>
  <si>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</si>
  <si>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</si>
  <si>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</si>
  <si>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</si>
  <si>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</si>
  <si>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</si>
  <si>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</si>
  <si>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</si>
  <si>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</si>
  <si>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</si>
  <si>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</si>
  <si>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</si>
  <si>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</si>
  <si>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</si>
  <si>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</si>
  <si>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</si>
  <si>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</si>
  <si>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</si>
  <si>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</si>
  <si>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</si>
  <si>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</si>
  <si>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</si>
  <si>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</si>
  <si>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</si>
  <si>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</si>
  <si>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</si>
  <si>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</si>
  <si>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</si>
  <si>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</si>
  <si>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</si>
  <si>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</si>
  <si>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</si>
  <si>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</si>
  <si>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</si>
  <si>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</si>
  <si>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</si>
  <si>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</si>
  <si>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</si>
  <si>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</si>
  <si>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</si>
  <si>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</si>
  <si>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</si>
  <si>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</si>
  <si>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</si>
  <si>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</si>
  <si>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</si>
  <si>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</si>
  <si>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</si>
  <si>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</si>
  <si>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</si>
  <si>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</si>
  <si>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</si>
  <si>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</si>
  <si>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</si>
  <si>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</si>
  <si>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</si>
  <si>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</si>
  <si>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</si>
  <si>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</si>
  <si>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</si>
  <si>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</si>
  <si>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</si>
  <si>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</si>
  <si>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</si>
  <si>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</si>
  <si>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</si>
  <si>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</si>
  <si>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</si>
  <si>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</si>
  <si>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</si>
  <si>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</si>
  <si>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</si>
  <si>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</si>
  <si>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</si>
  <si>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</si>
  <si>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</si>
  <si>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</si>
  <si>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</si>
  <si>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</si>
  <si>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</si>
  <si>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</si>
  <si>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</si>
  <si>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</si>
  <si>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</si>
  <si>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</si>
  <si>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</si>
  <si>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</si>
  <si>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</si>
  <si>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</si>
  <si>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</si>
  <si>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</si>
  <si>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</si>
  <si>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</si>
  <si>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</si>
  <si>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</si>
  <si>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</si>
  <si>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</si>
  <si>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</si>
  <si>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</si>
  <si>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</si>
  <si>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</si>
  <si>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</si>
  <si>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</si>
  <si>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</si>
  <si>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</si>
  <si>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</si>
  <si>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</si>
  <si>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</si>
  <si>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</si>
  <si>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</si>
  <si>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</si>
  <si>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</si>
  <si>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</si>
  <si>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</si>
  <si>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</si>
  <si>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</si>
  <si>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</si>
  <si>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</si>
  <si>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</si>
  <si>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</si>
  <si>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</si>
  <si>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</si>
  <si>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</si>
  <si>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</si>
  <si>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</si>
  <si>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</si>
  <si>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</si>
  <si>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</si>
  <si>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</si>
  <si>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</si>
  <si>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</si>
  <si>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</si>
  <si>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</si>
  <si>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</si>
  <si>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</si>
  <si>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</si>
  <si>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</si>
  <si>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</si>
  <si>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</si>
  <si>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</si>
  <si>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</si>
  <si>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</si>
  <si>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</si>
  <si>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</si>
  <si>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</si>
  <si>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</si>
  <si>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</si>
  <si>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</si>
  <si>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</si>
  <si>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</si>
  <si>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</si>
  <si>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</si>
  <si>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</si>
  <si>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</si>
  <si>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</si>
  <si>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</si>
  <si>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</si>
  <si>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</si>
  <si>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</si>
  <si>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</si>
  <si>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</si>
  <si>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</si>
  <si>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</si>
  <si>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</si>
  <si>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</si>
  <si>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</si>
  <si>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</si>
  <si>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</si>
  <si>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</si>
  <si>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</si>
  <si>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</si>
  <si>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</si>
  <si>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</si>
  <si>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</si>
  <si>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</si>
  <si>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</si>
  <si>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</si>
  <si>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</si>
  <si>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</si>
  <si>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</si>
  <si>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</si>
  <si>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</si>
  <si>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</si>
  <si>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</si>
  <si>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</si>
  <si>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</si>
  <si>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</si>
  <si>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</si>
  <si>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</si>
  <si>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</si>
  <si>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</si>
  <si>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</si>
  <si>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</si>
  <si>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</si>
  <si>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</si>
  <si>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</si>
  <si>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</si>
  <si>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</si>
  <si>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</si>
  <si>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</si>
  <si>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</si>
  <si>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</si>
  <si>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</si>
  <si>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</si>
  <si>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</si>
  <si>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</si>
  <si>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</si>
  <si>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</si>
  <si>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</si>
  <si>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</si>
  <si>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</si>
  <si>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</si>
  <si>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</si>
  <si>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</si>
  <si>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</si>
  <si>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</si>
  <si>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</si>
  <si>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</si>
  <si>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</si>
  <si>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</si>
  <si>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</si>
  <si>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</si>
  <si>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</si>
  <si>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</si>
  <si>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</si>
  <si>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</si>
  <si>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</si>
  <si>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</si>
  <si>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</si>
  <si>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</si>
  <si>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</si>
  <si>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</si>
  <si>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</si>
  <si>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</si>
  <si>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</si>
  <si>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</si>
  <si>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</si>
  <si>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</si>
  <si>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</si>
  <si>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</si>
  <si>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</si>
  <si>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</si>
  <si>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</si>
  <si>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</si>
  <si>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</si>
  <si>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</si>
  <si>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</si>
  <si>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</si>
  <si>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</si>
  <si>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</si>
  <si>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</si>
  <si>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</si>
  <si>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</si>
  <si>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</si>
  <si>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</si>
  <si>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</si>
  <si>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</si>
  <si>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</si>
  <si>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</si>
  <si>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</si>
  <si>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</si>
  <si>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</si>
  <si>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</si>
  <si>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</si>
  <si>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</si>
  <si>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</si>
  <si>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</si>
  <si>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</si>
  <si>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</si>
  <si>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</si>
  <si>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</si>
  <si>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</si>
  <si>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</si>
  <si>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</si>
  <si>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</si>
  <si>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</si>
  <si>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</si>
  <si>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</si>
  <si>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</si>
  <si>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</si>
  <si>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</si>
  <si>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</si>
  <si>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</si>
  <si>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</si>
  <si>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</si>
  <si>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</si>
  <si>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</si>
  <si>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</si>
  <si>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</si>
  <si>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</si>
  <si>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</si>
  <si>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</si>
  <si>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</si>
  <si>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</si>
  <si>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</si>
  <si>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</si>
  <si>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</si>
  <si>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</si>
  <si>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</si>
  <si>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</si>
  <si>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</si>
  <si>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</si>
  <si>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</si>
  <si>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</si>
  <si>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</si>
  <si>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</si>
  <si>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</si>
  <si>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</si>
  <si>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</si>
  <si>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</si>
  <si>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</si>
  <si>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</si>
  <si>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</si>
  <si>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</si>
  <si>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</si>
  <si>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</si>
  <si>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</si>
  <si>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</si>
  <si>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</si>
  <si>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</si>
  <si>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</si>
  <si>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</si>
  <si>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</si>
  <si>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</si>
  <si>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</si>
  <si>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</si>
  <si>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</si>
  <si>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</si>
  <si>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</si>
  <si>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</si>
  <si>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</si>
  <si>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</si>
  <si>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</si>
  <si>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</si>
  <si>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</si>
  <si>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</si>
  <si>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</si>
  <si>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</si>
  <si>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</si>
  <si>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</si>
  <si>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</si>
  <si>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</si>
  <si>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</si>
  <si>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</si>
  <si>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</si>
  <si>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</si>
  <si>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</si>
  <si>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</si>
  <si>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</si>
  <si>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</si>
  <si>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</si>
  <si>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</si>
  <si>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</si>
  <si>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</si>
  <si>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</si>
  <si>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</si>
  <si>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</si>
  <si>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</si>
  <si>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</si>
  <si>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</si>
  <si>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</si>
  <si>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</si>
  <si>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</si>
  <si>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</si>
  <si>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</si>
  <si>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</si>
  <si>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</si>
  <si>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</si>
  <si>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</si>
  <si>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</si>
  <si>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</si>
  <si>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</si>
  <si>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</si>
  <si>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</si>
  <si>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</si>
  <si>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</si>
  <si>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</si>
  <si>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</si>
  <si>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</si>
  <si>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</si>
  <si>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</si>
  <si>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</si>
  <si>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</si>
  <si>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</si>
  <si>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</si>
  <si>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</si>
  <si>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</si>
  <si>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</si>
  <si>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</si>
  <si>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</si>
  <si>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</si>
  <si>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</si>
  <si>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</si>
  <si>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</si>
  <si>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</si>
  <si>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</si>
  <si>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</si>
  <si>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</si>
  <si>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</si>
  <si>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</si>
  <si>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</si>
  <si>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</si>
  <si>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</si>
  <si>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</si>
  <si>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</si>
  <si>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</si>
  <si>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</si>
  <si>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</si>
  <si>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</si>
  <si>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</si>
  <si>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</si>
  <si>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</si>
  <si>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</si>
  <si>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</si>
  <si>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</si>
  <si>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</si>
  <si>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</si>
  <si>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</si>
  <si>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</si>
  <si>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</si>
  <si>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</si>
  <si>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</si>
  <si>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</si>
  <si>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</si>
  <si>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</si>
  <si>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</si>
  <si>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</si>
  <si>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</si>
  <si>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</si>
  <si>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</si>
  <si>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</si>
  <si>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</si>
  <si>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</si>
  <si>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</si>
  <si>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</si>
  <si>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</si>
  <si>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</si>
  <si>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</si>
  <si>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</si>
  <si>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</si>
  <si>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</si>
  <si>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</si>
  <si>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</si>
  <si>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</si>
  <si>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</si>
  <si>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</si>
  <si>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</si>
  <si>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</si>
  <si>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</si>
  <si>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</si>
  <si>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</si>
  <si>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</si>
  <si>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</si>
  <si>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</si>
  <si>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</si>
  <si>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</si>
  <si>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</si>
  <si>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</si>
  <si>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</si>
  <si>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</si>
  <si>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</si>
  <si>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</si>
  <si>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</si>
  <si>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</si>
  <si>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</si>
  <si>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</si>
  <si>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</si>
  <si>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</si>
  <si>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</si>
  <si>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</si>
  <si>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</si>
  <si>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</si>
  <si>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</si>
  <si>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</si>
  <si>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</si>
  <si>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</si>
  <si>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</si>
  <si>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</si>
  <si>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</si>
  <si>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</si>
  <si>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</si>
  <si>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</si>
  <si>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</si>
  <si>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</si>
  <si>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</si>
  <si>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</si>
  <si>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</si>
  <si>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</si>
  <si>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</si>
  <si>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</si>
  <si>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</si>
  <si>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</si>
  <si>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</si>
  <si>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</si>
  <si>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</si>
  <si>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</si>
  <si>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</si>
  <si>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</si>
  <si>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</si>
  <si>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</si>
  <si>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</si>
  <si>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</si>
  <si>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</si>
  <si>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</si>
  <si>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</si>
  <si>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</si>
  <si>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</si>
  <si>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</si>
  <si>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</si>
  <si>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</si>
  <si>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</si>
  <si>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</si>
  <si>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</si>
  <si>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</si>
  <si>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</si>
  <si>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</si>
  <si>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</si>
  <si>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</si>
  <si>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</si>
  <si>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</si>
  <si>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</si>
  <si>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</si>
  <si>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</si>
  <si>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</si>
  <si>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</si>
  <si>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</si>
  <si>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</si>
  <si>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</si>
  <si>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</si>
  <si>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</si>
  <si>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</si>
  <si>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</si>
  <si>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</si>
  <si>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</si>
  <si>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</si>
  <si>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</si>
  <si>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</si>
  <si>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</si>
  <si>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</si>
  <si>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</si>
  <si>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</si>
  <si>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</si>
  <si>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</si>
  <si>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</si>
  <si>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</si>
  <si>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</si>
  <si>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</si>
  <si>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</si>
  <si>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</si>
  <si>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</si>
  <si>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</si>
  <si>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</si>
  <si>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</si>
  <si>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</si>
  <si>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</si>
  <si>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</si>
  <si>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</si>
  <si>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</si>
  <si>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</si>
  <si>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</si>
  <si>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</si>
  <si>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</si>
  <si>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</si>
  <si>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</si>
  <si>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</si>
  <si>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</si>
  <si>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</si>
  <si>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</si>
  <si>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</si>
  <si>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</si>
  <si>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</si>
  <si>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</si>
  <si>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</si>
  <si>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</si>
  <si>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</si>
  <si>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</si>
  <si>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</si>
  <si>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</si>
  <si>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</si>
  <si>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</si>
  <si>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</si>
  <si>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</si>
  <si>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</si>
  <si>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</si>
  <si>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</si>
  <si>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</si>
  <si>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</si>
  <si>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</si>
  <si>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</si>
  <si>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</si>
  <si>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</si>
  <si>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</si>
  <si>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</si>
  <si>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</si>
  <si>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</si>
  <si>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</si>
  <si>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</si>
  <si>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</si>
  <si>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</si>
  <si>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</si>
  <si>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</si>
  <si>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</si>
  <si>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</si>
  <si>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</si>
  <si>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</si>
  <si>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</si>
  <si>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</si>
  <si>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</si>
  <si>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</si>
  <si>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</si>
  <si>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</si>
  <si>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</si>
  <si>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</si>
  <si>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</si>
  <si>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</si>
  <si>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</si>
  <si>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</si>
  <si>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</si>
  <si>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</si>
  <si>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</si>
  <si>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</si>
  <si>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</si>
  <si>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</si>
  <si>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</si>
  <si>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</si>
  <si>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</si>
  <si>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</si>
  <si>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</si>
  <si>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</si>
  <si>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</si>
  <si>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</si>
  <si>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</si>
  <si>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</si>
  <si>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</si>
  <si>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</si>
  <si>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</si>
  <si>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</si>
  <si>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</si>
  <si>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</si>
  <si>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</si>
  <si>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</si>
  <si>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</si>
  <si>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</si>
  <si>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</si>
  <si>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</si>
  <si>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</si>
  <si>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</si>
  <si>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</si>
  <si>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</si>
  <si>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</si>
  <si>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</si>
  <si>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</si>
  <si>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</si>
  <si>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</si>
  <si>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</si>
  <si>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</si>
  <si>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</si>
  <si>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</si>
  <si>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</si>
  <si>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</si>
  <si>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</si>
  <si>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</si>
  <si>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</si>
  <si>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</si>
  <si>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</si>
  <si>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</si>
  <si>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</si>
  <si>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</si>
  <si>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</si>
  <si>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</si>
  <si>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</si>
  <si>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</si>
  <si>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</si>
  <si>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</si>
  <si>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</si>
  <si>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</si>
  <si>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</si>
  <si>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</si>
  <si>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</si>
  <si>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</si>
  <si>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</si>
  <si>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</si>
  <si>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</si>
  <si>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</si>
  <si>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</si>
  <si>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</si>
  <si>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</si>
  <si>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</si>
  <si>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</si>
  <si>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</si>
  <si>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</si>
  <si>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</si>
  <si>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</si>
  <si>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</si>
  <si>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</si>
  <si>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</si>
  <si>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</si>
  <si>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</si>
  <si>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</si>
  <si>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</si>
  <si>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</si>
  <si>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</si>
  <si>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</si>
  <si>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</si>
  <si>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</si>
  <si>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</si>
  <si>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</si>
  <si>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</si>
  <si>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</si>
  <si>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</si>
  <si>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</si>
  <si>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</si>
  <si>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</si>
  <si>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</si>
  <si>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</si>
  <si>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</si>
  <si>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</si>
  <si>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</si>
  <si>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</si>
  <si>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</si>
  <si>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</si>
  <si>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</si>
  <si>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</si>
  <si>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</si>
  <si>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</si>
  <si>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</si>
  <si>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</si>
  <si>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</si>
  <si>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</si>
  <si>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</si>
  <si>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</si>
  <si>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</si>
  <si>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</si>
  <si>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</si>
  <si>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</si>
  <si>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</si>
  <si>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</si>
  <si>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</si>
  <si>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</si>
  <si>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</si>
  <si>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</si>
  <si>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</si>
  <si>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</si>
  <si>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</si>
  <si>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</si>
  <si>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</si>
  <si>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</si>
  <si>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</si>
  <si>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</si>
  <si>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</si>
  <si>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</si>
  <si>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</si>
  <si>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</si>
  <si>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</si>
  <si>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</si>
  <si>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</si>
  <si>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</si>
  <si>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</si>
  <si>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</si>
  <si>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</si>
  <si>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</si>
  <si>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</si>
  <si>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</si>
  <si>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</si>
  <si>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</si>
  <si>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</si>
  <si>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</si>
  <si>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</si>
  <si>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</si>
  <si>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</si>
  <si>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</si>
  <si>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</si>
  <si>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</si>
  <si>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</si>
  <si>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</si>
  <si>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</si>
  <si>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</si>
  <si>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</si>
  <si>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</si>
  <si>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</si>
  <si>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</si>
  <si>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</si>
  <si>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</si>
  <si>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</si>
  <si>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</si>
  <si>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</si>
  <si>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</si>
  <si>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</si>
  <si>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</si>
  <si>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</si>
  <si>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</si>
  <si>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</si>
  <si>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</si>
  <si>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</si>
  <si>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</si>
  <si>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</si>
  <si>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</si>
  <si>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</si>
  <si>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</si>
  <si>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</si>
  <si>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</si>
  <si>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</si>
  <si>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</si>
  <si>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</si>
  <si>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</si>
  <si>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</si>
  <si>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</si>
  <si>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</si>
  <si>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</si>
  <si>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</si>
  <si>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</si>
  <si>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</si>
  <si>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</si>
  <si>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</si>
  <si>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</si>
  <si>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</si>
  <si>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</si>
  <si>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</si>
  <si>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</si>
  <si>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</si>
  <si>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</si>
  <si>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</si>
  <si>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</si>
  <si>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</si>
  <si>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</si>
  <si>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</si>
  <si>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</si>
  <si>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</si>
  <si>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</si>
  <si>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</si>
  <si>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</si>
  <si>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</si>
  <si>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</si>
  <si>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</si>
  <si>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</si>
  <si>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</si>
  <si>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</si>
  <si>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</si>
  <si>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</si>
  <si>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</si>
  <si>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SOP65P640X110-21N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</si>
  <si>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</si>
  <si>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</si>
  <si>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</si>
  <si>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</si>
  <si>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</si>
  <si>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</si>
  <si>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SIR426DPT1GE3</t>
  </si>
  <si>
    <t>40 В</t>
  </si>
  <si>
    <t>ES1D-E3/61T</t>
  </si>
  <si>
    <t>Диод 1A 200V</t>
  </si>
  <si>
    <t>diode</t>
  </si>
  <si>
    <t>Footprints\SMA.PcbLib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</si>
</sst>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24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ublic\Documents\Altium\AD24\Library\Hydrolib_1\Database\Hydrolib_bd_1.xlsm" TargetMode="External"/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4" tableType="xml" totalsRowShown="0" headerRowDxfId="123" connectionId="6">
  <autoFilter ref="A1:L44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1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0">
      <xmlColumnPr mapId="30" xpath="/Schottky/Part/VoltageNominal_V" xmlDataType="string"/>
    </tableColumn>
    <tableColumn id="9" xr3:uid="{431126AD-34DC-40A1-9CB6-D627B7878BEA}" uniqueName="Current_A" name="Current (A)" dataDxfId="119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8" connectionId="16">
  <autoFilter ref="A1:L9" xr:uid="{35EAFB53-5120-48E8-B7CF-F527619EF3EB}"/>
  <tableColumns count="12">
    <tableColumn id="1" xr3:uid="{8FF51BCB-1CBC-41C4-B0E3-6994AEB249EF}" uniqueName="PartNumber" name="Part Number" dataDxfId="117">
      <xmlColumnPr mapId="6" xpath="/TVS/Part/PartNumber" xmlDataType="string"/>
    </tableColumn>
    <tableColumn id="2" xr3:uid="{254709FF-71DC-4C18-A11E-3F482A74905F}" uniqueName="Description" name="Description" dataDxfId="11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3">
      <xmlColumnPr mapId="6" xpath="/TVS/Part/LibraryRef" xmlDataType="string"/>
    </tableColumn>
    <tableColumn id="6" xr3:uid="{C5C7E783-B9B8-469C-B255-FC24F12E71DC}" uniqueName="FootprintPath1" name="Footprint Path 1" dataDxfId="11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1">
      <xmlColumnPr mapId="6" xpath="/TVS/Part/FootprintRef1" xmlDataType="string"/>
    </tableColumn>
    <tableColumn id="8" xr3:uid="{16B3AEE3-BEA7-4870-9494-F8A0EC5E9CCD}" uniqueName="VoltageNominal" name="Voltage nominal (V)" dataDxfId="110">
      <xmlColumnPr mapId="6" xpath="/TVS/Part/VoltageNominal" xmlDataType="string"/>
    </tableColumn>
    <tableColumn id="9" xr3:uid="{7DDE345A-D145-4A55-B781-91F88095B1FE}" uniqueName="Power" name="Power (W)" dataDxfId="109">
      <xmlColumnPr mapId="6" xpath="/TVS/Part/Power" xmlDataType="string"/>
    </tableColumn>
    <tableColumn id="10" xr3:uid="{EBB777BC-3BC6-4EF4-AC63-F94C7CFCFC0E}" uniqueName="Value" name="Value" dataDxfId="10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7">
      <xmlColumnPr mapId="6" xpath="/TVS/Part/Inteface" xmlDataType="string"/>
    </tableColumn>
    <tableColumn id="12" xr3:uid="{2FC69434-3445-47B6-BAFF-5BDCB5CA78D9}" uniqueName="12" name="Datasheet" dataDxfId="1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1" tableType="xml" totalsRowShown="0" headerRowDxfId="105" connectionId="15">
  <autoFilter ref="A1:L11" xr:uid="{11DAD5D3-6841-4BFD-8583-65DE6E00D680}"/>
  <tableColumns count="12">
    <tableColumn id="1" xr3:uid="{59488B22-9EFD-4960-9418-72616CC8F6CC}" uniqueName="PartNumber" name="Part Number" dataDxfId="104">
      <xmlColumnPr mapId="8" xpath="/Transistors/Part/PartNumber" xmlDataType="string"/>
    </tableColumn>
    <tableColumn id="2" xr3:uid="{B6051881-2BC5-4D5F-9AEE-A86DF4412A4C}" uniqueName="Description" name="Description" dataDxfId="103">
      <xmlColumnPr mapId="8" xpath="/Transistors/Part/Description" xmlDataType="string"/>
    </tableColumn>
    <tableColumn id="3" xr3:uid="{377CEA9C-B3A1-4F57-920A-BA1AC9164370}" uniqueName="Comment" name="Comment" dataDxfId="10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1">
      <xmlColumnPr mapId="8" xpath="/Transistors/Part/LibraryPath" xmlDataType="string"/>
    </tableColumn>
    <tableColumn id="5" xr3:uid="{02693066-D721-4B47-BEE5-D678B96A10FB}" uniqueName="LibraryRef" name="Library Ref" dataDxfId="10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M176" tableType="xml" totalsRowShown="0" headerRowDxfId="98" dataDxfId="97" connectionId="13">
  <autoFilter ref="A1:M176" xr:uid="{02061886-A591-4FD8-8C5B-3D1D2DB1F417}"/>
  <tableColumns count="13">
    <tableColumn id="1" xr3:uid="{1DE1C76C-B7F9-47FB-9EB0-156A2D87FD9E}" uniqueName="PartNumber" name="Part Number" dataDxfId="96">
      <xmlColumnPr mapId="38" xpath="/Resistors/Part/PartNumber" xmlDataType="string"/>
    </tableColumn>
    <tableColumn id="2" xr3:uid="{64E60790-EB9B-4A0D-B52C-7CB5A6F82DE8}" uniqueName="Description" name="Description" dataDxfId="95">
      <xmlColumnPr mapId="38" xpath="/Resistors/Part/Description" xmlDataType="string"/>
    </tableColumn>
    <tableColumn id="3" xr3:uid="{497E7478-3EE2-4F8D-A572-C738B7321387}" uniqueName="Comment" name="Comment" dataDxfId="94">
      <xmlColumnPr mapId="38" xpath="/Resistors/Part/Comment" xmlDataType="string"/>
    </tableColumn>
    <tableColumn id="4" xr3:uid="{255B034D-70D9-458C-8FA7-FEB8317A497F}" uniqueName="LibraryPath" name="Library Path" dataDxfId="93">
      <xmlColumnPr mapId="38" xpath="/Resistors/Part/LibraryPath" xmlDataType="string"/>
    </tableColumn>
    <tableColumn id="5" xr3:uid="{A3865419-9EA5-4AAA-B07F-FF52D437DC02}" uniqueName="LibraryRef" name="Library Ref" dataDxfId="92">
      <xmlColumnPr mapId="38" xpath="/Resistors/Part/LibraryRef" xmlDataType="string"/>
    </tableColumn>
    <tableColumn id="6" xr3:uid="{CE64E0F7-2F9E-477F-8D1B-040D90CB5685}" uniqueName="Value" name="Value" dataDxfId="91">
      <xmlColumnPr mapId="38" xpath="/Resistors/Part/Value" xmlDataType="string"/>
    </tableColumn>
    <tableColumn id="7" xr3:uid="{41F7703B-5A2D-47F6-B9C9-B9D386FC3CF8}" uniqueName="Tolerance" name="Tolerance" dataDxfId="90">
      <xmlColumnPr mapId="38" xpath="/Resistors/Part/Tolerance" xmlDataType="double"/>
    </tableColumn>
    <tableColumn id="8" xr3:uid="{429E7452-DB30-417B-B5E7-8F2AA238A5A4}" uniqueName="FootprintPath1" name="Footprint Path 1" dataDxfId="89">
      <xmlColumnPr mapId="38" xpath="/Resistors/Part/FootprintPath1" xmlDataType="string"/>
    </tableColumn>
    <tableColumn id="9" xr3:uid="{298A4272-57F5-45C2-AFCD-965909B2DD40}" uniqueName="FootprintRef1" name="Footprint Ref 1" dataDxfId="88">
      <xmlColumnPr mapId="38" xpath="/Resistors/Part/FootprintRef1" xmlDataType="string"/>
    </tableColumn>
    <tableColumn id="10" xr3:uid="{0DFE9A6B-806A-476A-90DD-58A133FB25CD}" uniqueName="10" name="Footprint Path 2" dataDxfId="87"/>
    <tableColumn id="11" xr3:uid="{5972F9B7-4E29-40F8-85A0-ADFB6C3B63D0}" uniqueName="11" name="Footprint Ref 2" dataDxfId="86"/>
    <tableColumn id="12" xr3:uid="{2BA89A40-2C66-4CDA-B275-A463CA193B24}" uniqueName="12" name="Footprint Path 3" dataDxfId="85"/>
    <tableColumn id="13" xr3:uid="{EB6CB4D4-35E1-4CE3-A4E3-74A449E2B85B}" uniqueName="13" name="Footprint Ref 3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8" tableType="xml" totalsRowShown="0" headerRowDxfId="17" dataDxfId="16" connectionId="11">
  <autoFilter ref="A1:L18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6" tableType="xml" totalsRowShown="0" headerRowDxfId="3" connectionId="7">
  <autoFilter ref="A1:K4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4"/>
  <sheetViews>
    <sheetView topLeftCell="B29" zoomScale="107" zoomScaleNormal="145" workbookViewId="0">
      <selection activeCell="G49" sqref="G49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5">
      <c r="A38" t="s">
        <v>1215</v>
      </c>
      <c r="B38" t="s">
        <v>1216</v>
      </c>
      <c r="C38" s="2" t="str">
        <f t="shared" ref="C38" si="15">A38</f>
        <v>USB2514BM2</v>
      </c>
      <c r="D38" t="e">
        <f>CONCATENATE("Schematic\",[1]!Таблица1[[#This Row],[Library Ref]],".SchLib")</f>
        <v>#REF!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5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5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Footprints\SOP65P640X110-21N.PcbLib</v>
      </c>
      <c r="G43" t="s">
        <v>1270</v>
      </c>
    </row>
    <row r="44" spans="1:7" x14ac:dyDescent="0.35">
      <c r="C44" s="2">
        <f>A44</f>
        <v>0</v>
      </c>
      <c r="D44" t="str">
        <f>CONCATENATE("Schematic\",A44,".SchLib")</f>
        <v>Schematic\.SchLib</v>
      </c>
      <c r="E44">
        <f>A44</f>
        <v>0</v>
      </c>
      <c r="F44" t="str">
        <f>CONCATENATE("Footprints\",G44,".PcbLib")</f>
        <v>Footprints\.PcbLib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2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3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3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3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3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3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3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3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3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3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1"/>
  <sheetViews>
    <sheetView zoomScale="85" zoomScaleNormal="85" workbookViewId="0">
      <selection activeCell="J16" sqref="J16"/>
    </sheetView>
  </sheetViews>
  <sheetFormatPr defaultRowHeight="14.5" x14ac:dyDescent="0.35"/>
  <cols>
    <col min="1" max="1" width="14.90625" customWidth="1"/>
    <col min="2" max="2" width="22" bestFit="1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5" x14ac:dyDescent="0.3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5" x14ac:dyDescent="0.3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5" x14ac:dyDescent="0.35">
      <c r="A11" s="1" t="s">
        <v>1274</v>
      </c>
      <c r="B11" s="1" t="s">
        <v>1275</v>
      </c>
      <c r="C11" s="2" t="str">
        <f>A11</f>
        <v>SIR426DP-T1-GE3</v>
      </c>
      <c r="D11" s="3" t="s">
        <v>1276</v>
      </c>
      <c r="E11" s="1" t="s">
        <v>1274</v>
      </c>
      <c r="F11" t="str">
        <f>CONCATENATE("Footprints\",G11,".PcbLib")</f>
        <v>Footprints\SIR426DPT1GE3.PcbLib</v>
      </c>
      <c r="G11" s="1" t="s">
        <v>1277</v>
      </c>
      <c r="J11" t="s">
        <v>1278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152" zoomScaleNormal="100" workbookViewId="0">
      <selection activeCell="H179" sqref="H179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9" t="s">
        <v>1140</v>
      </c>
      <c r="O1" s="1"/>
    </row>
    <row r="2" spans="1:15" ht="15.5" x14ac:dyDescent="0.3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9"/>
    </row>
    <row r="3" spans="1:15" ht="15.5" x14ac:dyDescent="0.3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30"/>
    </row>
    <row r="4" spans="1:15" ht="15.5" x14ac:dyDescent="0.3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9"/>
    </row>
    <row r="5" spans="1:15" ht="15.5" x14ac:dyDescent="0.3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30"/>
    </row>
    <row r="6" spans="1:15" ht="15.5" x14ac:dyDescent="0.3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9"/>
    </row>
    <row r="7" spans="1:15" ht="15.5" x14ac:dyDescent="0.3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30"/>
    </row>
    <row r="8" spans="1:15" ht="15.5" x14ac:dyDescent="0.3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9"/>
    </row>
    <row r="9" spans="1:15" ht="15.5" x14ac:dyDescent="0.3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30"/>
    </row>
    <row r="10" spans="1:15" ht="15.5" x14ac:dyDescent="0.3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9"/>
    </row>
    <row r="11" spans="1:15" ht="15.5" x14ac:dyDescent="0.3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30"/>
    </row>
    <row r="12" spans="1:15" ht="15.5" x14ac:dyDescent="0.3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9"/>
    </row>
    <row r="13" spans="1:15" ht="15.5" x14ac:dyDescent="0.3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30"/>
    </row>
    <row r="14" spans="1:15" ht="15.5" x14ac:dyDescent="0.3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9"/>
    </row>
    <row r="15" spans="1:15" ht="15.5" x14ac:dyDescent="0.3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30"/>
    </row>
    <row r="16" spans="1:15" ht="15.5" x14ac:dyDescent="0.3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9"/>
    </row>
    <row r="17" spans="1:14" ht="15.5" x14ac:dyDescent="0.3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30"/>
    </row>
    <row r="18" spans="1:14" ht="15.5" x14ac:dyDescent="0.3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9"/>
    </row>
    <row r="19" spans="1:14" ht="15.5" x14ac:dyDescent="0.3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30"/>
    </row>
    <row r="20" spans="1:14" ht="15.5" x14ac:dyDescent="0.3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9"/>
    </row>
    <row r="21" spans="1:14" ht="15.5" x14ac:dyDescent="0.3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30"/>
    </row>
    <row r="22" spans="1:14" ht="15.5" x14ac:dyDescent="0.3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9"/>
    </row>
    <row r="23" spans="1:14" ht="15.5" x14ac:dyDescent="0.3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30"/>
    </row>
    <row r="24" spans="1:14" ht="15.5" x14ac:dyDescent="0.3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9"/>
    </row>
    <row r="25" spans="1:14" ht="15.5" x14ac:dyDescent="0.3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30"/>
    </row>
    <row r="26" spans="1:14" ht="15.5" x14ac:dyDescent="0.3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9"/>
    </row>
    <row r="27" spans="1:14" ht="15.5" x14ac:dyDescent="0.3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30"/>
    </row>
    <row r="28" spans="1:14" ht="15.5" x14ac:dyDescent="0.3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9"/>
    </row>
    <row r="29" spans="1:14" ht="15.5" x14ac:dyDescent="0.3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30"/>
    </row>
    <row r="30" spans="1:14" ht="15.5" x14ac:dyDescent="0.3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9"/>
    </row>
    <row r="31" spans="1:14" ht="15.5" x14ac:dyDescent="0.3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30"/>
    </row>
    <row r="32" spans="1:14" ht="15.5" x14ac:dyDescent="0.3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9"/>
    </row>
    <row r="33" spans="1:14" ht="15.5" x14ac:dyDescent="0.3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30"/>
    </row>
    <row r="34" spans="1:14" ht="15.5" x14ac:dyDescent="0.3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9"/>
    </row>
    <row r="35" spans="1:14" ht="15.5" x14ac:dyDescent="0.3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30"/>
    </row>
    <row r="36" spans="1:14" ht="15.5" x14ac:dyDescent="0.3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9"/>
    </row>
    <row r="37" spans="1:14" ht="15.5" x14ac:dyDescent="0.3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30"/>
    </row>
    <row r="38" spans="1:14" ht="15.5" x14ac:dyDescent="0.3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9"/>
    </row>
    <row r="39" spans="1:14" ht="15.5" x14ac:dyDescent="0.3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30"/>
    </row>
    <row r="40" spans="1:14" ht="15.5" x14ac:dyDescent="0.3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9"/>
    </row>
    <row r="41" spans="1:14" ht="15.5" x14ac:dyDescent="0.3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30"/>
    </row>
    <row r="42" spans="1:14" ht="15.5" x14ac:dyDescent="0.3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9"/>
    </row>
    <row r="43" spans="1:14" ht="15.5" x14ac:dyDescent="0.3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30"/>
    </row>
    <row r="44" spans="1:14" ht="15.5" x14ac:dyDescent="0.3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9"/>
    </row>
    <row r="45" spans="1:14" ht="15.5" x14ac:dyDescent="0.3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30"/>
    </row>
    <row r="46" spans="1:14" ht="15.5" x14ac:dyDescent="0.3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9"/>
    </row>
    <row r="47" spans="1:14" ht="15.5" x14ac:dyDescent="0.3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30"/>
    </row>
    <row r="48" spans="1:14" ht="15.5" x14ac:dyDescent="0.3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9"/>
    </row>
    <row r="49" spans="1:14" ht="15.5" x14ac:dyDescent="0.3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30"/>
    </row>
    <row r="50" spans="1:14" ht="15.5" x14ac:dyDescent="0.3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9"/>
    </row>
    <row r="51" spans="1:14" ht="15.5" x14ac:dyDescent="0.3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30"/>
    </row>
    <row r="52" spans="1:14" ht="15.5" x14ac:dyDescent="0.3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9"/>
    </row>
    <row r="53" spans="1:14" ht="15.5" x14ac:dyDescent="0.3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30"/>
    </row>
    <row r="54" spans="1:14" ht="15.5" x14ac:dyDescent="0.3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9"/>
    </row>
    <row r="55" spans="1:14" ht="15.5" x14ac:dyDescent="0.3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30"/>
    </row>
    <row r="56" spans="1:14" ht="15.5" x14ac:dyDescent="0.3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9"/>
    </row>
    <row r="57" spans="1:14" ht="15.5" x14ac:dyDescent="0.3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30"/>
    </row>
    <row r="58" spans="1:14" ht="15.5" x14ac:dyDescent="0.3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9"/>
    </row>
    <row r="59" spans="1:14" ht="15.5" x14ac:dyDescent="0.3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30"/>
    </row>
    <row r="60" spans="1:14" ht="15.5" x14ac:dyDescent="0.3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9"/>
    </row>
    <row r="61" spans="1:14" ht="15.5" x14ac:dyDescent="0.3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30"/>
    </row>
    <row r="62" spans="1:14" ht="15.5" x14ac:dyDescent="0.3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9"/>
    </row>
    <row r="63" spans="1:14" ht="15.5" x14ac:dyDescent="0.3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30"/>
    </row>
    <row r="64" spans="1:14" ht="15.5" x14ac:dyDescent="0.3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9"/>
    </row>
    <row r="65" spans="1:14" ht="15.5" x14ac:dyDescent="0.3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30"/>
    </row>
    <row r="66" spans="1:14" ht="15.5" x14ac:dyDescent="0.3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9"/>
    </row>
    <row r="67" spans="1:14" ht="15.5" x14ac:dyDescent="0.3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30"/>
    </row>
    <row r="68" spans="1:14" ht="15.5" x14ac:dyDescent="0.3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9"/>
    </row>
    <row r="69" spans="1:14" ht="15.5" x14ac:dyDescent="0.3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30"/>
    </row>
    <row r="70" spans="1:14" ht="15.5" x14ac:dyDescent="0.3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9"/>
    </row>
    <row r="71" spans="1:14" ht="15.5" x14ac:dyDescent="0.3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30"/>
    </row>
    <row r="72" spans="1:14" ht="15.5" x14ac:dyDescent="0.3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9"/>
    </row>
    <row r="73" spans="1:14" ht="15.5" x14ac:dyDescent="0.3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30"/>
    </row>
    <row r="74" spans="1:14" ht="15.5" x14ac:dyDescent="0.3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9"/>
    </row>
    <row r="75" spans="1:14" ht="15.5" x14ac:dyDescent="0.3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30"/>
    </row>
    <row r="76" spans="1:14" ht="15.5" x14ac:dyDescent="0.3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9"/>
    </row>
    <row r="77" spans="1:14" ht="15.5" x14ac:dyDescent="0.3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30"/>
    </row>
    <row r="78" spans="1:14" ht="15.5" x14ac:dyDescent="0.3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9"/>
    </row>
    <row r="79" spans="1:14" ht="15.5" x14ac:dyDescent="0.3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  <c r="M79" s="1"/>
      <c r="N79" s="30"/>
    </row>
    <row r="80" spans="1:14" ht="15.5" x14ac:dyDescent="0.3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  <c r="M80" s="1"/>
      <c r="N80" s="29"/>
    </row>
    <row r="81" spans="1:14" ht="15.5" x14ac:dyDescent="0.3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 t="s">
        <v>1204</v>
      </c>
      <c r="K81" s="1" t="s">
        <v>1206</v>
      </c>
      <c r="L81" s="1"/>
      <c r="M81" s="1"/>
      <c r="N81" s="30"/>
    </row>
    <row r="82" spans="1:14" ht="15.5" x14ac:dyDescent="0.3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  <c r="M82" s="1"/>
      <c r="N82" s="29"/>
    </row>
    <row r="83" spans="1:14" ht="15.5" x14ac:dyDescent="0.3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30"/>
    </row>
    <row r="84" spans="1:14" ht="15.5" x14ac:dyDescent="0.3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9"/>
    </row>
    <row r="85" spans="1:14" ht="15.5" x14ac:dyDescent="0.3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  <c r="M85" s="1"/>
      <c r="N85" s="30"/>
    </row>
    <row r="86" spans="1:14" ht="15.5" x14ac:dyDescent="0.3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  <c r="M86" s="1"/>
      <c r="N86" s="29"/>
    </row>
    <row r="87" spans="1:14" ht="15.5" x14ac:dyDescent="0.3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  <c r="M87" s="1"/>
      <c r="N87" s="30"/>
    </row>
    <row r="88" spans="1:14" ht="15.5" x14ac:dyDescent="0.3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9"/>
    </row>
    <row r="89" spans="1:14" ht="15.5" x14ac:dyDescent="0.3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30"/>
    </row>
    <row r="90" spans="1:14" ht="15.5" x14ac:dyDescent="0.3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 t="s">
        <v>1204</v>
      </c>
      <c r="K90" s="1" t="s">
        <v>1207</v>
      </c>
      <c r="L90" s="1"/>
      <c r="M90" s="1"/>
      <c r="N90" s="29"/>
    </row>
    <row r="91" spans="1:14" ht="15.5" x14ac:dyDescent="0.3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  <c r="M91" s="1"/>
      <c r="N91" s="30"/>
    </row>
    <row r="92" spans="1:14" ht="15.5" x14ac:dyDescent="0.3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9"/>
    </row>
    <row r="93" spans="1:14" ht="15.5" x14ac:dyDescent="0.3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30"/>
    </row>
    <row r="94" spans="1:14" ht="15.5" x14ac:dyDescent="0.3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9"/>
    </row>
    <row r="95" spans="1:14" ht="15.5" x14ac:dyDescent="0.3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30"/>
    </row>
    <row r="96" spans="1:14" ht="15.5" x14ac:dyDescent="0.3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9"/>
    </row>
    <row r="97" spans="1:14" ht="15.5" x14ac:dyDescent="0.3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30"/>
    </row>
    <row r="98" spans="1:14" ht="15.5" x14ac:dyDescent="0.3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 t="s">
        <v>1204</v>
      </c>
      <c r="M98" s="1" t="s">
        <v>1208</v>
      </c>
      <c r="N98" s="29"/>
    </row>
    <row r="99" spans="1:14" ht="15.5" x14ac:dyDescent="0.3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  <c r="M99" s="1"/>
      <c r="N99" s="30"/>
    </row>
    <row r="100" spans="1:14" ht="15.5" x14ac:dyDescent="0.3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5" x14ac:dyDescent="0.3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30"/>
    </row>
    <row r="102" spans="1:14" ht="15.5" x14ac:dyDescent="0.3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9"/>
    </row>
    <row r="103" spans="1:14" ht="15.5" x14ac:dyDescent="0.3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30"/>
    </row>
    <row r="104" spans="1:14" ht="15.5" x14ac:dyDescent="0.3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9"/>
    </row>
    <row r="105" spans="1:14" ht="15.5" x14ac:dyDescent="0.3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 t="s">
        <v>1204</v>
      </c>
      <c r="K105" s="1" t="s">
        <v>1209</v>
      </c>
      <c r="L105" s="1"/>
      <c r="M105" s="1"/>
      <c r="N105" s="30"/>
    </row>
    <row r="106" spans="1:14" ht="15.5" x14ac:dyDescent="0.3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 t="s">
        <v>1204</v>
      </c>
      <c r="K106" s="1" t="s">
        <v>1210</v>
      </c>
      <c r="L106" s="1"/>
      <c r="M106" s="1"/>
      <c r="N106" s="29"/>
    </row>
    <row r="107" spans="1:14" ht="15.5" x14ac:dyDescent="0.3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30"/>
    </row>
    <row r="108" spans="1:14" ht="15.5" x14ac:dyDescent="0.3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  <c r="M108" s="1"/>
      <c r="N108" s="29"/>
    </row>
    <row r="109" spans="1:14" ht="15.5" x14ac:dyDescent="0.3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  <c r="M109" s="1"/>
      <c r="N109" s="30"/>
    </row>
    <row r="110" spans="1:14" ht="15.5" x14ac:dyDescent="0.3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9"/>
    </row>
    <row r="111" spans="1:14" ht="15.5" x14ac:dyDescent="0.3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30"/>
    </row>
    <row r="112" spans="1:14" ht="15.5" x14ac:dyDescent="0.3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9"/>
    </row>
    <row r="113" spans="1:14" ht="15.5" x14ac:dyDescent="0.3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30"/>
    </row>
    <row r="114" spans="1:14" ht="15.5" x14ac:dyDescent="0.3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9"/>
    </row>
    <row r="115" spans="1:14" ht="15.5" x14ac:dyDescent="0.3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30"/>
    </row>
    <row r="116" spans="1:14" ht="15.5" x14ac:dyDescent="0.3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9"/>
    </row>
    <row r="117" spans="1:14" ht="15.5" x14ac:dyDescent="0.3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30"/>
    </row>
    <row r="118" spans="1:14" ht="15.5" x14ac:dyDescent="0.3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9"/>
    </row>
    <row r="119" spans="1:14" ht="15.5" x14ac:dyDescent="0.3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30"/>
    </row>
    <row r="120" spans="1:14" ht="15.5" x14ac:dyDescent="0.3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9"/>
    </row>
    <row r="121" spans="1:14" ht="15.5" x14ac:dyDescent="0.3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30"/>
    </row>
    <row r="122" spans="1:14" ht="15.5" x14ac:dyDescent="0.3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9"/>
    </row>
    <row r="123" spans="1:14" ht="15.5" x14ac:dyDescent="0.3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 t="s">
        <v>1204</v>
      </c>
      <c r="K123" s="1" t="s">
        <v>1211</v>
      </c>
      <c r="L123" s="1"/>
      <c r="M123" s="1"/>
      <c r="N123" s="30"/>
    </row>
    <row r="124" spans="1:14" ht="15.5" x14ac:dyDescent="0.3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9"/>
    </row>
    <row r="125" spans="1:14" ht="15.5" x14ac:dyDescent="0.3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30"/>
    </row>
    <row r="126" spans="1:14" ht="15.5" x14ac:dyDescent="0.3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  <c r="M126" s="1"/>
      <c r="N126" s="29"/>
    </row>
    <row r="127" spans="1:14" ht="15.5" x14ac:dyDescent="0.3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30"/>
    </row>
    <row r="128" spans="1:14" ht="15.5" x14ac:dyDescent="0.3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9"/>
    </row>
    <row r="129" spans="1:14" ht="15.5" x14ac:dyDescent="0.3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30"/>
    </row>
    <row r="130" spans="1:14" ht="15.5" x14ac:dyDescent="0.3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9"/>
    </row>
    <row r="131" spans="1:14" ht="15.5" x14ac:dyDescent="0.3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30"/>
    </row>
    <row r="132" spans="1:14" ht="15.5" x14ac:dyDescent="0.3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9"/>
    </row>
    <row r="133" spans="1:14" ht="15.5" x14ac:dyDescent="0.3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30"/>
    </row>
    <row r="134" spans="1:14" ht="15.5" x14ac:dyDescent="0.3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9"/>
    </row>
    <row r="135" spans="1:14" ht="15.5" x14ac:dyDescent="0.3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30"/>
    </row>
    <row r="136" spans="1:14" ht="15.5" x14ac:dyDescent="0.3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9"/>
    </row>
    <row r="137" spans="1:14" ht="15.5" x14ac:dyDescent="0.3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30"/>
    </row>
    <row r="138" spans="1:14" ht="15.5" x14ac:dyDescent="0.3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9"/>
    </row>
    <row r="139" spans="1:14" ht="15.5" x14ac:dyDescent="0.3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30"/>
    </row>
    <row r="140" spans="1:14" ht="15.5" x14ac:dyDescent="0.3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9"/>
    </row>
    <row r="141" spans="1:14" ht="15.5" x14ac:dyDescent="0.3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30"/>
    </row>
    <row r="142" spans="1:14" ht="15.5" x14ac:dyDescent="0.3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9"/>
    </row>
    <row r="143" spans="1:14" ht="15.5" x14ac:dyDescent="0.3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30"/>
    </row>
    <row r="144" spans="1:14" ht="15.5" x14ac:dyDescent="0.3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9"/>
    </row>
    <row r="145" spans="1:14" ht="15.5" x14ac:dyDescent="0.3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30"/>
    </row>
    <row r="146" spans="1:14" ht="15.5" x14ac:dyDescent="0.3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9"/>
    </row>
    <row r="147" spans="1:14" ht="15.5" x14ac:dyDescent="0.3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30"/>
    </row>
    <row r="148" spans="1:14" ht="15.5" x14ac:dyDescent="0.3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9"/>
    </row>
    <row r="149" spans="1:14" ht="15.5" x14ac:dyDescent="0.3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30"/>
    </row>
    <row r="150" spans="1:14" ht="15.5" x14ac:dyDescent="0.3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9"/>
    </row>
    <row r="151" spans="1:14" ht="15.5" x14ac:dyDescent="0.3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30"/>
    </row>
    <row r="152" spans="1:14" ht="15.5" x14ac:dyDescent="0.3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9"/>
    </row>
    <row r="153" spans="1:14" ht="15.5" x14ac:dyDescent="0.3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30"/>
    </row>
    <row r="154" spans="1:14" ht="15.5" x14ac:dyDescent="0.3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9"/>
    </row>
    <row r="155" spans="1:14" ht="15.5" x14ac:dyDescent="0.3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30"/>
    </row>
    <row r="156" spans="1:14" ht="15.5" x14ac:dyDescent="0.3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9"/>
    </row>
    <row r="157" spans="1:14" ht="15.5" x14ac:dyDescent="0.3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30"/>
    </row>
    <row r="158" spans="1:14" ht="15.5" x14ac:dyDescent="0.3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9"/>
    </row>
    <row r="159" spans="1:14" ht="15.5" x14ac:dyDescent="0.3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30"/>
    </row>
    <row r="160" spans="1:14" ht="15.5" x14ac:dyDescent="0.3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9"/>
    </row>
    <row r="161" spans="1:14" ht="15.5" x14ac:dyDescent="0.3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30"/>
    </row>
    <row r="162" spans="1:14" ht="15.5" x14ac:dyDescent="0.3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9"/>
    </row>
    <row r="163" spans="1:14" ht="15.5" x14ac:dyDescent="0.3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30"/>
    </row>
    <row r="164" spans="1:14" ht="15.5" x14ac:dyDescent="0.3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9"/>
    </row>
    <row r="165" spans="1:14" ht="15.5" x14ac:dyDescent="0.3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30"/>
    </row>
    <row r="166" spans="1:14" ht="15.5" x14ac:dyDescent="0.3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9"/>
    </row>
    <row r="167" spans="1:14" ht="15.5" x14ac:dyDescent="0.3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30"/>
    </row>
    <row r="168" spans="1:14" ht="15.5" x14ac:dyDescent="0.3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9"/>
    </row>
    <row r="169" spans="1:14" ht="15.5" x14ac:dyDescent="0.3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30"/>
    </row>
    <row r="170" spans="1:14" ht="15.5" x14ac:dyDescent="0.3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9"/>
    </row>
    <row r="171" spans="1:14" ht="15.5" x14ac:dyDescent="0.3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30"/>
    </row>
    <row r="172" spans="1:14" ht="15.5" x14ac:dyDescent="0.3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  <c r="M172" s="1"/>
      <c r="N172" s="29"/>
    </row>
    <row r="173" spans="1:14" ht="15.5" x14ac:dyDescent="0.3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  <c r="M173" s="1"/>
      <c r="N173" s="30"/>
    </row>
    <row r="174" spans="1:14" ht="15.5" x14ac:dyDescent="0.3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  <c r="M174" s="1"/>
      <c r="N174" s="29"/>
    </row>
    <row r="175" spans="1:14" ht="15.5" x14ac:dyDescent="0.3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  <c r="M175" s="1"/>
      <c r="N175" s="30"/>
    </row>
    <row r="176" spans="1:14" ht="15.5" x14ac:dyDescent="0.35">
      <c r="A176" s="1" t="s">
        <v>1271</v>
      </c>
      <c r="B176" s="1" t="s">
        <v>1272</v>
      </c>
      <c r="C176" s="1" t="s">
        <v>26</v>
      </c>
      <c r="D176" s="3" t="s">
        <v>29</v>
      </c>
      <c r="E176" s="3" t="s">
        <v>26</v>
      </c>
      <c r="F176" s="3" t="s">
        <v>1273</v>
      </c>
      <c r="G176" s="4">
        <v>0.01</v>
      </c>
      <c r="H176" s="3" t="s">
        <v>1154</v>
      </c>
      <c r="I176" s="3" t="s">
        <v>1155</v>
      </c>
      <c r="J176" s="1"/>
      <c r="K176" s="1"/>
      <c r="L176" s="1"/>
      <c r="M176" s="1"/>
    </row>
    <row r="177" spans="1:11" ht="15.5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5">
      <c r="A2" s="21" t="s">
        <v>1102</v>
      </c>
      <c r="B2" s="20" t="str">
        <f>CONCATENATE("Выпрямительный диод на ", H2," В, ном. ток ", I2," А")</f>
        <v>Выпрямительный диод на 1000 В, ном. ток 2 А</v>
      </c>
      <c r="C2" s="22" t="str">
        <f t="shared" ref="C2" si="0">A2</f>
        <v>S2M</v>
      </c>
      <c r="D2" s="22" t="s">
        <v>1101</v>
      </c>
      <c r="E2" s="22" t="s">
        <v>1100</v>
      </c>
      <c r="F2" s="22" t="str">
        <f t="shared" ref="F2" si="1">CONCATENATE("Footprints\",G2,".PcbLib")</f>
        <v>Footprints\SMB.PcbLib</v>
      </c>
      <c r="G2" s="22" t="s">
        <v>341</v>
      </c>
      <c r="H2" s="23">
        <v>1000</v>
      </c>
      <c r="I2" s="24">
        <v>2</v>
      </c>
      <c r="J2" s="2"/>
      <c r="K2" s="2"/>
      <c r="L2" s="11"/>
    </row>
    <row r="3" spans="1:12" x14ac:dyDescent="0.35">
      <c r="B3" s="2"/>
      <c r="D3" s="2"/>
      <c r="E3" s="2"/>
      <c r="F3" s="2"/>
      <c r="H3" s="2"/>
      <c r="I3" s="2"/>
      <c r="J3" s="2"/>
      <c r="K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17.63281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5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35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35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35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35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35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35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35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35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35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35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35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35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35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35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35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35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35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35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35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35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35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35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35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35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35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35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35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35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35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35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35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35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35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35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35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35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35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35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35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35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zoomScaleNormal="100" workbookViewId="0">
      <selection activeCell="J23" sqref="J23"/>
    </sheetView>
  </sheetViews>
  <sheetFormatPr defaultRowHeight="14.5" x14ac:dyDescent="0.35"/>
  <cols>
    <col min="1" max="1" width="14.90625" customWidth="1"/>
    <col min="2" max="2" width="22.0898437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9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8" t="s">
        <v>836</v>
      </c>
      <c r="O1" s="1" t="s">
        <v>84</v>
      </c>
      <c r="P1" s="1" t="s">
        <v>25</v>
      </c>
      <c r="Q1" s="1" t="s">
        <v>1140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9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9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9">
        <v>4.7</v>
      </c>
      <c r="O5" s="2">
        <v>5.5</v>
      </c>
      <c r="P5" t="str">
        <f t="shared" si="2"/>
        <v>4,7 мк</v>
      </c>
    </row>
    <row r="6" spans="1:17" x14ac:dyDescent="0.3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9">
        <v>22</v>
      </c>
      <c r="O6" s="2">
        <v>5</v>
      </c>
      <c r="P6" t="str">
        <f t="shared" si="2"/>
        <v>22 мк</v>
      </c>
    </row>
    <row r="7" spans="1:17" x14ac:dyDescent="0.3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9">
        <v>22</v>
      </c>
      <c r="O7" s="2" t="s">
        <v>1046</v>
      </c>
      <c r="P7" t="str">
        <f t="shared" si="2"/>
        <v>22 мк</v>
      </c>
    </row>
    <row r="8" spans="1:17" x14ac:dyDescent="0.3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9">
        <v>0.33</v>
      </c>
      <c r="O8" s="2">
        <v>15</v>
      </c>
      <c r="P8" t="str">
        <f t="shared" si="2"/>
        <v>0,33 мк</v>
      </c>
    </row>
    <row r="9" spans="1:17" x14ac:dyDescent="0.3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9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9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9">
        <v>1.2</v>
      </c>
      <c r="O11">
        <v>15</v>
      </c>
      <c r="P11" t="s">
        <v>1090</v>
      </c>
    </row>
    <row r="12" spans="1:17" x14ac:dyDescent="0.3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9">
        <v>47</v>
      </c>
      <c r="O12">
        <v>3.3</v>
      </c>
      <c r="P12" s="2" t="str">
        <f t="shared" si="2"/>
        <v>47 мк</v>
      </c>
    </row>
    <row r="13" spans="1:17" x14ac:dyDescent="0.3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9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8"/>
      <c r="O1" s="1"/>
      <c r="P1" s="1"/>
      <c r="Q1" s="1"/>
    </row>
    <row r="2" spans="1:17" ht="15.5" x14ac:dyDescent="0.35">
      <c r="A2" s="26" t="s">
        <v>1114</v>
      </c>
      <c r="B2" s="27" t="s">
        <v>1115</v>
      </c>
      <c r="C2" s="22" t="str">
        <f>A2</f>
        <v>TS820-600B-TR</v>
      </c>
      <c r="D2" s="27" t="s">
        <v>1117</v>
      </c>
      <c r="E2" s="27" t="s">
        <v>1116</v>
      </c>
      <c r="F2" s="22" t="str">
        <f t="shared" ref="F2" si="0">CONCATENATE("Footprints\",G2,".PcbLib")</f>
        <v>Footprints\DPAK.PcbLib</v>
      </c>
      <c r="G2" s="27" t="s">
        <v>6</v>
      </c>
      <c r="H2" s="22"/>
      <c r="I2" s="22"/>
      <c r="J2" s="20" t="s">
        <v>1118</v>
      </c>
      <c r="K2" s="25" t="s">
        <v>1120</v>
      </c>
      <c r="L2" s="25"/>
      <c r="M2" s="2"/>
      <c r="N2" s="19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9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9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9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9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9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9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9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9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9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9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9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9"/>
    </row>
    <row r="22" spans="14:14" x14ac:dyDescent="0.35">
      <c r="N22" s="19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8"/>
  <sheetViews>
    <sheetView tabSelected="1" workbookViewId="0">
      <selection activeCell="B18" sqref="B18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8" t="s">
        <v>1173</v>
      </c>
    </row>
    <row r="14" spans="1:20" x14ac:dyDescent="0.3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5">
      <c r="A16" s="31" t="s">
        <v>1227</v>
      </c>
      <c r="B16" s="31" t="s">
        <v>1228</v>
      </c>
      <c r="C16" s="31" t="s">
        <v>1229</v>
      </c>
      <c r="D16" s="31" t="str">
        <f t="shared" ref="D16" si="6">CONCATENATE("Schematic\",A16,".SchLib")</f>
        <v>Schematic\4WayDIP.SchLib</v>
      </c>
      <c r="E16" s="31" t="s">
        <v>1230</v>
      </c>
      <c r="F16" s="31" t="s">
        <v>1231</v>
      </c>
      <c r="G16" s="31" t="s">
        <v>1232</v>
      </c>
      <c r="H16" s="31"/>
      <c r="I16" s="31"/>
      <c r="J16" s="31" t="str">
        <f t="shared" ref="J16:J17" si="7">CONCATENATE("Footprints\",K16,".PcbLib")</f>
        <v>Footprints\.PcbLib</v>
      </c>
      <c r="K16" s="31"/>
      <c r="L16" s="31"/>
    </row>
    <row r="17" spans="1:12" x14ac:dyDescent="0.35">
      <c r="A17" s="31" t="s">
        <v>1279</v>
      </c>
      <c r="B17" s="31" t="s">
        <v>1280</v>
      </c>
      <c r="C17" s="31" t="s">
        <v>1279</v>
      </c>
      <c r="D17" s="31" t="str">
        <f>CONCATENATE("Schematic\diode.SchLib")</f>
        <v>Schematic\diode.SchLib</v>
      </c>
      <c r="E17" s="31" t="s">
        <v>1281</v>
      </c>
      <c r="F17" s="31" t="s">
        <v>1282</v>
      </c>
      <c r="G17" s="31" t="s">
        <v>130</v>
      </c>
      <c r="H17" s="31"/>
      <c r="I17" s="31"/>
      <c r="J17" s="31" t="str">
        <f t="shared" si="7"/>
        <v>Footprints\.PcbLib</v>
      </c>
      <c r="K17" s="31"/>
      <c r="L17" s="31"/>
    </row>
    <row r="18" spans="1:12" x14ac:dyDescent="0.35">
      <c r="A18" s="31"/>
      <c r="B18" s="31"/>
      <c r="C18" s="31">
        <f>A18</f>
        <v>0</v>
      </c>
      <c r="D18" s="31" t="str">
        <f>CONCATENATE("Schematic\",A18,".SchLib")</f>
        <v>Schematic\.SchLib</v>
      </c>
      <c r="E18" s="31">
        <f>A18</f>
        <v>0</v>
      </c>
      <c r="F18" s="31"/>
      <c r="G18" s="31"/>
      <c r="H18" s="31"/>
      <c r="I18" s="31"/>
      <c r="J18" s="31" t="str">
        <f>CONCATENATE("Footprints\",K18,".PcbLib")</f>
        <v>Footprints\.PcbLib</v>
      </c>
      <c r="K18" s="31"/>
      <c r="L18" s="31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6"/>
  <sheetViews>
    <sheetView topLeftCell="C10" zoomScale="115" zoomScaleNormal="115" workbookViewId="0">
      <selection activeCell="F27" sqref="F27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5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5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5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5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5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5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5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5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5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5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5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5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5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5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2025-08-04T20:25:05Z</dcterms:modified>
</cp:coreProperties>
</file>